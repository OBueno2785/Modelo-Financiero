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Inputs" sheetId="2" state="visible" r:id="rId2"/>
    <sheet name="Deuda" sheetId="3" state="visible" r:id="rId3"/>
    <sheet name="Activo financiero" sheetId="4" state="visible" r:id="rId4"/>
    <sheet name="PPDMO" sheetId="5" state="visible" r:id="rId5"/>
    <sheet name="Flujo" sheetId="6" state="visible" r:id="rId6"/>
  </sheets>
  <definedNames>
    <definedName name="p_costo_obra">Inputs!$D$6</definedName>
    <definedName name="p_tamano_deuda">Inputs!$D$7</definedName>
    <definedName name="p_kd">Inputs!$D$8</definedName>
    <definedName name="p_spread">Inputs!$D$9</definedName>
    <definedName name="p_ke">Inputs!$D$10</definedName>
    <definedName name="p_wacc">Inputs!$D$11</definedName>
    <definedName name="p_pagos">Inputs!$D$12</definedName>
    <definedName name="p_ipm">Inputs!$D$13</definedName>
    <definedName name="p_gatillo">Inputs!$D$14</definedName>
    <definedName name="p_ipc">Inputs!$D$15</definedName>
    <definedName name="p_ir">Inputs!$D$16</definedName>
    <definedName name="p_part">Inputs!$D$17</definedName>
    <definedName name="p_superv">Inputs!$D$18</definedName>
    <definedName name="p_margen_cf">Inputs!$D$19</definedName>
    <definedName name="p_fijo_base">Inputs!$D$20</definedName>
    <definedName name="p_tarifa">Inputs!$D$21</definedName>
    <definedName name="p_ppdi_anual">Inputs!$D$22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0%"/>
    <numFmt numFmtId="165" formatCode="#,##0.0000000"/>
    <numFmt numFmtId="166" formatCode="0.00000"/>
    <numFmt numFmtId="167" formatCode="0.00000000"/>
  </numFmts>
  <fonts count="7">
    <font>
      <name val="Calibri"/>
      <family val="2"/>
      <color theme="1"/>
      <sz val="11"/>
      <scheme val="minor"/>
    </font>
    <font>
      <b val="1"/>
      <color rgb="001A4B4B"/>
      <sz val="13"/>
    </font>
    <font>
      <i val="1"/>
      <color rgb="006B7B7B"/>
      <sz val="9"/>
    </font>
    <font>
      <sz val="9"/>
    </font>
    <font>
      <b val="1"/>
      <sz val="9"/>
    </font>
    <font>
      <i val="1"/>
      <color rgb="006B7B7B"/>
      <sz val="8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FFF3D6"/>
      </patternFill>
    </fill>
    <fill>
      <patternFill patternType="solid">
        <fgColor rgb="001A4B4B"/>
      </patternFill>
    </fill>
    <fill>
      <patternFill patternType="solid">
        <fgColor rgb="00F2F7F7"/>
      </patternFill>
    </fill>
  </fills>
  <borders count="2">
    <border>
      <left/>
      <right/>
      <top/>
      <bottom/>
      <diagonal/>
    </border>
    <border>
      <bottom style="thin">
        <color rgb="00D5DEDE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4" fontId="4" fillId="4" borderId="1" pivotButton="0" quotePrefix="0" xfId="0"/>
    <xf numFmtId="0" fontId="3" fillId="0" borderId="1" pivotButton="0" quotePrefix="0" xfId="0"/>
    <xf numFmtId="165" fontId="4" fillId="4" borderId="1" pivotButton="0" quotePrefix="0" xfId="0"/>
    <xf numFmtId="164" fontId="4" fillId="4" borderId="1" pivotButton="0" quotePrefix="0" xfId="0"/>
    <xf numFmtId="4" fontId="4" fillId="2" borderId="1" pivotButton="0" quotePrefix="0" xfId="0"/>
    <xf numFmtId="0" fontId="5" fillId="0" borderId="1" pivotButton="0" quotePrefix="0" xfId="0"/>
    <xf numFmtId="10" fontId="4" fillId="2" borderId="1" pivotButton="0" quotePrefix="0" xfId="0"/>
    <xf numFmtId="164" fontId="4" fillId="2" borderId="1" pivotButton="0" quotePrefix="0" xfId="0"/>
    <xf numFmtId="1" fontId="4" fillId="2" borderId="1" pivotButton="0" quotePrefix="0" xfId="0"/>
    <xf numFmtId="165" fontId="4" fillId="2" borderId="1" pivotButton="0" quotePrefix="0" xfId="0"/>
    <xf numFmtId="0" fontId="6" fillId="0" borderId="0" pivotButton="0" quotePrefix="0" xfId="0"/>
    <xf numFmtId="0" fontId="6" fillId="3" borderId="0" applyAlignment="1" pivotButton="0" quotePrefix="0" xfId="0">
      <alignment horizontal="center"/>
    </xf>
    <xf numFmtId="0" fontId="3" fillId="0" borderId="0" pivotButton="0" quotePrefix="0" xfId="0"/>
    <xf numFmtId="1" fontId="3" fillId="0" borderId="0" pivotButton="0" quotePrefix="0" xfId="0"/>
    <xf numFmtId="4" fontId="3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4" fontId="0" fillId="0" borderId="0" pivotButton="0" quotePrefix="0" xfId="0"/>
    <xf numFmtId="0" fontId="5" fillId="0" borderId="0" pivotButton="0" quotePrefix="0" xfId="0"/>
    <xf numFmtId="164" fontId="4" fillId="2" borderId="0" pivotButton="0" quotePrefix="0" xfId="0"/>
    <xf numFmtId="4" fontId="4" fillId="4" borderId="0" pivotButton="0" quotePrefix="0" xfId="0"/>
    <xf numFmtId="164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9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2" max="2"/>
    <col width="16" customWidth="1" min="3" max="3"/>
    <col width="20" customWidth="1" min="4" max="4"/>
    <col width="40" customWidth="1" min="5" max="5"/>
  </cols>
  <sheetData>
    <row r="2">
      <c r="B2" s="1" t="inlineStr">
        <is>
          <t>Resumen del modelo</t>
        </is>
      </c>
    </row>
    <row r="3">
      <c r="B3" s="2" t="inlineStr">
        <is>
          <t>S/ miles sin IGV, primer mes de operacion anualizado.</t>
        </is>
      </c>
    </row>
    <row r="6">
      <c r="B6" s="3" t="inlineStr">
        <is>
          <t>PPD Inversiones, anual</t>
        </is>
      </c>
      <c r="C6" s="4" t="n"/>
      <c r="D6" s="5">
        <f>p_ppdi_anual</f>
        <v/>
      </c>
      <c r="E6" s="4" t="n"/>
    </row>
    <row r="7">
      <c r="B7" s="3" t="inlineStr">
        <is>
          <t>PPD MO fijo, anual</t>
        </is>
      </c>
      <c r="C7" s="4" t="n"/>
      <c r="D7" s="5">
        <f>SUMPRODUCT(PPDMO!$D$21:$LI$21,PPDMO!$D$15:$LI$15)*12</f>
        <v/>
      </c>
      <c r="E7" s="4" t="n"/>
    </row>
    <row r="8">
      <c r="B8" s="3" t="inlineStr">
        <is>
          <t>PPD MO variable, anual</t>
        </is>
      </c>
      <c r="C8" s="4" t="n"/>
      <c r="D8" s="5">
        <f>SUMPRODUCT(PPDMO!$D$21:$LI$21,PPDMO!$D$16:$LI$16)*12</f>
        <v/>
      </c>
      <c r="E8" s="4" t="n"/>
    </row>
    <row r="9">
      <c r="B9" s="3" t="inlineStr">
        <is>
          <t>PPD MO total, anual</t>
        </is>
      </c>
      <c r="C9" s="4" t="n"/>
      <c r="D9" s="5">
        <f>D7+D8</f>
        <v/>
      </c>
      <c r="E9" s="4" t="n"/>
    </row>
    <row r="10">
      <c r="B10" s="3" t="inlineStr">
        <is>
          <t>PPD total, anual</t>
        </is>
      </c>
      <c r="C10" s="4" t="n"/>
      <c r="D10" s="5">
        <f>D6+D9</f>
        <v/>
      </c>
      <c r="E10" s="4" t="n"/>
    </row>
    <row r="11">
      <c r="B11" s="6" t="inlineStr">
        <is>
          <t>Tarifa unitaria, S/ por kg DBO5</t>
        </is>
      </c>
      <c r="C11" s="4" t="n"/>
      <c r="D11" s="7">
        <f>p_tarifa</f>
        <v/>
      </c>
      <c r="E11" s="4" t="n"/>
    </row>
    <row r="12">
      <c r="B12" s="6" t="inlineStr">
        <is>
          <t>VAN financiero, debe ser cero</t>
        </is>
      </c>
      <c r="C12" s="4" t="n"/>
      <c r="D12" s="5">
        <f>Flujo!$D$34</f>
        <v/>
      </c>
      <c r="E12" s="4" t="n"/>
    </row>
    <row r="13">
      <c r="B13" s="6" t="inlineStr">
        <is>
          <t>WACC</t>
        </is>
      </c>
      <c r="C13" s="4" t="n"/>
      <c r="D13" s="8">
        <f>p_wacc</f>
        <v/>
      </c>
      <c r="E13" s="4" t="n"/>
    </row>
    <row r="14">
      <c r="B14" s="6" t="inlineStr">
        <is>
          <t>Kd</t>
        </is>
      </c>
      <c r="C14" s="4" t="n"/>
      <c r="D14" s="8">
        <f>p_kd</f>
        <v/>
      </c>
      <c r="E14" s="4" t="n"/>
    </row>
    <row r="15">
      <c r="B15" s="6" t="inlineStr">
        <is>
          <t>Ke</t>
        </is>
      </c>
      <c r="C15" s="4" t="n"/>
      <c r="D15" s="8">
        <f>p_ke</f>
        <v/>
      </c>
      <c r="E15" s="4" t="n"/>
    </row>
    <row r="16">
      <c r="B16" s="6" t="inlineStr">
        <is>
          <t>Activo financiero, saldo maximo</t>
        </is>
      </c>
      <c r="C16" s="4" t="n"/>
      <c r="D16" s="5">
        <f>MAX('Activo financiero'!$D$17:$LC$17)</f>
        <v/>
      </c>
      <c r="E16" s="4" t="n"/>
    </row>
    <row r="17">
      <c r="B17" s="6" t="inlineStr">
        <is>
          <t>Activo financiero, amortizacion acumulada</t>
        </is>
      </c>
      <c r="C17" s="4" t="n"/>
      <c r="D17" s="5">
        <f>SUM('Activo financiero'!$D$16:$LC$16)</f>
        <v/>
      </c>
      <c r="E17" s="4" t="n"/>
    </row>
    <row r="18">
      <c r="B18" s="6" t="inlineStr">
        <is>
          <t>Activo financiero, saldo final</t>
        </is>
      </c>
      <c r="C18" s="4" t="n"/>
      <c r="D18" s="5">
        <f>'Activo financiero'!$LC$17</f>
        <v/>
      </c>
      <c r="E18" s="4" t="n"/>
    </row>
    <row r="19">
      <c r="B19" s="6" t="inlineStr">
        <is>
          <t>Tasa implicita del activo, anual</t>
        </is>
      </c>
      <c r="C19" s="4" t="n"/>
      <c r="D19" s="8">
        <f>(1+'Activo financiero'!$D$7)^12-1</f>
        <v/>
      </c>
      <c r="E19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22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2" max="2"/>
    <col width="16" customWidth="1" min="3" max="3"/>
    <col width="18" customWidth="1" min="4" max="4"/>
    <col width="46" customWidth="1" min="5" max="5"/>
  </cols>
  <sheetData>
    <row r="2">
      <c r="B2" s="1" t="inlineStr">
        <is>
          <t>Parametros del modelo</t>
        </is>
      </c>
    </row>
    <row r="3">
      <c r="B3" s="2" t="inlineStr">
        <is>
          <t>Las celdas en ambar son de entrada. Las dos ultimas las resuelve el cierre.</t>
        </is>
      </c>
    </row>
    <row r="6">
      <c r="B6" s="6" t="inlineStr">
        <is>
          <t>Costo de obra a financiar</t>
        </is>
      </c>
      <c r="C6" s="4" t="n"/>
      <c r="D6" s="9" t="n">
        <v>261144.8116614452</v>
      </c>
      <c r="E6" s="10" t="inlineStr">
        <is>
          <t>S/ miles</t>
        </is>
      </c>
    </row>
    <row r="7">
      <c r="B7" s="6" t="inlineStr">
        <is>
          <t>Tamano de deuda</t>
        </is>
      </c>
      <c r="C7" s="4" t="n"/>
      <c r="D7" s="11" t="n">
        <v>0.8</v>
      </c>
      <c r="E7" s="10" t="inlineStr">
        <is>
          <t>% del costo de obra</t>
        </is>
      </c>
    </row>
    <row r="8">
      <c r="B8" s="6" t="inlineStr">
        <is>
          <t>Kd, costo de la deuda</t>
        </is>
      </c>
      <c r="C8" s="4" t="n"/>
      <c r="D8" s="12" t="n">
        <v>0.1009295682936526</v>
      </c>
      <c r="E8" s="10" t="inlineStr">
        <is>
          <t>soberano a vida media + spread</t>
        </is>
      </c>
    </row>
    <row r="9">
      <c r="B9" s="6" t="inlineStr">
        <is>
          <t>Spread de deuda</t>
        </is>
      </c>
      <c r="C9" s="4" t="n"/>
      <c r="D9" s="12" t="n">
        <v>0.035</v>
      </c>
      <c r="E9" s="10" t="inlineStr">
        <is>
          <t>sondeo de mercado</t>
        </is>
      </c>
    </row>
    <row r="10">
      <c r="B10" s="6" t="inlineStr">
        <is>
          <t>Ke, costo del patrimonio</t>
        </is>
      </c>
      <c r="C10" s="4" t="n"/>
      <c r="D10" s="12" t="n">
        <v>0.1262264856013662</v>
      </c>
      <c r="E10" s="10" t="inlineStr">
        <is>
          <t>CAPM en USD + riesgo pais + devaluacion</t>
        </is>
      </c>
    </row>
    <row r="11">
      <c r="B11" s="6" t="inlineStr">
        <is>
          <t>WACC</t>
        </is>
      </c>
      <c r="C11" s="4" t="n"/>
      <c r="D11" s="12" t="n">
        <v>0.0973034785069435</v>
      </c>
      <c r="E11" s="10" t="inlineStr">
        <is>
          <t>despues de impuestos</t>
        </is>
      </c>
    </row>
    <row r="12">
      <c r="B12" s="6" t="inlineStr">
        <is>
          <t>Numero de pagos de la deuda</t>
        </is>
      </c>
      <c r="C12" s="4" t="n"/>
      <c r="D12" s="13" t="n">
        <v>144</v>
      </c>
      <c r="E12" s="10" t="inlineStr">
        <is>
          <t>meses</t>
        </is>
      </c>
    </row>
    <row r="13">
      <c r="B13" s="6" t="inlineStr">
        <is>
          <t>IPM, reajuste de ingresos</t>
        </is>
      </c>
      <c r="C13" s="4" t="n"/>
      <c r="D13" s="12" t="n">
        <v>0.0267</v>
      </c>
      <c r="E13" s="10" t="inlineStr">
        <is>
          <t>anual</t>
        </is>
      </c>
    </row>
    <row r="14">
      <c r="B14" s="6" t="inlineStr">
        <is>
          <t>Gatillo del reajuste</t>
        </is>
      </c>
      <c r="C14" s="4" t="n"/>
      <c r="D14" s="11" t="n">
        <v>0.03</v>
      </c>
      <c r="E14" s="10" t="inlineStr">
        <is>
          <t>acumulado que dispara el ajuste</t>
        </is>
      </c>
    </row>
    <row r="15">
      <c r="B15" s="6" t="inlineStr">
        <is>
          <t>IPC, reajuste de costos</t>
        </is>
      </c>
      <c r="C15" s="4" t="n"/>
      <c r="D15" s="12" t="n">
        <v>0.02</v>
      </c>
      <c r="E15" s="10" t="inlineStr">
        <is>
          <t>anual, sin gatillo</t>
        </is>
      </c>
    </row>
    <row r="16">
      <c r="B16" s="6" t="inlineStr">
        <is>
          <t>Tasa de Impuesto a la Renta</t>
        </is>
      </c>
      <c r="C16" s="4" t="n"/>
      <c r="D16" s="11" t="n">
        <v>0.295</v>
      </c>
      <c r="E16" s="10" t="inlineStr"/>
    </row>
    <row r="17">
      <c r="B17" s="6" t="inlineStr">
        <is>
          <t>Participacion de trabajadores</t>
        </is>
      </c>
      <c r="C17" s="4" t="n"/>
      <c r="D17" s="11" t="n">
        <v>0.05</v>
      </c>
      <c r="E17" s="10" t="inlineStr"/>
    </row>
    <row r="18">
      <c r="B18" s="6" t="inlineStr">
        <is>
          <t>Supervision SUNASS</t>
        </is>
      </c>
      <c r="C18" s="4" t="n"/>
      <c r="D18" s="11" t="n">
        <v>0.01</v>
      </c>
      <c r="E18" s="10" t="inlineStr">
        <is>
          <t>% del PPD</t>
        </is>
      </c>
    </row>
    <row r="19">
      <c r="B19" s="6" t="inlineStr">
        <is>
          <t>Margen del costo fijo</t>
        </is>
      </c>
      <c r="C19" s="4" t="n"/>
      <c r="D19" s="11" t="n">
        <v>0.15</v>
      </c>
      <c r="E19" s="10" t="inlineStr">
        <is>
          <t>pass-through de costos</t>
        </is>
      </c>
    </row>
    <row r="20">
      <c r="B20" s="6" t="inlineStr">
        <is>
          <t>PPDMO fijo base mensual</t>
        </is>
      </c>
      <c r="C20" s="4" t="n"/>
      <c r="D20" s="9" t="n">
        <v>556.659175723226</v>
      </c>
      <c r="E20" s="10" t="inlineStr">
        <is>
          <t>S/ miles, calculado de costos</t>
        </is>
      </c>
    </row>
    <row r="21">
      <c r="B21" s="6" t="inlineStr">
        <is>
          <t>Tarifa variable</t>
        </is>
      </c>
      <c r="C21" s="4" t="n"/>
      <c r="D21" s="14" t="n">
        <v>3.858331551275035</v>
      </c>
      <c r="E21" s="10" t="inlineStr">
        <is>
          <t>S/ por kg DBO5 - LA CIERRA Buscar Objetivo</t>
        </is>
      </c>
    </row>
    <row r="22">
      <c r="B22" s="6" t="inlineStr">
        <is>
          <t>PPDI anual</t>
        </is>
      </c>
      <c r="C22" s="4" t="n"/>
      <c r="D22" s="9" t="n">
        <v>46362.14567026292</v>
      </c>
      <c r="E22" s="10" t="inlineStr">
        <is>
          <t>S/ miles - LA CIERRA Buscar Objetivo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I17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3" customWidth="1" min="261" max="261"/>
    <col width="13" customWidth="1" min="262" max="262"/>
    <col width="13" customWidth="1" min="263" max="263"/>
    <col width="13" customWidth="1" min="264" max="264"/>
    <col width="13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13" customWidth="1" min="270" max="270"/>
    <col width="13" customWidth="1" min="271" max="271"/>
    <col width="13" customWidth="1" min="272" max="272"/>
    <col width="13" customWidth="1" min="273" max="273"/>
    <col width="13" customWidth="1" min="274" max="274"/>
    <col width="13" customWidth="1" min="275" max="275"/>
    <col width="13" customWidth="1" min="276" max="276"/>
    <col width="13" customWidth="1" min="277" max="277"/>
    <col width="13" customWidth="1" min="278" max="278"/>
    <col width="13" customWidth="1" min="279" max="279"/>
    <col width="13" customWidth="1" min="280" max="280"/>
    <col width="13" customWidth="1" min="281" max="281"/>
    <col width="13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13" customWidth="1" min="287" max="287"/>
    <col width="13" customWidth="1" min="288" max="288"/>
    <col width="13" customWidth="1" min="289" max="289"/>
    <col width="13" customWidth="1" min="290" max="290"/>
    <col width="13" customWidth="1" min="291" max="291"/>
    <col width="13" customWidth="1" min="292" max="292"/>
    <col width="13" customWidth="1" min="293" max="293"/>
    <col width="13" customWidth="1" min="294" max="294"/>
    <col width="13" customWidth="1" min="295" max="295"/>
    <col width="13" customWidth="1" min="296" max="296"/>
    <col width="13" customWidth="1" min="297" max="297"/>
    <col width="13" customWidth="1" min="298" max="298"/>
    <col width="13" customWidth="1" min="299" max="299"/>
    <col width="13" customWidth="1" min="300" max="300"/>
    <col width="13" customWidth="1" min="301" max="301"/>
    <col width="13" customWidth="1" min="302" max="302"/>
    <col width="13" customWidth="1" min="303" max="303"/>
    <col width="13" customWidth="1" min="304" max="304"/>
    <col width="13" customWidth="1" min="305" max="305"/>
    <col width="13" customWidth="1" min="306" max="306"/>
    <col width="13" customWidth="1" min="307" max="307"/>
    <col width="13" customWidth="1" min="308" max="308"/>
    <col width="13" customWidth="1" min="309" max="309"/>
    <col width="13" customWidth="1" min="310" max="310"/>
    <col width="13" customWidth="1" min="311" max="311"/>
    <col width="13" customWidth="1" min="312" max="312"/>
    <col width="13" customWidth="1" min="313" max="313"/>
    <col width="13" customWidth="1" min="314" max="314"/>
    <col width="13" customWidth="1" min="315" max="315"/>
    <col width="13" customWidth="1" min="316" max="316"/>
    <col width="13" customWidth="1" min="317" max="317"/>
    <col width="13" customWidth="1" min="318" max="318"/>
    <col width="13" customWidth="1" min="319" max="319"/>
    <col width="13" customWidth="1" min="320" max="320"/>
    <col width="13" customWidth="1" min="321" max="321"/>
  </cols>
  <sheetData>
    <row r="2">
      <c r="B2" s="1" t="inlineStr">
        <is>
          <t>Deuda financiera</t>
        </is>
      </c>
    </row>
    <row r="3">
      <c r="B3" s="2" t="inlineStr">
        <is>
          <t>Cuota constante: el servicio sale de PMT y la amortizacion es el residuo.</t>
        </is>
      </c>
    </row>
    <row r="6">
      <c r="B6" s="15" t="inlineStr">
        <is>
          <t>Mes</t>
        </is>
      </c>
      <c r="D6" s="16" t="inlineStr">
        <is>
          <t>2026-10-31</t>
        </is>
      </c>
      <c r="E6" s="16" t="inlineStr">
        <is>
          <t>2026-11-30</t>
        </is>
      </c>
      <c r="F6" s="16" t="inlineStr">
        <is>
          <t>2026-12-31</t>
        </is>
      </c>
      <c r="G6" s="16" t="inlineStr">
        <is>
          <t>2027-01-31</t>
        </is>
      </c>
      <c r="H6" s="16" t="inlineStr">
        <is>
          <t>2027-02-28</t>
        </is>
      </c>
      <c r="I6" s="16" t="inlineStr">
        <is>
          <t>2027-03-31</t>
        </is>
      </c>
      <c r="J6" s="16" t="inlineStr">
        <is>
          <t>2027-04-30</t>
        </is>
      </c>
      <c r="K6" s="16" t="inlineStr">
        <is>
          <t>2027-05-31</t>
        </is>
      </c>
      <c r="L6" s="16" t="inlineStr">
        <is>
          <t>2027-06-30</t>
        </is>
      </c>
      <c r="M6" s="16" t="inlineStr">
        <is>
          <t>2027-07-31</t>
        </is>
      </c>
      <c r="N6" s="16" t="inlineStr">
        <is>
          <t>2027-08-31</t>
        </is>
      </c>
      <c r="O6" s="16" t="inlineStr">
        <is>
          <t>2027-09-30</t>
        </is>
      </c>
      <c r="P6" s="16" t="inlineStr">
        <is>
          <t>2027-10-31</t>
        </is>
      </c>
      <c r="Q6" s="16" t="inlineStr">
        <is>
          <t>2027-11-30</t>
        </is>
      </c>
      <c r="R6" s="16" t="inlineStr">
        <is>
          <t>2027-12-31</t>
        </is>
      </c>
      <c r="S6" s="16" t="inlineStr">
        <is>
          <t>2028-01-31</t>
        </is>
      </c>
      <c r="T6" s="16" t="inlineStr">
        <is>
          <t>2028-02-29</t>
        </is>
      </c>
      <c r="U6" s="16" t="inlineStr">
        <is>
          <t>2028-03-31</t>
        </is>
      </c>
      <c r="V6" s="16" t="inlineStr">
        <is>
          <t>2028-04-30</t>
        </is>
      </c>
      <c r="W6" s="16" t="inlineStr">
        <is>
          <t>2028-05-31</t>
        </is>
      </c>
      <c r="X6" s="16" t="inlineStr">
        <is>
          <t>2028-06-30</t>
        </is>
      </c>
      <c r="Y6" s="16" t="inlineStr">
        <is>
          <t>2028-07-31</t>
        </is>
      </c>
      <c r="Z6" s="16" t="inlineStr">
        <is>
          <t>2028-08-31</t>
        </is>
      </c>
      <c r="AA6" s="16" t="inlineStr">
        <is>
          <t>2028-09-30</t>
        </is>
      </c>
      <c r="AB6" s="16" t="inlineStr">
        <is>
          <t>2028-10-31</t>
        </is>
      </c>
      <c r="AC6" s="16" t="inlineStr">
        <is>
          <t>2028-11-30</t>
        </is>
      </c>
      <c r="AD6" s="16" t="inlineStr">
        <is>
          <t>2028-12-31</t>
        </is>
      </c>
      <c r="AE6" s="16" t="inlineStr">
        <is>
          <t>2029-01-31</t>
        </is>
      </c>
      <c r="AF6" s="16" t="inlineStr">
        <is>
          <t>2029-02-28</t>
        </is>
      </c>
      <c r="AG6" s="16" t="inlineStr">
        <is>
          <t>2029-03-31</t>
        </is>
      </c>
      <c r="AH6" s="16" t="inlineStr">
        <is>
          <t>2029-04-30</t>
        </is>
      </c>
      <c r="AI6" s="16" t="inlineStr">
        <is>
          <t>2029-05-31</t>
        </is>
      </c>
      <c r="AJ6" s="16" t="inlineStr">
        <is>
          <t>2029-06-30</t>
        </is>
      </c>
      <c r="AK6" s="16" t="inlineStr">
        <is>
          <t>2029-07-31</t>
        </is>
      </c>
      <c r="AL6" s="16" t="inlineStr">
        <is>
          <t>2029-08-31</t>
        </is>
      </c>
      <c r="AM6" s="16" t="inlineStr">
        <is>
          <t>2029-09-30</t>
        </is>
      </c>
      <c r="AN6" s="16" t="inlineStr">
        <is>
          <t>2029-10-31</t>
        </is>
      </c>
      <c r="AO6" s="16" t="inlineStr">
        <is>
          <t>2029-11-30</t>
        </is>
      </c>
      <c r="AP6" s="16" t="inlineStr">
        <is>
          <t>2029-12-31</t>
        </is>
      </c>
      <c r="AQ6" s="16" t="inlineStr">
        <is>
          <t>2030-01-31</t>
        </is>
      </c>
      <c r="AR6" s="16" t="inlineStr">
        <is>
          <t>2030-02-28</t>
        </is>
      </c>
      <c r="AS6" s="16" t="inlineStr">
        <is>
          <t>2030-03-31</t>
        </is>
      </c>
      <c r="AT6" s="16" t="inlineStr">
        <is>
          <t>2030-04-30</t>
        </is>
      </c>
      <c r="AU6" s="16" t="inlineStr">
        <is>
          <t>2030-05-31</t>
        </is>
      </c>
      <c r="AV6" s="16" t="inlineStr">
        <is>
          <t>2030-06-30</t>
        </is>
      </c>
      <c r="AW6" s="16" t="inlineStr">
        <is>
          <t>2030-07-31</t>
        </is>
      </c>
      <c r="AX6" s="16" t="inlineStr">
        <is>
          <t>2030-08-31</t>
        </is>
      </c>
      <c r="AY6" s="16" t="inlineStr">
        <is>
          <t>2030-09-30</t>
        </is>
      </c>
      <c r="AZ6" s="16" t="inlineStr">
        <is>
          <t>2030-10-31</t>
        </is>
      </c>
      <c r="BA6" s="16" t="inlineStr">
        <is>
          <t>2030-11-30</t>
        </is>
      </c>
      <c r="BB6" s="16" t="inlineStr">
        <is>
          <t>2030-12-31</t>
        </is>
      </c>
      <c r="BC6" s="16" t="inlineStr">
        <is>
          <t>2031-01-31</t>
        </is>
      </c>
      <c r="BD6" s="16" t="inlineStr">
        <is>
          <t>2031-02-28</t>
        </is>
      </c>
      <c r="BE6" s="16" t="inlineStr">
        <is>
          <t>2031-03-31</t>
        </is>
      </c>
      <c r="BF6" s="16" t="inlineStr">
        <is>
          <t>2031-04-30</t>
        </is>
      </c>
      <c r="BG6" s="16" t="inlineStr">
        <is>
          <t>2031-05-31</t>
        </is>
      </c>
      <c r="BH6" s="16" t="inlineStr">
        <is>
          <t>2031-06-30</t>
        </is>
      </c>
      <c r="BI6" s="16" t="inlineStr">
        <is>
          <t>2031-07-31</t>
        </is>
      </c>
      <c r="BJ6" s="16" t="inlineStr">
        <is>
          <t>2031-08-31</t>
        </is>
      </c>
      <c r="BK6" s="16" t="inlineStr">
        <is>
          <t>2031-09-30</t>
        </is>
      </c>
      <c r="BL6" s="16" t="inlineStr">
        <is>
          <t>2031-10-31</t>
        </is>
      </c>
      <c r="BM6" s="16" t="inlineStr">
        <is>
          <t>2031-11-30</t>
        </is>
      </c>
      <c r="BN6" s="16" t="inlineStr">
        <is>
          <t>2031-12-31</t>
        </is>
      </c>
      <c r="BO6" s="16" t="inlineStr">
        <is>
          <t>2032-01-31</t>
        </is>
      </c>
      <c r="BP6" s="16" t="inlineStr">
        <is>
          <t>2032-02-29</t>
        </is>
      </c>
      <c r="BQ6" s="16" t="inlineStr">
        <is>
          <t>2032-03-31</t>
        </is>
      </c>
      <c r="BR6" s="16" t="inlineStr">
        <is>
          <t>2032-04-30</t>
        </is>
      </c>
      <c r="BS6" s="16" t="inlineStr">
        <is>
          <t>2032-05-31</t>
        </is>
      </c>
      <c r="BT6" s="16" t="inlineStr">
        <is>
          <t>2032-06-30</t>
        </is>
      </c>
      <c r="BU6" s="16" t="inlineStr">
        <is>
          <t>2032-07-31</t>
        </is>
      </c>
      <c r="BV6" s="16" t="inlineStr">
        <is>
          <t>2032-08-31</t>
        </is>
      </c>
      <c r="BW6" s="16" t="inlineStr">
        <is>
          <t>2032-09-30</t>
        </is>
      </c>
      <c r="BX6" s="16" t="inlineStr">
        <is>
          <t>2032-10-31</t>
        </is>
      </c>
      <c r="BY6" s="16" t="inlineStr">
        <is>
          <t>2032-11-30</t>
        </is>
      </c>
      <c r="BZ6" s="16" t="inlineStr">
        <is>
          <t>2032-12-31</t>
        </is>
      </c>
      <c r="CA6" s="16" t="inlineStr">
        <is>
          <t>2033-01-31</t>
        </is>
      </c>
      <c r="CB6" s="16" t="inlineStr">
        <is>
          <t>2033-02-28</t>
        </is>
      </c>
      <c r="CC6" s="16" t="inlineStr">
        <is>
          <t>2033-03-31</t>
        </is>
      </c>
      <c r="CD6" s="16" t="inlineStr">
        <is>
          <t>2033-04-30</t>
        </is>
      </c>
      <c r="CE6" s="16" t="inlineStr">
        <is>
          <t>2033-05-31</t>
        </is>
      </c>
      <c r="CF6" s="16" t="inlineStr">
        <is>
          <t>2033-06-30</t>
        </is>
      </c>
      <c r="CG6" s="16" t="inlineStr">
        <is>
          <t>2033-07-31</t>
        </is>
      </c>
      <c r="CH6" s="16" t="inlineStr">
        <is>
          <t>2033-08-31</t>
        </is>
      </c>
      <c r="CI6" s="16" t="inlineStr">
        <is>
          <t>2033-09-30</t>
        </is>
      </c>
      <c r="CJ6" s="16" t="inlineStr">
        <is>
          <t>2033-10-31</t>
        </is>
      </c>
      <c r="CK6" s="16" t="inlineStr">
        <is>
          <t>2033-11-30</t>
        </is>
      </c>
      <c r="CL6" s="16" t="inlineStr">
        <is>
          <t>2033-12-31</t>
        </is>
      </c>
      <c r="CM6" s="16" t="inlineStr">
        <is>
          <t>2034-01-31</t>
        </is>
      </c>
      <c r="CN6" s="16" t="inlineStr">
        <is>
          <t>2034-02-28</t>
        </is>
      </c>
      <c r="CO6" s="16" t="inlineStr">
        <is>
          <t>2034-03-31</t>
        </is>
      </c>
      <c r="CP6" s="16" t="inlineStr">
        <is>
          <t>2034-04-30</t>
        </is>
      </c>
      <c r="CQ6" s="16" t="inlineStr">
        <is>
          <t>2034-05-31</t>
        </is>
      </c>
      <c r="CR6" s="16" t="inlineStr">
        <is>
          <t>2034-06-30</t>
        </is>
      </c>
      <c r="CS6" s="16" t="inlineStr">
        <is>
          <t>2034-07-31</t>
        </is>
      </c>
      <c r="CT6" s="16" t="inlineStr">
        <is>
          <t>2034-08-31</t>
        </is>
      </c>
      <c r="CU6" s="16" t="inlineStr">
        <is>
          <t>2034-09-30</t>
        </is>
      </c>
      <c r="CV6" s="16" t="inlineStr">
        <is>
          <t>2034-10-31</t>
        </is>
      </c>
      <c r="CW6" s="16" t="inlineStr">
        <is>
          <t>2034-11-30</t>
        </is>
      </c>
      <c r="CX6" s="16" t="inlineStr">
        <is>
          <t>2034-12-31</t>
        </is>
      </c>
      <c r="CY6" s="16" t="inlineStr">
        <is>
          <t>2035-01-31</t>
        </is>
      </c>
      <c r="CZ6" s="16" t="inlineStr">
        <is>
          <t>2035-02-28</t>
        </is>
      </c>
      <c r="DA6" s="16" t="inlineStr">
        <is>
          <t>2035-03-31</t>
        </is>
      </c>
      <c r="DB6" s="16" t="inlineStr">
        <is>
          <t>2035-04-30</t>
        </is>
      </c>
      <c r="DC6" s="16" t="inlineStr">
        <is>
          <t>2035-05-31</t>
        </is>
      </c>
      <c r="DD6" s="16" t="inlineStr">
        <is>
          <t>2035-06-30</t>
        </is>
      </c>
      <c r="DE6" s="16" t="inlineStr">
        <is>
          <t>2035-07-31</t>
        </is>
      </c>
      <c r="DF6" s="16" t="inlineStr">
        <is>
          <t>2035-08-31</t>
        </is>
      </c>
      <c r="DG6" s="16" t="inlineStr">
        <is>
          <t>2035-09-30</t>
        </is>
      </c>
      <c r="DH6" s="16" t="inlineStr">
        <is>
          <t>2035-10-31</t>
        </is>
      </c>
      <c r="DI6" s="16" t="inlineStr">
        <is>
          <t>2035-11-30</t>
        </is>
      </c>
      <c r="DJ6" s="16" t="inlineStr">
        <is>
          <t>2035-12-31</t>
        </is>
      </c>
      <c r="DK6" s="16" t="inlineStr">
        <is>
          <t>2036-01-31</t>
        </is>
      </c>
      <c r="DL6" s="16" t="inlineStr">
        <is>
          <t>2036-02-29</t>
        </is>
      </c>
      <c r="DM6" s="16" t="inlineStr">
        <is>
          <t>2036-03-31</t>
        </is>
      </c>
      <c r="DN6" s="16" t="inlineStr">
        <is>
          <t>2036-04-30</t>
        </is>
      </c>
      <c r="DO6" s="16" t="inlineStr">
        <is>
          <t>2036-05-31</t>
        </is>
      </c>
      <c r="DP6" s="16" t="inlineStr">
        <is>
          <t>2036-06-30</t>
        </is>
      </c>
      <c r="DQ6" s="16" t="inlineStr">
        <is>
          <t>2036-07-31</t>
        </is>
      </c>
      <c r="DR6" s="16" t="inlineStr">
        <is>
          <t>2036-08-31</t>
        </is>
      </c>
      <c r="DS6" s="16" t="inlineStr">
        <is>
          <t>2036-09-30</t>
        </is>
      </c>
      <c r="DT6" s="16" t="inlineStr">
        <is>
          <t>2036-10-31</t>
        </is>
      </c>
      <c r="DU6" s="16" t="inlineStr">
        <is>
          <t>2036-11-30</t>
        </is>
      </c>
      <c r="DV6" s="16" t="inlineStr">
        <is>
          <t>2036-12-31</t>
        </is>
      </c>
      <c r="DW6" s="16" t="inlineStr">
        <is>
          <t>2037-01-31</t>
        </is>
      </c>
      <c r="DX6" s="16" t="inlineStr">
        <is>
          <t>2037-02-28</t>
        </is>
      </c>
      <c r="DY6" s="16" t="inlineStr">
        <is>
          <t>2037-03-31</t>
        </is>
      </c>
      <c r="DZ6" s="16" t="inlineStr">
        <is>
          <t>2037-04-30</t>
        </is>
      </c>
      <c r="EA6" s="16" t="inlineStr">
        <is>
          <t>2037-05-31</t>
        </is>
      </c>
      <c r="EB6" s="16" t="inlineStr">
        <is>
          <t>2037-06-30</t>
        </is>
      </c>
      <c r="EC6" s="16" t="inlineStr">
        <is>
          <t>2037-07-31</t>
        </is>
      </c>
      <c r="ED6" s="16" t="inlineStr">
        <is>
          <t>2037-08-31</t>
        </is>
      </c>
      <c r="EE6" s="16" t="inlineStr">
        <is>
          <t>2037-09-30</t>
        </is>
      </c>
      <c r="EF6" s="16" t="inlineStr">
        <is>
          <t>2037-10-31</t>
        </is>
      </c>
      <c r="EG6" s="16" t="inlineStr">
        <is>
          <t>2037-11-30</t>
        </is>
      </c>
      <c r="EH6" s="16" t="inlineStr">
        <is>
          <t>2037-12-31</t>
        </is>
      </c>
      <c r="EI6" s="16" t="inlineStr">
        <is>
          <t>2038-01-31</t>
        </is>
      </c>
      <c r="EJ6" s="16" t="inlineStr">
        <is>
          <t>2038-02-28</t>
        </is>
      </c>
      <c r="EK6" s="16" t="inlineStr">
        <is>
          <t>2038-03-31</t>
        </is>
      </c>
      <c r="EL6" s="16" t="inlineStr">
        <is>
          <t>2038-04-30</t>
        </is>
      </c>
      <c r="EM6" s="16" t="inlineStr">
        <is>
          <t>2038-05-31</t>
        </is>
      </c>
      <c r="EN6" s="16" t="inlineStr">
        <is>
          <t>2038-06-30</t>
        </is>
      </c>
      <c r="EO6" s="16" t="inlineStr">
        <is>
          <t>2038-07-31</t>
        </is>
      </c>
      <c r="EP6" s="16" t="inlineStr">
        <is>
          <t>2038-08-31</t>
        </is>
      </c>
      <c r="EQ6" s="16" t="inlineStr">
        <is>
          <t>2038-09-30</t>
        </is>
      </c>
      <c r="ER6" s="16" t="inlineStr">
        <is>
          <t>2038-10-31</t>
        </is>
      </c>
      <c r="ES6" s="16" t="inlineStr">
        <is>
          <t>2038-11-30</t>
        </is>
      </c>
      <c r="ET6" s="16" t="inlineStr">
        <is>
          <t>2038-12-31</t>
        </is>
      </c>
      <c r="EU6" s="16" t="inlineStr">
        <is>
          <t>2039-01-31</t>
        </is>
      </c>
      <c r="EV6" s="16" t="inlineStr">
        <is>
          <t>2039-02-28</t>
        </is>
      </c>
      <c r="EW6" s="16" t="inlineStr">
        <is>
          <t>2039-03-31</t>
        </is>
      </c>
      <c r="EX6" s="16" t="inlineStr">
        <is>
          <t>2039-04-30</t>
        </is>
      </c>
      <c r="EY6" s="16" t="inlineStr">
        <is>
          <t>2039-05-31</t>
        </is>
      </c>
      <c r="EZ6" s="16" t="inlineStr">
        <is>
          <t>2039-06-30</t>
        </is>
      </c>
      <c r="FA6" s="16" t="inlineStr">
        <is>
          <t>2039-07-31</t>
        </is>
      </c>
      <c r="FB6" s="16" t="inlineStr">
        <is>
          <t>2039-08-31</t>
        </is>
      </c>
      <c r="FC6" s="16" t="inlineStr">
        <is>
          <t>2039-09-30</t>
        </is>
      </c>
      <c r="FD6" s="16" t="inlineStr">
        <is>
          <t>2039-10-31</t>
        </is>
      </c>
      <c r="FE6" s="16" t="inlineStr">
        <is>
          <t>2039-11-30</t>
        </is>
      </c>
      <c r="FF6" s="16" t="inlineStr">
        <is>
          <t>2039-12-31</t>
        </is>
      </c>
      <c r="FG6" s="16" t="inlineStr">
        <is>
          <t>2040-01-31</t>
        </is>
      </c>
      <c r="FH6" s="16" t="inlineStr">
        <is>
          <t>2040-02-29</t>
        </is>
      </c>
      <c r="FI6" s="16" t="inlineStr">
        <is>
          <t>2040-03-31</t>
        </is>
      </c>
      <c r="FJ6" s="16" t="inlineStr">
        <is>
          <t>2040-04-30</t>
        </is>
      </c>
      <c r="FK6" s="16" t="inlineStr">
        <is>
          <t>2040-05-31</t>
        </is>
      </c>
      <c r="FL6" s="16" t="inlineStr">
        <is>
          <t>2040-06-30</t>
        </is>
      </c>
      <c r="FM6" s="16" t="inlineStr">
        <is>
          <t>2040-07-31</t>
        </is>
      </c>
      <c r="FN6" s="16" t="inlineStr">
        <is>
          <t>2040-08-31</t>
        </is>
      </c>
      <c r="FO6" s="16" t="inlineStr">
        <is>
          <t>2040-09-30</t>
        </is>
      </c>
      <c r="FP6" s="16" t="inlineStr">
        <is>
          <t>2040-10-31</t>
        </is>
      </c>
      <c r="FQ6" s="16" t="inlineStr">
        <is>
          <t>2040-11-30</t>
        </is>
      </c>
      <c r="FR6" s="16" t="inlineStr">
        <is>
          <t>2040-12-31</t>
        </is>
      </c>
      <c r="FS6" s="16" t="inlineStr">
        <is>
          <t>2041-01-31</t>
        </is>
      </c>
      <c r="FT6" s="16" t="inlineStr">
        <is>
          <t>2041-02-28</t>
        </is>
      </c>
      <c r="FU6" s="16" t="inlineStr">
        <is>
          <t>2041-03-31</t>
        </is>
      </c>
      <c r="FV6" s="16" t="inlineStr">
        <is>
          <t>2041-04-30</t>
        </is>
      </c>
      <c r="FW6" s="16" t="inlineStr">
        <is>
          <t>2041-05-31</t>
        </is>
      </c>
      <c r="FX6" s="16" t="inlineStr">
        <is>
          <t>2041-06-30</t>
        </is>
      </c>
      <c r="FY6" s="16" t="inlineStr">
        <is>
          <t>2041-07-31</t>
        </is>
      </c>
      <c r="FZ6" s="16" t="inlineStr">
        <is>
          <t>2041-08-31</t>
        </is>
      </c>
      <c r="GA6" s="16" t="inlineStr">
        <is>
          <t>2041-09-30</t>
        </is>
      </c>
      <c r="GB6" s="16" t="inlineStr">
        <is>
          <t>2041-10-31</t>
        </is>
      </c>
      <c r="GC6" s="16" t="inlineStr">
        <is>
          <t>2041-11-30</t>
        </is>
      </c>
      <c r="GD6" s="16" t="inlineStr">
        <is>
          <t>2041-12-31</t>
        </is>
      </c>
      <c r="GE6" s="16" t="inlineStr">
        <is>
          <t>2042-01-31</t>
        </is>
      </c>
      <c r="GF6" s="16" t="inlineStr">
        <is>
          <t>2042-02-28</t>
        </is>
      </c>
      <c r="GG6" s="16" t="inlineStr">
        <is>
          <t>2042-03-31</t>
        </is>
      </c>
      <c r="GH6" s="16" t="inlineStr">
        <is>
          <t>2042-04-30</t>
        </is>
      </c>
      <c r="GI6" s="16" t="inlineStr">
        <is>
          <t>2042-05-31</t>
        </is>
      </c>
      <c r="GJ6" s="16" t="inlineStr">
        <is>
          <t>2042-06-30</t>
        </is>
      </c>
      <c r="GK6" s="16" t="inlineStr">
        <is>
          <t>2042-07-31</t>
        </is>
      </c>
      <c r="GL6" s="16" t="inlineStr">
        <is>
          <t>2042-08-31</t>
        </is>
      </c>
      <c r="GM6" s="16" t="inlineStr">
        <is>
          <t>2042-09-30</t>
        </is>
      </c>
      <c r="GN6" s="16" t="inlineStr">
        <is>
          <t>2042-10-31</t>
        </is>
      </c>
      <c r="GO6" s="16" t="inlineStr">
        <is>
          <t>2042-11-30</t>
        </is>
      </c>
      <c r="GP6" s="16" t="inlineStr">
        <is>
          <t>2042-12-31</t>
        </is>
      </c>
      <c r="GQ6" s="16" t="inlineStr">
        <is>
          <t>2043-01-31</t>
        </is>
      </c>
      <c r="GR6" s="16" t="inlineStr">
        <is>
          <t>2043-02-28</t>
        </is>
      </c>
      <c r="GS6" s="16" t="inlineStr">
        <is>
          <t>2043-03-31</t>
        </is>
      </c>
      <c r="GT6" s="16" t="inlineStr">
        <is>
          <t>2043-04-30</t>
        </is>
      </c>
      <c r="GU6" s="16" t="inlineStr">
        <is>
          <t>2043-05-31</t>
        </is>
      </c>
      <c r="GV6" s="16" t="inlineStr">
        <is>
          <t>2043-06-30</t>
        </is>
      </c>
      <c r="GW6" s="16" t="inlineStr">
        <is>
          <t>2043-07-31</t>
        </is>
      </c>
      <c r="GX6" s="16" t="inlineStr">
        <is>
          <t>2043-08-31</t>
        </is>
      </c>
      <c r="GY6" s="16" t="inlineStr">
        <is>
          <t>2043-09-30</t>
        </is>
      </c>
      <c r="GZ6" s="16" t="inlineStr">
        <is>
          <t>2043-10-31</t>
        </is>
      </c>
      <c r="HA6" s="16" t="inlineStr">
        <is>
          <t>2043-11-30</t>
        </is>
      </c>
      <c r="HB6" s="16" t="inlineStr">
        <is>
          <t>2043-12-31</t>
        </is>
      </c>
      <c r="HC6" s="16" t="inlineStr">
        <is>
          <t>2044-01-31</t>
        </is>
      </c>
      <c r="HD6" s="16" t="inlineStr">
        <is>
          <t>2044-02-29</t>
        </is>
      </c>
      <c r="HE6" s="16" t="inlineStr">
        <is>
          <t>2044-03-31</t>
        </is>
      </c>
      <c r="HF6" s="16" t="inlineStr">
        <is>
          <t>2044-04-30</t>
        </is>
      </c>
      <c r="HG6" s="16" t="inlineStr">
        <is>
          <t>2044-05-31</t>
        </is>
      </c>
      <c r="HH6" s="16" t="inlineStr">
        <is>
          <t>2044-06-30</t>
        </is>
      </c>
      <c r="HI6" s="16" t="inlineStr">
        <is>
          <t>2044-07-31</t>
        </is>
      </c>
      <c r="HJ6" s="16" t="inlineStr">
        <is>
          <t>2044-08-31</t>
        </is>
      </c>
      <c r="HK6" s="16" t="inlineStr">
        <is>
          <t>2044-09-30</t>
        </is>
      </c>
      <c r="HL6" s="16" t="inlineStr">
        <is>
          <t>2044-10-31</t>
        </is>
      </c>
      <c r="HM6" s="16" t="inlineStr">
        <is>
          <t>2044-11-30</t>
        </is>
      </c>
      <c r="HN6" s="16" t="inlineStr">
        <is>
          <t>2044-12-31</t>
        </is>
      </c>
      <c r="HO6" s="16" t="inlineStr">
        <is>
          <t>2045-01-31</t>
        </is>
      </c>
      <c r="HP6" s="16" t="inlineStr">
        <is>
          <t>2045-02-28</t>
        </is>
      </c>
      <c r="HQ6" s="16" t="inlineStr">
        <is>
          <t>2045-03-31</t>
        </is>
      </c>
      <c r="HR6" s="16" t="inlineStr">
        <is>
          <t>2045-04-30</t>
        </is>
      </c>
      <c r="HS6" s="16" t="inlineStr">
        <is>
          <t>2045-05-31</t>
        </is>
      </c>
      <c r="HT6" s="16" t="inlineStr">
        <is>
          <t>2045-06-30</t>
        </is>
      </c>
      <c r="HU6" s="16" t="inlineStr">
        <is>
          <t>2045-07-31</t>
        </is>
      </c>
      <c r="HV6" s="16" t="inlineStr">
        <is>
          <t>2045-08-31</t>
        </is>
      </c>
      <c r="HW6" s="16" t="inlineStr">
        <is>
          <t>2045-09-30</t>
        </is>
      </c>
      <c r="HX6" s="16" t="inlineStr">
        <is>
          <t>2045-10-31</t>
        </is>
      </c>
      <c r="HY6" s="16" t="inlineStr">
        <is>
          <t>2045-11-30</t>
        </is>
      </c>
      <c r="HZ6" s="16" t="inlineStr">
        <is>
          <t>2045-12-31</t>
        </is>
      </c>
      <c r="IA6" s="16" t="inlineStr">
        <is>
          <t>2046-01-31</t>
        </is>
      </c>
      <c r="IB6" s="16" t="inlineStr">
        <is>
          <t>2046-02-28</t>
        </is>
      </c>
      <c r="IC6" s="16" t="inlineStr">
        <is>
          <t>2046-03-31</t>
        </is>
      </c>
      <c r="ID6" s="16" t="inlineStr">
        <is>
          <t>2046-04-30</t>
        </is>
      </c>
      <c r="IE6" s="16" t="inlineStr">
        <is>
          <t>2046-05-31</t>
        </is>
      </c>
      <c r="IF6" s="16" t="inlineStr">
        <is>
          <t>2046-06-30</t>
        </is>
      </c>
      <c r="IG6" s="16" t="inlineStr">
        <is>
          <t>2046-07-31</t>
        </is>
      </c>
      <c r="IH6" s="16" t="inlineStr">
        <is>
          <t>2046-08-31</t>
        </is>
      </c>
      <c r="II6" s="16" t="inlineStr">
        <is>
          <t>2046-09-30</t>
        </is>
      </c>
      <c r="IJ6" s="16" t="inlineStr">
        <is>
          <t>2046-10-31</t>
        </is>
      </c>
      <c r="IK6" s="16" t="inlineStr">
        <is>
          <t>2046-11-30</t>
        </is>
      </c>
      <c r="IL6" s="16" t="inlineStr">
        <is>
          <t>2046-12-31</t>
        </is>
      </c>
      <c r="IM6" s="16" t="inlineStr">
        <is>
          <t>2047-01-31</t>
        </is>
      </c>
      <c r="IN6" s="16" t="inlineStr">
        <is>
          <t>2047-02-28</t>
        </is>
      </c>
      <c r="IO6" s="16" t="inlineStr">
        <is>
          <t>2047-03-31</t>
        </is>
      </c>
      <c r="IP6" s="16" t="inlineStr">
        <is>
          <t>2047-04-30</t>
        </is>
      </c>
      <c r="IQ6" s="16" t="inlineStr">
        <is>
          <t>2047-05-31</t>
        </is>
      </c>
      <c r="IR6" s="16" t="inlineStr">
        <is>
          <t>2047-06-30</t>
        </is>
      </c>
      <c r="IS6" s="16" t="inlineStr">
        <is>
          <t>2047-07-31</t>
        </is>
      </c>
      <c r="IT6" s="16" t="inlineStr">
        <is>
          <t>2047-08-31</t>
        </is>
      </c>
      <c r="IU6" s="16" t="inlineStr">
        <is>
          <t>2047-09-30</t>
        </is>
      </c>
      <c r="IV6" s="16" t="inlineStr">
        <is>
          <t>2047-10-31</t>
        </is>
      </c>
      <c r="IW6" s="16" t="inlineStr">
        <is>
          <t>2047-11-30</t>
        </is>
      </c>
      <c r="IX6" s="16" t="inlineStr">
        <is>
          <t>2047-12-31</t>
        </is>
      </c>
      <c r="IY6" s="16" t="inlineStr">
        <is>
          <t>2048-01-31</t>
        </is>
      </c>
      <c r="IZ6" s="16" t="inlineStr">
        <is>
          <t>2048-02-29</t>
        </is>
      </c>
      <c r="JA6" s="16" t="inlineStr">
        <is>
          <t>2048-03-31</t>
        </is>
      </c>
      <c r="JB6" s="16" t="inlineStr">
        <is>
          <t>2048-04-30</t>
        </is>
      </c>
      <c r="JC6" s="16" t="inlineStr">
        <is>
          <t>2048-05-31</t>
        </is>
      </c>
      <c r="JD6" s="16" t="inlineStr">
        <is>
          <t>2048-06-30</t>
        </is>
      </c>
      <c r="JE6" s="16" t="inlineStr">
        <is>
          <t>2048-07-31</t>
        </is>
      </c>
      <c r="JF6" s="16" t="inlineStr">
        <is>
          <t>2048-08-31</t>
        </is>
      </c>
      <c r="JG6" s="16" t="inlineStr">
        <is>
          <t>2048-09-30</t>
        </is>
      </c>
      <c r="JH6" s="16" t="inlineStr">
        <is>
          <t>2048-10-31</t>
        </is>
      </c>
      <c r="JI6" s="16" t="inlineStr">
        <is>
          <t>2048-11-30</t>
        </is>
      </c>
      <c r="JJ6" s="16" t="inlineStr">
        <is>
          <t>2048-12-31</t>
        </is>
      </c>
      <c r="JK6" s="16" t="inlineStr">
        <is>
          <t>2049-01-31</t>
        </is>
      </c>
      <c r="JL6" s="16" t="inlineStr">
        <is>
          <t>2049-02-28</t>
        </is>
      </c>
      <c r="JM6" s="16" t="inlineStr">
        <is>
          <t>2049-03-31</t>
        </is>
      </c>
      <c r="JN6" s="16" t="inlineStr">
        <is>
          <t>2049-04-30</t>
        </is>
      </c>
      <c r="JO6" s="16" t="inlineStr">
        <is>
          <t>2049-05-31</t>
        </is>
      </c>
      <c r="JP6" s="16" t="inlineStr">
        <is>
          <t>2049-06-30</t>
        </is>
      </c>
      <c r="JQ6" s="16" t="inlineStr">
        <is>
          <t>2049-07-31</t>
        </is>
      </c>
      <c r="JR6" s="16" t="inlineStr">
        <is>
          <t>2049-08-31</t>
        </is>
      </c>
      <c r="JS6" s="16" t="inlineStr">
        <is>
          <t>2049-09-30</t>
        </is>
      </c>
      <c r="JT6" s="16" t="inlineStr">
        <is>
          <t>2049-10-31</t>
        </is>
      </c>
      <c r="JU6" s="16" t="inlineStr">
        <is>
          <t>2049-11-30</t>
        </is>
      </c>
      <c r="JV6" s="16" t="inlineStr">
        <is>
          <t>2049-12-31</t>
        </is>
      </c>
      <c r="JW6" s="16" t="inlineStr">
        <is>
          <t>2050-01-31</t>
        </is>
      </c>
      <c r="JX6" s="16" t="inlineStr">
        <is>
          <t>2050-02-28</t>
        </is>
      </c>
      <c r="JY6" s="16" t="inlineStr">
        <is>
          <t>2050-03-31</t>
        </is>
      </c>
      <c r="JZ6" s="16" t="inlineStr">
        <is>
          <t>2050-04-30</t>
        </is>
      </c>
      <c r="KA6" s="16" t="inlineStr">
        <is>
          <t>2050-05-31</t>
        </is>
      </c>
      <c r="KB6" s="16" t="inlineStr">
        <is>
          <t>2050-06-30</t>
        </is>
      </c>
      <c r="KC6" s="16" t="inlineStr">
        <is>
          <t>2050-07-31</t>
        </is>
      </c>
      <c r="KD6" s="16" t="inlineStr">
        <is>
          <t>2050-08-31</t>
        </is>
      </c>
      <c r="KE6" s="16" t="inlineStr">
        <is>
          <t>2050-09-30</t>
        </is>
      </c>
      <c r="KF6" s="16" t="inlineStr">
        <is>
          <t>2050-10-31</t>
        </is>
      </c>
      <c r="KG6" s="16" t="inlineStr">
        <is>
          <t>2050-11-30</t>
        </is>
      </c>
      <c r="KH6" s="16" t="inlineStr">
        <is>
          <t>2050-12-31</t>
        </is>
      </c>
      <c r="KI6" s="16" t="inlineStr">
        <is>
          <t>2051-01-31</t>
        </is>
      </c>
      <c r="KJ6" s="16" t="inlineStr">
        <is>
          <t>2051-02-28</t>
        </is>
      </c>
      <c r="KK6" s="16" t="inlineStr">
        <is>
          <t>2051-03-31</t>
        </is>
      </c>
      <c r="KL6" s="16" t="inlineStr">
        <is>
          <t>2051-04-30</t>
        </is>
      </c>
      <c r="KM6" s="16" t="inlineStr">
        <is>
          <t>2051-05-31</t>
        </is>
      </c>
      <c r="KN6" s="16" t="inlineStr">
        <is>
          <t>2051-06-30</t>
        </is>
      </c>
      <c r="KO6" s="16" t="inlineStr">
        <is>
          <t>2051-07-31</t>
        </is>
      </c>
      <c r="KP6" s="16" t="inlineStr">
        <is>
          <t>2051-08-31</t>
        </is>
      </c>
      <c r="KQ6" s="16" t="inlineStr">
        <is>
          <t>2051-09-30</t>
        </is>
      </c>
      <c r="KR6" s="16" t="inlineStr">
        <is>
          <t>2051-10-31</t>
        </is>
      </c>
      <c r="KS6" s="16" t="inlineStr">
        <is>
          <t>2051-11-30</t>
        </is>
      </c>
      <c r="KT6" s="16" t="inlineStr">
        <is>
          <t>2051-12-31</t>
        </is>
      </c>
      <c r="KU6" s="16" t="inlineStr">
        <is>
          <t>2052-01-31</t>
        </is>
      </c>
      <c r="KV6" s="16" t="inlineStr">
        <is>
          <t>2052-02-29</t>
        </is>
      </c>
      <c r="KW6" s="16" t="inlineStr">
        <is>
          <t>2052-03-31</t>
        </is>
      </c>
      <c r="KX6" s="16" t="inlineStr">
        <is>
          <t>2052-04-30</t>
        </is>
      </c>
      <c r="KY6" s="16" t="inlineStr">
        <is>
          <t>2052-05-31</t>
        </is>
      </c>
      <c r="KZ6" s="16" t="inlineStr">
        <is>
          <t>2052-06-30</t>
        </is>
      </c>
      <c r="LA6" s="16" t="inlineStr">
        <is>
          <t>2052-07-31</t>
        </is>
      </c>
      <c r="LB6" s="16" t="inlineStr">
        <is>
          <t>2052-08-31</t>
        </is>
      </c>
      <c r="LC6" s="16" t="inlineStr">
        <is>
          <t>2052-09-30</t>
        </is>
      </c>
      <c r="LD6" s="16" t="inlineStr">
        <is>
          <t>2052-10-31</t>
        </is>
      </c>
      <c r="LE6" s="16" t="inlineStr">
        <is>
          <t>2052-11-30</t>
        </is>
      </c>
      <c r="LF6" s="16" t="inlineStr">
        <is>
          <t>2052-12-31</t>
        </is>
      </c>
      <c r="LG6" s="16" t="inlineStr">
        <is>
          <t>2053-01-31</t>
        </is>
      </c>
      <c r="LH6" s="16" t="inlineStr">
        <is>
          <t>2053-02-28</t>
        </is>
      </c>
      <c r="LI6" s="16" t="inlineStr">
        <is>
          <t>2053-03-31</t>
        </is>
      </c>
    </row>
    <row r="7">
      <c r="B7" s="17" t="inlineStr">
        <is>
          <t>Flag obra y puesta en marcha</t>
        </is>
      </c>
      <c r="D7" s="18" t="n">
        <v>0</v>
      </c>
      <c r="E7" s="18" t="n">
        <v>0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0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0</v>
      </c>
      <c r="Q7" s="18" t="n">
        <v>0</v>
      </c>
      <c r="R7" s="18" t="n">
        <v>0</v>
      </c>
      <c r="S7" s="18" t="n">
        <v>0</v>
      </c>
      <c r="T7" s="18" t="n">
        <v>0</v>
      </c>
      <c r="U7" s="18" t="n">
        <v>0</v>
      </c>
      <c r="V7" s="18" t="n">
        <v>0</v>
      </c>
      <c r="W7" s="18" t="n">
        <v>0</v>
      </c>
      <c r="X7" s="18" t="n">
        <v>0</v>
      </c>
      <c r="Y7" s="18" t="n">
        <v>1</v>
      </c>
      <c r="Z7" s="18" t="n">
        <v>1</v>
      </c>
      <c r="AA7" s="18" t="n">
        <v>1</v>
      </c>
      <c r="AB7" s="18" t="n">
        <v>1</v>
      </c>
      <c r="AC7" s="18" t="n">
        <v>1</v>
      </c>
      <c r="AD7" s="18" t="n">
        <v>1</v>
      </c>
      <c r="AE7" s="18" t="n">
        <v>1</v>
      </c>
      <c r="AF7" s="18" t="n">
        <v>1</v>
      </c>
      <c r="AG7" s="18" t="n">
        <v>1</v>
      </c>
      <c r="AH7" s="18" t="n">
        <v>1</v>
      </c>
      <c r="AI7" s="18" t="n">
        <v>1</v>
      </c>
      <c r="AJ7" s="18" t="n">
        <v>1</v>
      </c>
      <c r="AK7" s="18" t="n">
        <v>1</v>
      </c>
      <c r="AL7" s="18" t="n">
        <v>1</v>
      </c>
      <c r="AM7" s="18" t="n">
        <v>1</v>
      </c>
      <c r="AN7" s="18" t="n">
        <v>1</v>
      </c>
      <c r="AO7" s="18" t="n">
        <v>1</v>
      </c>
      <c r="AP7" s="18" t="n">
        <v>1</v>
      </c>
      <c r="AQ7" s="18" t="n">
        <v>1</v>
      </c>
      <c r="AR7" s="18" t="n">
        <v>1</v>
      </c>
      <c r="AS7" s="18" t="n">
        <v>1</v>
      </c>
      <c r="AT7" s="18" t="n">
        <v>1</v>
      </c>
      <c r="AU7" s="18" t="n">
        <v>1</v>
      </c>
      <c r="AV7" s="18" t="n">
        <v>1</v>
      </c>
      <c r="AW7" s="18" t="n">
        <v>1</v>
      </c>
      <c r="AX7" s="18" t="n">
        <v>1</v>
      </c>
      <c r="AY7" s="18" t="n">
        <v>1</v>
      </c>
      <c r="AZ7" s="18" t="n">
        <v>0</v>
      </c>
      <c r="BA7" s="18" t="n">
        <v>0</v>
      </c>
      <c r="BB7" s="18" t="n">
        <v>0</v>
      </c>
      <c r="BC7" s="18" t="n">
        <v>0</v>
      </c>
      <c r="BD7" s="18" t="n">
        <v>0</v>
      </c>
      <c r="BE7" s="18" t="n">
        <v>0</v>
      </c>
      <c r="BF7" s="18" t="n">
        <v>0</v>
      </c>
      <c r="BG7" s="18" t="n">
        <v>0</v>
      </c>
      <c r="BH7" s="18" t="n">
        <v>0</v>
      </c>
      <c r="BI7" s="18" t="n">
        <v>0</v>
      </c>
      <c r="BJ7" s="18" t="n">
        <v>0</v>
      </c>
      <c r="BK7" s="18" t="n">
        <v>0</v>
      </c>
      <c r="BL7" s="18" t="n">
        <v>0</v>
      </c>
      <c r="BM7" s="18" t="n">
        <v>0</v>
      </c>
      <c r="BN7" s="18" t="n">
        <v>0</v>
      </c>
      <c r="BO7" s="18" t="n">
        <v>0</v>
      </c>
      <c r="BP7" s="18" t="n">
        <v>0</v>
      </c>
      <c r="BQ7" s="18" t="n">
        <v>0</v>
      </c>
      <c r="BR7" s="18" t="n">
        <v>0</v>
      </c>
      <c r="BS7" s="18" t="n">
        <v>0</v>
      </c>
      <c r="BT7" s="18" t="n">
        <v>0</v>
      </c>
      <c r="BU7" s="18" t="n">
        <v>0</v>
      </c>
      <c r="BV7" s="18" t="n">
        <v>0</v>
      </c>
      <c r="BW7" s="18" t="n">
        <v>0</v>
      </c>
      <c r="BX7" s="18" t="n">
        <v>0</v>
      </c>
      <c r="BY7" s="18" t="n">
        <v>0</v>
      </c>
      <c r="BZ7" s="18" t="n">
        <v>0</v>
      </c>
      <c r="CA7" s="18" t="n">
        <v>0</v>
      </c>
      <c r="CB7" s="18" t="n">
        <v>0</v>
      </c>
      <c r="CC7" s="18" t="n">
        <v>0</v>
      </c>
      <c r="CD7" s="18" t="n">
        <v>0</v>
      </c>
      <c r="CE7" s="18" t="n">
        <v>0</v>
      </c>
      <c r="CF7" s="18" t="n">
        <v>0</v>
      </c>
      <c r="CG7" s="18" t="n">
        <v>0</v>
      </c>
      <c r="CH7" s="18" t="n">
        <v>0</v>
      </c>
      <c r="CI7" s="18" t="n">
        <v>0</v>
      </c>
      <c r="CJ7" s="18" t="n">
        <v>0</v>
      </c>
      <c r="CK7" s="18" t="n">
        <v>0</v>
      </c>
      <c r="CL7" s="18" t="n">
        <v>0</v>
      </c>
      <c r="CM7" s="18" t="n">
        <v>0</v>
      </c>
      <c r="CN7" s="18" t="n">
        <v>0</v>
      </c>
      <c r="CO7" s="18" t="n">
        <v>0</v>
      </c>
      <c r="CP7" s="18" t="n">
        <v>0</v>
      </c>
      <c r="CQ7" s="18" t="n">
        <v>0</v>
      </c>
      <c r="CR7" s="18" t="n">
        <v>0</v>
      </c>
      <c r="CS7" s="18" t="n">
        <v>0</v>
      </c>
      <c r="CT7" s="18" t="n">
        <v>0</v>
      </c>
      <c r="CU7" s="18" t="n">
        <v>0</v>
      </c>
      <c r="CV7" s="18" t="n">
        <v>0</v>
      </c>
      <c r="CW7" s="18" t="n">
        <v>0</v>
      </c>
      <c r="CX7" s="18" t="n">
        <v>0</v>
      </c>
      <c r="CY7" s="18" t="n">
        <v>0</v>
      </c>
      <c r="CZ7" s="18" t="n">
        <v>0</v>
      </c>
      <c r="DA7" s="18" t="n">
        <v>0</v>
      </c>
      <c r="DB7" s="18" t="n">
        <v>0</v>
      </c>
      <c r="DC7" s="18" t="n">
        <v>0</v>
      </c>
      <c r="DD7" s="18" t="n">
        <v>0</v>
      </c>
      <c r="DE7" s="18" t="n">
        <v>0</v>
      </c>
      <c r="DF7" s="18" t="n">
        <v>0</v>
      </c>
      <c r="DG7" s="18" t="n">
        <v>0</v>
      </c>
      <c r="DH7" s="18" t="n">
        <v>0</v>
      </c>
      <c r="DI7" s="18" t="n">
        <v>0</v>
      </c>
      <c r="DJ7" s="18" t="n">
        <v>0</v>
      </c>
      <c r="DK7" s="18" t="n">
        <v>0</v>
      </c>
      <c r="DL7" s="18" t="n">
        <v>0</v>
      </c>
      <c r="DM7" s="18" t="n">
        <v>0</v>
      </c>
      <c r="DN7" s="18" t="n">
        <v>0</v>
      </c>
      <c r="DO7" s="18" t="n">
        <v>0</v>
      </c>
      <c r="DP7" s="18" t="n">
        <v>0</v>
      </c>
      <c r="DQ7" s="18" t="n">
        <v>0</v>
      </c>
      <c r="DR7" s="18" t="n">
        <v>0</v>
      </c>
      <c r="DS7" s="18" t="n">
        <v>0</v>
      </c>
      <c r="DT7" s="18" t="n">
        <v>0</v>
      </c>
      <c r="DU7" s="18" t="n">
        <v>0</v>
      </c>
      <c r="DV7" s="18" t="n">
        <v>0</v>
      </c>
      <c r="DW7" s="18" t="n">
        <v>0</v>
      </c>
      <c r="DX7" s="18" t="n">
        <v>0</v>
      </c>
      <c r="DY7" s="18" t="n">
        <v>0</v>
      </c>
      <c r="DZ7" s="18" t="n">
        <v>0</v>
      </c>
      <c r="EA7" s="18" t="n">
        <v>0</v>
      </c>
      <c r="EB7" s="18" t="n">
        <v>0</v>
      </c>
      <c r="EC7" s="18" t="n">
        <v>0</v>
      </c>
      <c r="ED7" s="18" t="n">
        <v>0</v>
      </c>
      <c r="EE7" s="18" t="n">
        <v>0</v>
      </c>
      <c r="EF7" s="18" t="n">
        <v>0</v>
      </c>
      <c r="EG7" s="18" t="n">
        <v>0</v>
      </c>
      <c r="EH7" s="18" t="n">
        <v>0</v>
      </c>
      <c r="EI7" s="18" t="n">
        <v>0</v>
      </c>
      <c r="EJ7" s="18" t="n">
        <v>0</v>
      </c>
      <c r="EK7" s="18" t="n">
        <v>0</v>
      </c>
      <c r="EL7" s="18" t="n">
        <v>0</v>
      </c>
      <c r="EM7" s="18" t="n">
        <v>0</v>
      </c>
      <c r="EN7" s="18" t="n">
        <v>0</v>
      </c>
      <c r="EO7" s="18" t="n">
        <v>0</v>
      </c>
      <c r="EP7" s="18" t="n">
        <v>0</v>
      </c>
      <c r="EQ7" s="18" t="n">
        <v>0</v>
      </c>
      <c r="ER7" s="18" t="n">
        <v>0</v>
      </c>
      <c r="ES7" s="18" t="n">
        <v>0</v>
      </c>
      <c r="ET7" s="18" t="n">
        <v>0</v>
      </c>
      <c r="EU7" s="18" t="n">
        <v>0</v>
      </c>
      <c r="EV7" s="18" t="n">
        <v>0</v>
      </c>
      <c r="EW7" s="18" t="n">
        <v>0</v>
      </c>
      <c r="EX7" s="18" t="n">
        <v>0</v>
      </c>
      <c r="EY7" s="18" t="n">
        <v>0</v>
      </c>
      <c r="EZ7" s="18" t="n">
        <v>0</v>
      </c>
      <c r="FA7" s="18" t="n">
        <v>0</v>
      </c>
      <c r="FB7" s="18" t="n">
        <v>0</v>
      </c>
      <c r="FC7" s="18" t="n">
        <v>0</v>
      </c>
      <c r="FD7" s="18" t="n">
        <v>0</v>
      </c>
      <c r="FE7" s="18" t="n">
        <v>0</v>
      </c>
      <c r="FF7" s="18" t="n">
        <v>0</v>
      </c>
      <c r="FG7" s="18" t="n">
        <v>0</v>
      </c>
      <c r="FH7" s="18" t="n">
        <v>0</v>
      </c>
      <c r="FI7" s="18" t="n">
        <v>0</v>
      </c>
      <c r="FJ7" s="18" t="n">
        <v>0</v>
      </c>
      <c r="FK7" s="18" t="n">
        <v>0</v>
      </c>
      <c r="FL7" s="18" t="n">
        <v>0</v>
      </c>
      <c r="FM7" s="18" t="n">
        <v>0</v>
      </c>
      <c r="FN7" s="18" t="n">
        <v>0</v>
      </c>
      <c r="FO7" s="18" t="n">
        <v>0</v>
      </c>
      <c r="FP7" s="18" t="n">
        <v>0</v>
      </c>
      <c r="FQ7" s="18" t="n">
        <v>0</v>
      </c>
      <c r="FR7" s="18" t="n">
        <v>0</v>
      </c>
      <c r="FS7" s="18" t="n">
        <v>0</v>
      </c>
      <c r="FT7" s="18" t="n">
        <v>0</v>
      </c>
      <c r="FU7" s="18" t="n">
        <v>0</v>
      </c>
      <c r="FV7" s="18" t="n">
        <v>0</v>
      </c>
      <c r="FW7" s="18" t="n">
        <v>0</v>
      </c>
      <c r="FX7" s="18" t="n">
        <v>0</v>
      </c>
      <c r="FY7" s="18" t="n">
        <v>0</v>
      </c>
      <c r="FZ7" s="18" t="n">
        <v>0</v>
      </c>
      <c r="GA7" s="18" t="n">
        <v>0</v>
      </c>
      <c r="GB7" s="18" t="n">
        <v>0</v>
      </c>
      <c r="GC7" s="18" t="n">
        <v>0</v>
      </c>
      <c r="GD7" s="18" t="n">
        <v>0</v>
      </c>
      <c r="GE7" s="18" t="n">
        <v>0</v>
      </c>
      <c r="GF7" s="18" t="n">
        <v>0</v>
      </c>
      <c r="GG7" s="18" t="n">
        <v>0</v>
      </c>
      <c r="GH7" s="18" t="n">
        <v>0</v>
      </c>
      <c r="GI7" s="18" t="n">
        <v>0</v>
      </c>
      <c r="GJ7" s="18" t="n">
        <v>0</v>
      </c>
      <c r="GK7" s="18" t="n">
        <v>0</v>
      </c>
      <c r="GL7" s="18" t="n">
        <v>0</v>
      </c>
      <c r="GM7" s="18" t="n">
        <v>0</v>
      </c>
      <c r="GN7" s="18" t="n">
        <v>0</v>
      </c>
      <c r="GO7" s="18" t="n">
        <v>0</v>
      </c>
      <c r="GP7" s="18" t="n">
        <v>0</v>
      </c>
      <c r="GQ7" s="18" t="n">
        <v>0</v>
      </c>
      <c r="GR7" s="18" t="n">
        <v>0</v>
      </c>
      <c r="GS7" s="18" t="n">
        <v>0</v>
      </c>
      <c r="GT7" s="18" t="n">
        <v>0</v>
      </c>
      <c r="GU7" s="18" t="n">
        <v>0</v>
      </c>
      <c r="GV7" s="18" t="n">
        <v>0</v>
      </c>
      <c r="GW7" s="18" t="n">
        <v>0</v>
      </c>
      <c r="GX7" s="18" t="n">
        <v>0</v>
      </c>
      <c r="GY7" s="18" t="n">
        <v>0</v>
      </c>
      <c r="GZ7" s="18" t="n">
        <v>0</v>
      </c>
      <c r="HA7" s="18" t="n">
        <v>0</v>
      </c>
      <c r="HB7" s="18" t="n">
        <v>0</v>
      </c>
      <c r="HC7" s="18" t="n">
        <v>0</v>
      </c>
      <c r="HD7" s="18" t="n">
        <v>0</v>
      </c>
      <c r="HE7" s="18" t="n">
        <v>0</v>
      </c>
      <c r="HF7" s="18" t="n">
        <v>0</v>
      </c>
      <c r="HG7" s="18" t="n">
        <v>0</v>
      </c>
      <c r="HH7" s="18" t="n">
        <v>0</v>
      </c>
      <c r="HI7" s="18" t="n">
        <v>0</v>
      </c>
      <c r="HJ7" s="18" t="n">
        <v>0</v>
      </c>
      <c r="HK7" s="18" t="n">
        <v>0</v>
      </c>
      <c r="HL7" s="18" t="n">
        <v>0</v>
      </c>
      <c r="HM7" s="18" t="n">
        <v>0</v>
      </c>
      <c r="HN7" s="18" t="n">
        <v>0</v>
      </c>
      <c r="HO7" s="18" t="n">
        <v>0</v>
      </c>
      <c r="HP7" s="18" t="n">
        <v>0</v>
      </c>
      <c r="HQ7" s="18" t="n">
        <v>0</v>
      </c>
      <c r="HR7" s="18" t="n">
        <v>0</v>
      </c>
      <c r="HS7" s="18" t="n">
        <v>0</v>
      </c>
      <c r="HT7" s="18" t="n">
        <v>0</v>
      </c>
      <c r="HU7" s="18" t="n">
        <v>0</v>
      </c>
      <c r="HV7" s="18" t="n">
        <v>0</v>
      </c>
      <c r="HW7" s="18" t="n">
        <v>0</v>
      </c>
      <c r="HX7" s="18" t="n">
        <v>0</v>
      </c>
      <c r="HY7" s="18" t="n">
        <v>0</v>
      </c>
      <c r="HZ7" s="18" t="n">
        <v>0</v>
      </c>
      <c r="IA7" s="18" t="n">
        <v>0</v>
      </c>
      <c r="IB7" s="18" t="n">
        <v>0</v>
      </c>
      <c r="IC7" s="18" t="n">
        <v>0</v>
      </c>
      <c r="ID7" s="18" t="n">
        <v>0</v>
      </c>
      <c r="IE7" s="18" t="n">
        <v>0</v>
      </c>
      <c r="IF7" s="18" t="n">
        <v>0</v>
      </c>
      <c r="IG7" s="18" t="n">
        <v>0</v>
      </c>
      <c r="IH7" s="18" t="n">
        <v>0</v>
      </c>
      <c r="II7" s="18" t="n">
        <v>0</v>
      </c>
      <c r="IJ7" s="18" t="n">
        <v>0</v>
      </c>
      <c r="IK7" s="18" t="n">
        <v>0</v>
      </c>
      <c r="IL7" s="18" t="n">
        <v>0</v>
      </c>
      <c r="IM7" s="18" t="n">
        <v>0</v>
      </c>
      <c r="IN7" s="18" t="n">
        <v>0</v>
      </c>
      <c r="IO7" s="18" t="n">
        <v>0</v>
      </c>
      <c r="IP7" s="18" t="n">
        <v>0</v>
      </c>
      <c r="IQ7" s="18" t="n">
        <v>0</v>
      </c>
      <c r="IR7" s="18" t="n">
        <v>0</v>
      </c>
      <c r="IS7" s="18" t="n">
        <v>0</v>
      </c>
      <c r="IT7" s="18" t="n">
        <v>0</v>
      </c>
      <c r="IU7" s="18" t="n">
        <v>0</v>
      </c>
      <c r="IV7" s="18" t="n">
        <v>0</v>
      </c>
      <c r="IW7" s="18" t="n">
        <v>0</v>
      </c>
      <c r="IX7" s="18" t="n">
        <v>0</v>
      </c>
      <c r="IY7" s="18" t="n">
        <v>0</v>
      </c>
      <c r="IZ7" s="18" t="n">
        <v>0</v>
      </c>
      <c r="JA7" s="18" t="n">
        <v>0</v>
      </c>
      <c r="JB7" s="18" t="n">
        <v>0</v>
      </c>
      <c r="JC7" s="18" t="n">
        <v>0</v>
      </c>
      <c r="JD7" s="18" t="n">
        <v>0</v>
      </c>
      <c r="JE7" s="18" t="n">
        <v>0</v>
      </c>
      <c r="JF7" s="18" t="n">
        <v>0</v>
      </c>
      <c r="JG7" s="18" t="n">
        <v>0</v>
      </c>
      <c r="JH7" s="18" t="n">
        <v>0</v>
      </c>
      <c r="JI7" s="18" t="n">
        <v>0</v>
      </c>
      <c r="JJ7" s="18" t="n">
        <v>0</v>
      </c>
      <c r="JK7" s="18" t="n">
        <v>0</v>
      </c>
      <c r="JL7" s="18" t="n">
        <v>0</v>
      </c>
      <c r="JM7" s="18" t="n">
        <v>0</v>
      </c>
      <c r="JN7" s="18" t="n">
        <v>0</v>
      </c>
      <c r="JO7" s="18" t="n">
        <v>0</v>
      </c>
      <c r="JP7" s="18" t="n">
        <v>0</v>
      </c>
      <c r="JQ7" s="18" t="n">
        <v>0</v>
      </c>
      <c r="JR7" s="18" t="n">
        <v>0</v>
      </c>
      <c r="JS7" s="18" t="n">
        <v>0</v>
      </c>
      <c r="JT7" s="18" t="n">
        <v>0</v>
      </c>
      <c r="JU7" s="18" t="n">
        <v>0</v>
      </c>
      <c r="JV7" s="18" t="n">
        <v>0</v>
      </c>
      <c r="JW7" s="18" t="n">
        <v>0</v>
      </c>
      <c r="JX7" s="18" t="n">
        <v>0</v>
      </c>
      <c r="JY7" s="18" t="n">
        <v>0</v>
      </c>
      <c r="JZ7" s="18" t="n">
        <v>0</v>
      </c>
      <c r="KA7" s="18" t="n">
        <v>0</v>
      </c>
      <c r="KB7" s="18" t="n">
        <v>0</v>
      </c>
      <c r="KC7" s="18" t="n">
        <v>0</v>
      </c>
      <c r="KD7" s="18" t="n">
        <v>0</v>
      </c>
      <c r="KE7" s="18" t="n">
        <v>0</v>
      </c>
      <c r="KF7" s="18" t="n">
        <v>0</v>
      </c>
      <c r="KG7" s="18" t="n">
        <v>0</v>
      </c>
      <c r="KH7" s="18" t="n">
        <v>0</v>
      </c>
      <c r="KI7" s="18" t="n">
        <v>0</v>
      </c>
      <c r="KJ7" s="18" t="n">
        <v>0</v>
      </c>
      <c r="KK7" s="18" t="n">
        <v>0</v>
      </c>
      <c r="KL7" s="18" t="n">
        <v>0</v>
      </c>
      <c r="KM7" s="18" t="n">
        <v>0</v>
      </c>
      <c r="KN7" s="18" t="n">
        <v>0</v>
      </c>
      <c r="KO7" s="18" t="n">
        <v>0</v>
      </c>
      <c r="KP7" s="18" t="n">
        <v>0</v>
      </c>
      <c r="KQ7" s="18" t="n">
        <v>0</v>
      </c>
      <c r="KR7" s="18" t="n">
        <v>0</v>
      </c>
      <c r="KS7" s="18" t="n">
        <v>0</v>
      </c>
      <c r="KT7" s="18" t="n">
        <v>0</v>
      </c>
      <c r="KU7" s="18" t="n">
        <v>0</v>
      </c>
      <c r="KV7" s="18" t="n">
        <v>0</v>
      </c>
      <c r="KW7" s="18" t="n">
        <v>0</v>
      </c>
      <c r="KX7" s="18" t="n">
        <v>0</v>
      </c>
      <c r="KY7" s="18" t="n">
        <v>0</v>
      </c>
      <c r="KZ7" s="18" t="n">
        <v>0</v>
      </c>
      <c r="LA7" s="18" t="n">
        <v>0</v>
      </c>
      <c r="LB7" s="18" t="n">
        <v>0</v>
      </c>
      <c r="LC7" s="18" t="n">
        <v>0</v>
      </c>
      <c r="LD7" s="18" t="n">
        <v>0</v>
      </c>
      <c r="LE7" s="18" t="n">
        <v>0</v>
      </c>
      <c r="LF7" s="18" t="n">
        <v>0</v>
      </c>
      <c r="LG7" s="18" t="n">
        <v>0</v>
      </c>
      <c r="LH7" s="18" t="n">
        <v>0</v>
      </c>
      <c r="LI7" s="18" t="n">
        <v>0</v>
      </c>
    </row>
    <row r="8">
      <c r="B8" s="17" t="inlineStr">
        <is>
          <t>Flag de pago de deuda</t>
        </is>
      </c>
      <c r="D8" s="18" t="n">
        <v>0</v>
      </c>
      <c r="E8" s="18" t="n">
        <v>0</v>
      </c>
      <c r="F8" s="18" t="n">
        <v>0</v>
      </c>
      <c r="G8" s="18" t="n">
        <v>0</v>
      </c>
      <c r="H8" s="18" t="n">
        <v>0</v>
      </c>
      <c r="I8" s="18" t="n">
        <v>0</v>
      </c>
      <c r="J8" s="18" t="n">
        <v>0</v>
      </c>
      <c r="K8" s="18" t="n">
        <v>0</v>
      </c>
      <c r="L8" s="18" t="n">
        <v>0</v>
      </c>
      <c r="M8" s="18" t="n">
        <v>0</v>
      </c>
      <c r="N8" s="18" t="n">
        <v>0</v>
      </c>
      <c r="O8" s="18" t="n">
        <v>0</v>
      </c>
      <c r="P8" s="18" t="n">
        <v>0</v>
      </c>
      <c r="Q8" s="18" t="n">
        <v>0</v>
      </c>
      <c r="R8" s="18" t="n">
        <v>0</v>
      </c>
      <c r="S8" s="18" t="n">
        <v>0</v>
      </c>
      <c r="T8" s="18" t="n">
        <v>0</v>
      </c>
      <c r="U8" s="18" t="n">
        <v>0</v>
      </c>
      <c r="V8" s="18" t="n">
        <v>0</v>
      </c>
      <c r="W8" s="18" t="n">
        <v>0</v>
      </c>
      <c r="X8" s="18" t="n">
        <v>0</v>
      </c>
      <c r="Y8" s="18" t="n">
        <v>0</v>
      </c>
      <c r="Z8" s="18" t="n">
        <v>0</v>
      </c>
      <c r="AA8" s="18" t="n">
        <v>0</v>
      </c>
      <c r="AB8" s="18" t="n">
        <v>0</v>
      </c>
      <c r="AC8" s="18" t="n">
        <v>0</v>
      </c>
      <c r="AD8" s="18" t="n">
        <v>0</v>
      </c>
      <c r="AE8" s="18" t="n">
        <v>0</v>
      </c>
      <c r="AF8" s="18" t="n">
        <v>0</v>
      </c>
      <c r="AG8" s="18" t="n">
        <v>0</v>
      </c>
      <c r="AH8" s="18" t="n">
        <v>0</v>
      </c>
      <c r="AI8" s="18" t="n">
        <v>0</v>
      </c>
      <c r="AJ8" s="18" t="n">
        <v>0</v>
      </c>
      <c r="AK8" s="18" t="n">
        <v>0</v>
      </c>
      <c r="AL8" s="18" t="n">
        <v>0</v>
      </c>
      <c r="AM8" s="18" t="n">
        <v>0</v>
      </c>
      <c r="AN8" s="18" t="n">
        <v>0</v>
      </c>
      <c r="AO8" s="18" t="n">
        <v>0</v>
      </c>
      <c r="AP8" s="18" t="n">
        <v>0</v>
      </c>
      <c r="AQ8" s="18" t="n">
        <v>0</v>
      </c>
      <c r="AR8" s="18" t="n">
        <v>0</v>
      </c>
      <c r="AS8" s="18" t="n">
        <v>0</v>
      </c>
      <c r="AT8" s="18" t="n">
        <v>0</v>
      </c>
      <c r="AU8" s="18" t="n">
        <v>0</v>
      </c>
      <c r="AV8" s="18" t="n">
        <v>0</v>
      </c>
      <c r="AW8" s="18" t="n">
        <v>0</v>
      </c>
      <c r="AX8" s="18" t="n">
        <v>0</v>
      </c>
      <c r="AY8" s="18" t="n">
        <v>0</v>
      </c>
      <c r="AZ8" s="18" t="n">
        <v>1</v>
      </c>
      <c r="BA8" s="18" t="n">
        <v>1</v>
      </c>
      <c r="BB8" s="18" t="n">
        <v>1</v>
      </c>
      <c r="BC8" s="18" t="n">
        <v>1</v>
      </c>
      <c r="BD8" s="18" t="n">
        <v>1</v>
      </c>
      <c r="BE8" s="18" t="n">
        <v>1</v>
      </c>
      <c r="BF8" s="18" t="n">
        <v>1</v>
      </c>
      <c r="BG8" s="18" t="n">
        <v>1</v>
      </c>
      <c r="BH8" s="18" t="n">
        <v>1</v>
      </c>
      <c r="BI8" s="18" t="n">
        <v>1</v>
      </c>
      <c r="BJ8" s="18" t="n">
        <v>1</v>
      </c>
      <c r="BK8" s="18" t="n">
        <v>1</v>
      </c>
      <c r="BL8" s="18" t="n">
        <v>1</v>
      </c>
      <c r="BM8" s="18" t="n">
        <v>1</v>
      </c>
      <c r="BN8" s="18" t="n">
        <v>1</v>
      </c>
      <c r="BO8" s="18" t="n">
        <v>1</v>
      </c>
      <c r="BP8" s="18" t="n">
        <v>1</v>
      </c>
      <c r="BQ8" s="18" t="n">
        <v>1</v>
      </c>
      <c r="BR8" s="18" t="n">
        <v>1</v>
      </c>
      <c r="BS8" s="18" t="n">
        <v>1</v>
      </c>
      <c r="BT8" s="18" t="n">
        <v>1</v>
      </c>
      <c r="BU8" s="18" t="n">
        <v>1</v>
      </c>
      <c r="BV8" s="18" t="n">
        <v>1</v>
      </c>
      <c r="BW8" s="18" t="n">
        <v>1</v>
      </c>
      <c r="BX8" s="18" t="n">
        <v>1</v>
      </c>
      <c r="BY8" s="18" t="n">
        <v>1</v>
      </c>
      <c r="BZ8" s="18" t="n">
        <v>1</v>
      </c>
      <c r="CA8" s="18" t="n">
        <v>1</v>
      </c>
      <c r="CB8" s="18" t="n">
        <v>1</v>
      </c>
      <c r="CC8" s="18" t="n">
        <v>1</v>
      </c>
      <c r="CD8" s="18" t="n">
        <v>1</v>
      </c>
      <c r="CE8" s="18" t="n">
        <v>1</v>
      </c>
      <c r="CF8" s="18" t="n">
        <v>1</v>
      </c>
      <c r="CG8" s="18" t="n">
        <v>1</v>
      </c>
      <c r="CH8" s="18" t="n">
        <v>1</v>
      </c>
      <c r="CI8" s="18" t="n">
        <v>1</v>
      </c>
      <c r="CJ8" s="18" t="n">
        <v>1</v>
      </c>
      <c r="CK8" s="18" t="n">
        <v>1</v>
      </c>
      <c r="CL8" s="18" t="n">
        <v>1</v>
      </c>
      <c r="CM8" s="18" t="n">
        <v>1</v>
      </c>
      <c r="CN8" s="18" t="n">
        <v>1</v>
      </c>
      <c r="CO8" s="18" t="n">
        <v>1</v>
      </c>
      <c r="CP8" s="18" t="n">
        <v>1</v>
      </c>
      <c r="CQ8" s="18" t="n">
        <v>1</v>
      </c>
      <c r="CR8" s="18" t="n">
        <v>1</v>
      </c>
      <c r="CS8" s="18" t="n">
        <v>1</v>
      </c>
      <c r="CT8" s="18" t="n">
        <v>1</v>
      </c>
      <c r="CU8" s="18" t="n">
        <v>1</v>
      </c>
      <c r="CV8" s="18" t="n">
        <v>1</v>
      </c>
      <c r="CW8" s="18" t="n">
        <v>1</v>
      </c>
      <c r="CX8" s="18" t="n">
        <v>1</v>
      </c>
      <c r="CY8" s="18" t="n">
        <v>1</v>
      </c>
      <c r="CZ8" s="18" t="n">
        <v>1</v>
      </c>
      <c r="DA8" s="18" t="n">
        <v>1</v>
      </c>
      <c r="DB8" s="18" t="n">
        <v>1</v>
      </c>
      <c r="DC8" s="18" t="n">
        <v>1</v>
      </c>
      <c r="DD8" s="18" t="n">
        <v>1</v>
      </c>
      <c r="DE8" s="18" t="n">
        <v>1</v>
      </c>
      <c r="DF8" s="18" t="n">
        <v>1</v>
      </c>
      <c r="DG8" s="18" t="n">
        <v>1</v>
      </c>
      <c r="DH8" s="18" t="n">
        <v>1</v>
      </c>
      <c r="DI8" s="18" t="n">
        <v>1</v>
      </c>
      <c r="DJ8" s="18" t="n">
        <v>1</v>
      </c>
      <c r="DK8" s="18" t="n">
        <v>1</v>
      </c>
      <c r="DL8" s="18" t="n">
        <v>1</v>
      </c>
      <c r="DM8" s="18" t="n">
        <v>1</v>
      </c>
      <c r="DN8" s="18" t="n">
        <v>1</v>
      </c>
      <c r="DO8" s="18" t="n">
        <v>1</v>
      </c>
      <c r="DP8" s="18" t="n">
        <v>1</v>
      </c>
      <c r="DQ8" s="18" t="n">
        <v>1</v>
      </c>
      <c r="DR8" s="18" t="n">
        <v>1</v>
      </c>
      <c r="DS8" s="18" t="n">
        <v>1</v>
      </c>
      <c r="DT8" s="18" t="n">
        <v>1</v>
      </c>
      <c r="DU8" s="18" t="n">
        <v>1</v>
      </c>
      <c r="DV8" s="18" t="n">
        <v>1</v>
      </c>
      <c r="DW8" s="18" t="n">
        <v>1</v>
      </c>
      <c r="DX8" s="18" t="n">
        <v>1</v>
      </c>
      <c r="DY8" s="18" t="n">
        <v>1</v>
      </c>
      <c r="DZ8" s="18" t="n">
        <v>1</v>
      </c>
      <c r="EA8" s="18" t="n">
        <v>1</v>
      </c>
      <c r="EB8" s="18" t="n">
        <v>1</v>
      </c>
      <c r="EC8" s="18" t="n">
        <v>1</v>
      </c>
      <c r="ED8" s="18" t="n">
        <v>1</v>
      </c>
      <c r="EE8" s="18" t="n">
        <v>1</v>
      </c>
      <c r="EF8" s="18" t="n">
        <v>1</v>
      </c>
      <c r="EG8" s="18" t="n">
        <v>1</v>
      </c>
      <c r="EH8" s="18" t="n">
        <v>1</v>
      </c>
      <c r="EI8" s="18" t="n">
        <v>1</v>
      </c>
      <c r="EJ8" s="18" t="n">
        <v>1</v>
      </c>
      <c r="EK8" s="18" t="n">
        <v>1</v>
      </c>
      <c r="EL8" s="18" t="n">
        <v>1</v>
      </c>
      <c r="EM8" s="18" t="n">
        <v>1</v>
      </c>
      <c r="EN8" s="18" t="n">
        <v>1</v>
      </c>
      <c r="EO8" s="18" t="n">
        <v>1</v>
      </c>
      <c r="EP8" s="18" t="n">
        <v>1</v>
      </c>
      <c r="EQ8" s="18" t="n">
        <v>1</v>
      </c>
      <c r="ER8" s="18" t="n">
        <v>1</v>
      </c>
      <c r="ES8" s="18" t="n">
        <v>1</v>
      </c>
      <c r="ET8" s="18" t="n">
        <v>1</v>
      </c>
      <c r="EU8" s="18" t="n">
        <v>1</v>
      </c>
      <c r="EV8" s="18" t="n">
        <v>1</v>
      </c>
      <c r="EW8" s="18" t="n">
        <v>1</v>
      </c>
      <c r="EX8" s="18" t="n">
        <v>1</v>
      </c>
      <c r="EY8" s="18" t="n">
        <v>1</v>
      </c>
      <c r="EZ8" s="18" t="n">
        <v>1</v>
      </c>
      <c r="FA8" s="18" t="n">
        <v>1</v>
      </c>
      <c r="FB8" s="18" t="n">
        <v>1</v>
      </c>
      <c r="FC8" s="18" t="n">
        <v>1</v>
      </c>
      <c r="FD8" s="18" t="n">
        <v>1</v>
      </c>
      <c r="FE8" s="18" t="n">
        <v>1</v>
      </c>
      <c r="FF8" s="18" t="n">
        <v>1</v>
      </c>
      <c r="FG8" s="18" t="n">
        <v>1</v>
      </c>
      <c r="FH8" s="18" t="n">
        <v>1</v>
      </c>
      <c r="FI8" s="18" t="n">
        <v>1</v>
      </c>
      <c r="FJ8" s="18" t="n">
        <v>1</v>
      </c>
      <c r="FK8" s="18" t="n">
        <v>1</v>
      </c>
      <c r="FL8" s="18" t="n">
        <v>1</v>
      </c>
      <c r="FM8" s="18" t="n">
        <v>1</v>
      </c>
      <c r="FN8" s="18" t="n">
        <v>1</v>
      </c>
      <c r="FO8" s="18" t="n">
        <v>1</v>
      </c>
      <c r="FP8" s="18" t="n">
        <v>1</v>
      </c>
      <c r="FQ8" s="18" t="n">
        <v>1</v>
      </c>
      <c r="FR8" s="18" t="n">
        <v>1</v>
      </c>
      <c r="FS8" s="18" t="n">
        <v>1</v>
      </c>
      <c r="FT8" s="18" t="n">
        <v>1</v>
      </c>
      <c r="FU8" s="18" t="n">
        <v>1</v>
      </c>
      <c r="FV8" s="18" t="n">
        <v>1</v>
      </c>
      <c r="FW8" s="18" t="n">
        <v>1</v>
      </c>
      <c r="FX8" s="18" t="n">
        <v>1</v>
      </c>
      <c r="FY8" s="18" t="n">
        <v>1</v>
      </c>
      <c r="FZ8" s="18" t="n">
        <v>1</v>
      </c>
      <c r="GA8" s="18" t="n">
        <v>1</v>
      </c>
      <c r="GB8" s="18" t="n">
        <v>1</v>
      </c>
      <c r="GC8" s="18" t="n">
        <v>1</v>
      </c>
      <c r="GD8" s="18" t="n">
        <v>1</v>
      </c>
      <c r="GE8" s="18" t="n">
        <v>1</v>
      </c>
      <c r="GF8" s="18" t="n">
        <v>1</v>
      </c>
      <c r="GG8" s="18" t="n">
        <v>1</v>
      </c>
      <c r="GH8" s="18" t="n">
        <v>1</v>
      </c>
      <c r="GI8" s="18" t="n">
        <v>1</v>
      </c>
      <c r="GJ8" s="18" t="n">
        <v>1</v>
      </c>
      <c r="GK8" s="18" t="n">
        <v>1</v>
      </c>
      <c r="GL8" s="18" t="n">
        <v>1</v>
      </c>
      <c r="GM8" s="18" t="n">
        <v>1</v>
      </c>
      <c r="GN8" s="18" t="n">
        <v>0</v>
      </c>
      <c r="GO8" s="18" t="n">
        <v>0</v>
      </c>
      <c r="GP8" s="18" t="n">
        <v>0</v>
      </c>
      <c r="GQ8" s="18" t="n">
        <v>0</v>
      </c>
      <c r="GR8" s="18" t="n">
        <v>0</v>
      </c>
      <c r="GS8" s="18" t="n">
        <v>0</v>
      </c>
      <c r="GT8" s="18" t="n">
        <v>0</v>
      </c>
      <c r="GU8" s="18" t="n">
        <v>0</v>
      </c>
      <c r="GV8" s="18" t="n">
        <v>0</v>
      </c>
      <c r="GW8" s="18" t="n">
        <v>0</v>
      </c>
      <c r="GX8" s="18" t="n">
        <v>0</v>
      </c>
      <c r="GY8" s="18" t="n">
        <v>0</v>
      </c>
      <c r="GZ8" s="18" t="n">
        <v>0</v>
      </c>
      <c r="HA8" s="18" t="n">
        <v>0</v>
      </c>
      <c r="HB8" s="18" t="n">
        <v>0</v>
      </c>
      <c r="HC8" s="18" t="n">
        <v>0</v>
      </c>
      <c r="HD8" s="18" t="n">
        <v>0</v>
      </c>
      <c r="HE8" s="18" t="n">
        <v>0</v>
      </c>
      <c r="HF8" s="18" t="n">
        <v>0</v>
      </c>
      <c r="HG8" s="18" t="n">
        <v>0</v>
      </c>
      <c r="HH8" s="18" t="n">
        <v>0</v>
      </c>
      <c r="HI8" s="18" t="n">
        <v>0</v>
      </c>
      <c r="HJ8" s="18" t="n">
        <v>0</v>
      </c>
      <c r="HK8" s="18" t="n">
        <v>0</v>
      </c>
      <c r="HL8" s="18" t="n">
        <v>0</v>
      </c>
      <c r="HM8" s="18" t="n">
        <v>0</v>
      </c>
      <c r="HN8" s="18" t="n">
        <v>0</v>
      </c>
      <c r="HO8" s="18" t="n">
        <v>0</v>
      </c>
      <c r="HP8" s="18" t="n">
        <v>0</v>
      </c>
      <c r="HQ8" s="18" t="n">
        <v>0</v>
      </c>
      <c r="HR8" s="18" t="n">
        <v>0</v>
      </c>
      <c r="HS8" s="18" t="n">
        <v>0</v>
      </c>
      <c r="HT8" s="18" t="n">
        <v>0</v>
      </c>
      <c r="HU8" s="18" t="n">
        <v>0</v>
      </c>
      <c r="HV8" s="18" t="n">
        <v>0</v>
      </c>
      <c r="HW8" s="18" t="n">
        <v>0</v>
      </c>
      <c r="HX8" s="18" t="n">
        <v>0</v>
      </c>
      <c r="HY8" s="18" t="n">
        <v>0</v>
      </c>
      <c r="HZ8" s="18" t="n">
        <v>0</v>
      </c>
      <c r="IA8" s="18" t="n">
        <v>0</v>
      </c>
      <c r="IB8" s="18" t="n">
        <v>0</v>
      </c>
      <c r="IC8" s="18" t="n">
        <v>0</v>
      </c>
      <c r="ID8" s="18" t="n">
        <v>0</v>
      </c>
      <c r="IE8" s="18" t="n">
        <v>0</v>
      </c>
      <c r="IF8" s="18" t="n">
        <v>0</v>
      </c>
      <c r="IG8" s="18" t="n">
        <v>0</v>
      </c>
      <c r="IH8" s="18" t="n">
        <v>0</v>
      </c>
      <c r="II8" s="18" t="n">
        <v>0</v>
      </c>
      <c r="IJ8" s="18" t="n">
        <v>0</v>
      </c>
      <c r="IK8" s="18" t="n">
        <v>0</v>
      </c>
      <c r="IL8" s="18" t="n">
        <v>0</v>
      </c>
      <c r="IM8" s="18" t="n">
        <v>0</v>
      </c>
      <c r="IN8" s="18" t="n">
        <v>0</v>
      </c>
      <c r="IO8" s="18" t="n">
        <v>0</v>
      </c>
      <c r="IP8" s="18" t="n">
        <v>0</v>
      </c>
      <c r="IQ8" s="18" t="n">
        <v>0</v>
      </c>
      <c r="IR8" s="18" t="n">
        <v>0</v>
      </c>
      <c r="IS8" s="18" t="n">
        <v>0</v>
      </c>
      <c r="IT8" s="18" t="n">
        <v>0</v>
      </c>
      <c r="IU8" s="18" t="n">
        <v>0</v>
      </c>
      <c r="IV8" s="18" t="n">
        <v>0</v>
      </c>
      <c r="IW8" s="18" t="n">
        <v>0</v>
      </c>
      <c r="IX8" s="18" t="n">
        <v>0</v>
      </c>
      <c r="IY8" s="18" t="n">
        <v>0</v>
      </c>
      <c r="IZ8" s="18" t="n">
        <v>0</v>
      </c>
      <c r="JA8" s="18" t="n">
        <v>0</v>
      </c>
      <c r="JB8" s="18" t="n">
        <v>0</v>
      </c>
      <c r="JC8" s="18" t="n">
        <v>0</v>
      </c>
      <c r="JD8" s="18" t="n">
        <v>0</v>
      </c>
      <c r="JE8" s="18" t="n">
        <v>0</v>
      </c>
      <c r="JF8" s="18" t="n">
        <v>0</v>
      </c>
      <c r="JG8" s="18" t="n">
        <v>0</v>
      </c>
      <c r="JH8" s="18" t="n">
        <v>0</v>
      </c>
      <c r="JI8" s="18" t="n">
        <v>0</v>
      </c>
      <c r="JJ8" s="18" t="n">
        <v>0</v>
      </c>
      <c r="JK8" s="18" t="n">
        <v>0</v>
      </c>
      <c r="JL8" s="18" t="n">
        <v>0</v>
      </c>
      <c r="JM8" s="18" t="n">
        <v>0</v>
      </c>
      <c r="JN8" s="18" t="n">
        <v>0</v>
      </c>
      <c r="JO8" s="18" t="n">
        <v>0</v>
      </c>
      <c r="JP8" s="18" t="n">
        <v>0</v>
      </c>
      <c r="JQ8" s="18" t="n">
        <v>0</v>
      </c>
      <c r="JR8" s="18" t="n">
        <v>0</v>
      </c>
      <c r="JS8" s="18" t="n">
        <v>0</v>
      </c>
      <c r="JT8" s="18" t="n">
        <v>0</v>
      </c>
      <c r="JU8" s="18" t="n">
        <v>0</v>
      </c>
      <c r="JV8" s="18" t="n">
        <v>0</v>
      </c>
      <c r="JW8" s="18" t="n">
        <v>0</v>
      </c>
      <c r="JX8" s="18" t="n">
        <v>0</v>
      </c>
      <c r="JY8" s="18" t="n">
        <v>0</v>
      </c>
      <c r="JZ8" s="18" t="n">
        <v>0</v>
      </c>
      <c r="KA8" s="18" t="n">
        <v>0</v>
      </c>
      <c r="KB8" s="18" t="n">
        <v>0</v>
      </c>
      <c r="KC8" s="18" t="n">
        <v>0</v>
      </c>
      <c r="KD8" s="18" t="n">
        <v>0</v>
      </c>
      <c r="KE8" s="18" t="n">
        <v>0</v>
      </c>
      <c r="KF8" s="18" t="n">
        <v>0</v>
      </c>
      <c r="KG8" s="18" t="n">
        <v>0</v>
      </c>
      <c r="KH8" s="18" t="n">
        <v>0</v>
      </c>
      <c r="KI8" s="18" t="n">
        <v>0</v>
      </c>
      <c r="KJ8" s="18" t="n">
        <v>0</v>
      </c>
      <c r="KK8" s="18" t="n">
        <v>0</v>
      </c>
      <c r="KL8" s="18" t="n">
        <v>0</v>
      </c>
      <c r="KM8" s="18" t="n">
        <v>0</v>
      </c>
      <c r="KN8" s="18" t="n">
        <v>0</v>
      </c>
      <c r="KO8" s="18" t="n">
        <v>0</v>
      </c>
      <c r="KP8" s="18" t="n">
        <v>0</v>
      </c>
      <c r="KQ8" s="18" t="n">
        <v>0</v>
      </c>
      <c r="KR8" s="18" t="n">
        <v>0</v>
      </c>
      <c r="KS8" s="18" t="n">
        <v>0</v>
      </c>
      <c r="KT8" s="18" t="n">
        <v>0</v>
      </c>
      <c r="KU8" s="18" t="n">
        <v>0</v>
      </c>
      <c r="KV8" s="18" t="n">
        <v>0</v>
      </c>
      <c r="KW8" s="18" t="n">
        <v>0</v>
      </c>
      <c r="KX8" s="18" t="n">
        <v>0</v>
      </c>
      <c r="KY8" s="18" t="n">
        <v>0</v>
      </c>
      <c r="KZ8" s="18" t="n">
        <v>0</v>
      </c>
      <c r="LA8" s="18" t="n">
        <v>0</v>
      </c>
      <c r="LB8" s="18" t="n">
        <v>0</v>
      </c>
      <c r="LC8" s="18" t="n">
        <v>0</v>
      </c>
      <c r="LD8" s="18" t="n">
        <v>0</v>
      </c>
      <c r="LE8" s="18" t="n">
        <v>0</v>
      </c>
      <c r="LF8" s="18" t="n">
        <v>0</v>
      </c>
      <c r="LG8" s="18" t="n">
        <v>0</v>
      </c>
      <c r="LH8" s="18" t="n">
        <v>0</v>
      </c>
      <c r="LI8" s="18" t="n">
        <v>0</v>
      </c>
    </row>
    <row r="9">
      <c r="B9" s="17" t="inlineStr">
        <is>
          <t>Inversion a financiarse</t>
        </is>
      </c>
      <c r="D9" s="19" t="n">
        <v>0</v>
      </c>
      <c r="E9" s="19" t="n">
        <v>0</v>
      </c>
      <c r="F9" s="19" t="n">
        <v>0</v>
      </c>
      <c r="G9" s="19" t="n">
        <v>0</v>
      </c>
      <c r="H9" s="19" t="n">
        <v>0</v>
      </c>
      <c r="I9" s="19" t="n">
        <v>0</v>
      </c>
      <c r="J9" s="19" t="n">
        <v>0</v>
      </c>
      <c r="K9" s="19" t="n">
        <v>0</v>
      </c>
      <c r="L9" s="19" t="n">
        <v>0</v>
      </c>
      <c r="M9" s="19" t="n">
        <v>0</v>
      </c>
      <c r="N9" s="19" t="n">
        <v>0</v>
      </c>
      <c r="O9" s="19" t="n">
        <v>0</v>
      </c>
      <c r="P9" s="19" t="n">
        <v>0</v>
      </c>
      <c r="Q9" s="19" t="n">
        <v>0</v>
      </c>
      <c r="R9" s="19" t="n">
        <v>0</v>
      </c>
      <c r="S9" s="19" t="n">
        <v>0</v>
      </c>
      <c r="T9" s="19" t="n">
        <v>0</v>
      </c>
      <c r="U9" s="19" t="n">
        <v>0</v>
      </c>
      <c r="V9" s="19" t="n">
        <v>0</v>
      </c>
      <c r="W9" s="19" t="n">
        <v>0</v>
      </c>
      <c r="X9" s="19" t="n">
        <v>0</v>
      </c>
      <c r="Y9" s="19" t="n">
        <v>42887.0652593744</v>
      </c>
      <c r="Z9" s="19" t="n">
        <v>6255.756247463378</v>
      </c>
      <c r="AA9" s="19" t="n">
        <v>6266.088137511056</v>
      </c>
      <c r="AB9" s="19" t="n">
        <v>6276.437091515154</v>
      </c>
      <c r="AC9" s="19" t="n">
        <v>6286.803137658179</v>
      </c>
      <c r="AD9" s="19" t="n">
        <v>6297.186304169192</v>
      </c>
      <c r="AE9" s="19" t="n">
        <v>15790.50374910309</v>
      </c>
      <c r="AF9" s="19" t="n">
        <v>15816.58304984301</v>
      </c>
      <c r="AG9" s="19" t="n">
        <v>15842.7054226684</v>
      </c>
      <c r="AH9" s="19" t="n">
        <v>15868.87093871631</v>
      </c>
      <c r="AI9" s="19" t="n">
        <v>15642.80537884239</v>
      </c>
      <c r="AJ9" s="19" t="n">
        <v>15633.19171559247</v>
      </c>
      <c r="AK9" s="19" t="n">
        <v>13673.05473781815</v>
      </c>
      <c r="AL9" s="19" t="n">
        <v>13671.28114176584</v>
      </c>
      <c r="AM9" s="19" t="n">
        <v>13091.90239484596</v>
      </c>
      <c r="AN9" s="19" t="n">
        <v>13113.52473604785</v>
      </c>
      <c r="AO9" s="19" t="n">
        <v>14842.49088005057</v>
      </c>
      <c r="AP9" s="19" t="n">
        <v>14831.20269700295</v>
      </c>
      <c r="AQ9" s="19" t="n">
        <v>2451.270904620299</v>
      </c>
      <c r="AR9" s="19" t="n">
        <v>2455.319377812309</v>
      </c>
      <c r="AS9" s="19" t="n">
        <v>1600.066988703113</v>
      </c>
      <c r="AT9" s="19" t="n">
        <v>1602.709629423475</v>
      </c>
      <c r="AU9" s="19" t="n">
        <v>188.9731074943717</v>
      </c>
      <c r="AV9" s="19" t="n">
        <v>189.2852119452752</v>
      </c>
      <c r="AW9" s="19" t="n">
        <v>189.597831862054</v>
      </c>
      <c r="AX9" s="19" t="n">
        <v>189.910968096042</v>
      </c>
      <c r="AY9" s="19" t="n">
        <v>190.224621499979</v>
      </c>
      <c r="AZ9" s="19" t="n">
        <v>0</v>
      </c>
      <c r="BA9" s="19" t="n">
        <v>0</v>
      </c>
      <c r="BB9" s="19" t="n">
        <v>0</v>
      </c>
      <c r="BC9" s="19" t="n">
        <v>0</v>
      </c>
      <c r="BD9" s="19" t="n">
        <v>0</v>
      </c>
      <c r="BE9" s="19" t="n">
        <v>0</v>
      </c>
      <c r="BF9" s="19" t="n">
        <v>0</v>
      </c>
      <c r="BG9" s="19" t="n">
        <v>0</v>
      </c>
      <c r="BH9" s="19" t="n">
        <v>0</v>
      </c>
      <c r="BI9" s="19" t="n">
        <v>0</v>
      </c>
      <c r="BJ9" s="19" t="n">
        <v>0</v>
      </c>
      <c r="BK9" s="19" t="n">
        <v>0</v>
      </c>
      <c r="BL9" s="19" t="n">
        <v>0</v>
      </c>
      <c r="BM9" s="19" t="n">
        <v>0</v>
      </c>
      <c r="BN9" s="19" t="n">
        <v>0</v>
      </c>
      <c r="BO9" s="19" t="n">
        <v>0</v>
      </c>
      <c r="BP9" s="19" t="n">
        <v>0</v>
      </c>
      <c r="BQ9" s="19" t="n">
        <v>0</v>
      </c>
      <c r="BR9" s="19" t="n">
        <v>0</v>
      </c>
      <c r="BS9" s="19" t="n">
        <v>0</v>
      </c>
      <c r="BT9" s="19" t="n">
        <v>0</v>
      </c>
      <c r="BU9" s="19" t="n">
        <v>0</v>
      </c>
      <c r="BV9" s="19" t="n">
        <v>0</v>
      </c>
      <c r="BW9" s="19" t="n">
        <v>0</v>
      </c>
      <c r="BX9" s="19" t="n">
        <v>0</v>
      </c>
      <c r="BY9" s="19" t="n">
        <v>0</v>
      </c>
      <c r="BZ9" s="19" t="n">
        <v>0</v>
      </c>
      <c r="CA9" s="19" t="n">
        <v>0</v>
      </c>
      <c r="CB9" s="19" t="n">
        <v>0</v>
      </c>
      <c r="CC9" s="19" t="n">
        <v>0</v>
      </c>
      <c r="CD9" s="19" t="n">
        <v>0</v>
      </c>
      <c r="CE9" s="19" t="n">
        <v>0</v>
      </c>
      <c r="CF9" s="19" t="n">
        <v>0</v>
      </c>
      <c r="CG9" s="19" t="n">
        <v>0</v>
      </c>
      <c r="CH9" s="19" t="n">
        <v>0</v>
      </c>
      <c r="CI9" s="19" t="n">
        <v>0</v>
      </c>
      <c r="CJ9" s="19" t="n">
        <v>0</v>
      </c>
      <c r="CK9" s="19" t="n">
        <v>0</v>
      </c>
      <c r="CL9" s="19" t="n">
        <v>0</v>
      </c>
      <c r="CM9" s="19" t="n">
        <v>0</v>
      </c>
      <c r="CN9" s="19" t="n">
        <v>0</v>
      </c>
      <c r="CO9" s="19" t="n">
        <v>0</v>
      </c>
      <c r="CP9" s="19" t="n">
        <v>0</v>
      </c>
      <c r="CQ9" s="19" t="n">
        <v>0</v>
      </c>
      <c r="CR9" s="19" t="n">
        <v>0</v>
      </c>
      <c r="CS9" s="19" t="n">
        <v>0</v>
      </c>
      <c r="CT9" s="19" t="n">
        <v>0</v>
      </c>
      <c r="CU9" s="19" t="n">
        <v>0</v>
      </c>
      <c r="CV9" s="19" t="n">
        <v>0</v>
      </c>
      <c r="CW9" s="19" t="n">
        <v>0</v>
      </c>
      <c r="CX9" s="19" t="n">
        <v>0</v>
      </c>
      <c r="CY9" s="19" t="n">
        <v>0</v>
      </c>
      <c r="CZ9" s="19" t="n">
        <v>0</v>
      </c>
      <c r="DA9" s="19" t="n">
        <v>0</v>
      </c>
      <c r="DB9" s="19" t="n">
        <v>0</v>
      </c>
      <c r="DC9" s="19" t="n">
        <v>0</v>
      </c>
      <c r="DD9" s="19" t="n">
        <v>0</v>
      </c>
      <c r="DE9" s="19" t="n">
        <v>0</v>
      </c>
      <c r="DF9" s="19" t="n">
        <v>0</v>
      </c>
      <c r="DG9" s="19" t="n">
        <v>0</v>
      </c>
      <c r="DH9" s="19" t="n">
        <v>0</v>
      </c>
      <c r="DI9" s="19" t="n">
        <v>0</v>
      </c>
      <c r="DJ9" s="19" t="n">
        <v>0</v>
      </c>
      <c r="DK9" s="19" t="n">
        <v>0</v>
      </c>
      <c r="DL9" s="19" t="n">
        <v>0</v>
      </c>
      <c r="DM9" s="19" t="n">
        <v>0</v>
      </c>
      <c r="DN9" s="19" t="n">
        <v>0</v>
      </c>
      <c r="DO9" s="19" t="n">
        <v>0</v>
      </c>
      <c r="DP9" s="19" t="n">
        <v>0</v>
      </c>
      <c r="DQ9" s="19" t="n">
        <v>0</v>
      </c>
      <c r="DR9" s="19" t="n">
        <v>0</v>
      </c>
      <c r="DS9" s="19" t="n">
        <v>0</v>
      </c>
      <c r="DT9" s="19" t="n">
        <v>0</v>
      </c>
      <c r="DU9" s="19" t="n">
        <v>0</v>
      </c>
      <c r="DV9" s="19" t="n">
        <v>0</v>
      </c>
      <c r="DW9" s="19" t="n">
        <v>0</v>
      </c>
      <c r="DX9" s="19" t="n">
        <v>0</v>
      </c>
      <c r="DY9" s="19" t="n">
        <v>0</v>
      </c>
      <c r="DZ9" s="19" t="n">
        <v>0</v>
      </c>
      <c r="EA9" s="19" t="n">
        <v>0</v>
      </c>
      <c r="EB9" s="19" t="n">
        <v>0</v>
      </c>
      <c r="EC9" s="19" t="n">
        <v>0</v>
      </c>
      <c r="ED9" s="19" t="n">
        <v>0</v>
      </c>
      <c r="EE9" s="19" t="n">
        <v>0</v>
      </c>
      <c r="EF9" s="19" t="n">
        <v>0</v>
      </c>
      <c r="EG9" s="19" t="n">
        <v>0</v>
      </c>
      <c r="EH9" s="19" t="n">
        <v>0</v>
      </c>
      <c r="EI9" s="19" t="n">
        <v>0</v>
      </c>
      <c r="EJ9" s="19" t="n">
        <v>0</v>
      </c>
      <c r="EK9" s="19" t="n">
        <v>0</v>
      </c>
      <c r="EL9" s="19" t="n">
        <v>0</v>
      </c>
      <c r="EM9" s="19" t="n">
        <v>0</v>
      </c>
      <c r="EN9" s="19" t="n">
        <v>0</v>
      </c>
      <c r="EO9" s="19" t="n">
        <v>0</v>
      </c>
      <c r="EP9" s="19" t="n">
        <v>0</v>
      </c>
      <c r="EQ9" s="19" t="n">
        <v>0</v>
      </c>
      <c r="ER9" s="19" t="n">
        <v>0</v>
      </c>
      <c r="ES9" s="19" t="n">
        <v>0</v>
      </c>
      <c r="ET9" s="19" t="n">
        <v>0</v>
      </c>
      <c r="EU9" s="19" t="n">
        <v>0</v>
      </c>
      <c r="EV9" s="19" t="n">
        <v>0</v>
      </c>
      <c r="EW9" s="19" t="n">
        <v>0</v>
      </c>
      <c r="EX9" s="19" t="n">
        <v>0</v>
      </c>
      <c r="EY9" s="19" t="n">
        <v>0</v>
      </c>
      <c r="EZ9" s="19" t="n">
        <v>0</v>
      </c>
      <c r="FA9" s="19" t="n">
        <v>0</v>
      </c>
      <c r="FB9" s="19" t="n">
        <v>0</v>
      </c>
      <c r="FC9" s="19" t="n">
        <v>0</v>
      </c>
      <c r="FD9" s="19" t="n">
        <v>0</v>
      </c>
      <c r="FE9" s="19" t="n">
        <v>0</v>
      </c>
      <c r="FF9" s="19" t="n">
        <v>0</v>
      </c>
      <c r="FG9" s="19" t="n">
        <v>0</v>
      </c>
      <c r="FH9" s="19" t="n">
        <v>0</v>
      </c>
      <c r="FI9" s="19" t="n">
        <v>0</v>
      </c>
      <c r="FJ9" s="19" t="n">
        <v>0</v>
      </c>
      <c r="FK9" s="19" t="n">
        <v>0</v>
      </c>
      <c r="FL9" s="19" t="n">
        <v>0</v>
      </c>
      <c r="FM9" s="19" t="n">
        <v>0</v>
      </c>
      <c r="FN9" s="19" t="n">
        <v>0</v>
      </c>
      <c r="FO9" s="19" t="n">
        <v>0</v>
      </c>
      <c r="FP9" s="19" t="n">
        <v>0</v>
      </c>
      <c r="FQ9" s="19" t="n">
        <v>0</v>
      </c>
      <c r="FR9" s="19" t="n">
        <v>0</v>
      </c>
      <c r="FS9" s="19" t="n">
        <v>0</v>
      </c>
      <c r="FT9" s="19" t="n">
        <v>0</v>
      </c>
      <c r="FU9" s="19" t="n">
        <v>0</v>
      </c>
      <c r="FV9" s="19" t="n">
        <v>0</v>
      </c>
      <c r="FW9" s="19" t="n">
        <v>0</v>
      </c>
      <c r="FX9" s="19" t="n">
        <v>0</v>
      </c>
      <c r="FY9" s="19" t="n">
        <v>0</v>
      </c>
      <c r="FZ9" s="19" t="n">
        <v>0</v>
      </c>
      <c r="GA9" s="19" t="n">
        <v>0</v>
      </c>
      <c r="GB9" s="19" t="n">
        <v>0</v>
      </c>
      <c r="GC9" s="19" t="n">
        <v>0</v>
      </c>
      <c r="GD9" s="19" t="n">
        <v>0</v>
      </c>
      <c r="GE9" s="19" t="n">
        <v>0</v>
      </c>
      <c r="GF9" s="19" t="n">
        <v>0</v>
      </c>
      <c r="GG9" s="19" t="n">
        <v>0</v>
      </c>
      <c r="GH9" s="19" t="n">
        <v>0</v>
      </c>
      <c r="GI9" s="19" t="n">
        <v>0</v>
      </c>
      <c r="GJ9" s="19" t="n">
        <v>0</v>
      </c>
      <c r="GK9" s="19" t="n">
        <v>0</v>
      </c>
      <c r="GL9" s="19" t="n">
        <v>0</v>
      </c>
      <c r="GM9" s="19" t="n">
        <v>0</v>
      </c>
      <c r="GN9" s="19" t="n">
        <v>0</v>
      </c>
      <c r="GO9" s="19" t="n">
        <v>0</v>
      </c>
      <c r="GP9" s="19" t="n">
        <v>0</v>
      </c>
      <c r="GQ9" s="19" t="n">
        <v>0</v>
      </c>
      <c r="GR9" s="19" t="n">
        <v>0</v>
      </c>
      <c r="GS9" s="19" t="n">
        <v>0</v>
      </c>
      <c r="GT9" s="19" t="n">
        <v>0</v>
      </c>
      <c r="GU9" s="19" t="n">
        <v>0</v>
      </c>
      <c r="GV9" s="19" t="n">
        <v>0</v>
      </c>
      <c r="GW9" s="19" t="n">
        <v>0</v>
      </c>
      <c r="GX9" s="19" t="n">
        <v>0</v>
      </c>
      <c r="GY9" s="19" t="n">
        <v>0</v>
      </c>
      <c r="GZ9" s="19" t="n">
        <v>0</v>
      </c>
      <c r="HA9" s="19" t="n">
        <v>0</v>
      </c>
      <c r="HB9" s="19" t="n">
        <v>0</v>
      </c>
      <c r="HC9" s="19" t="n">
        <v>0</v>
      </c>
      <c r="HD9" s="19" t="n">
        <v>0</v>
      </c>
      <c r="HE9" s="19" t="n">
        <v>0</v>
      </c>
      <c r="HF9" s="19" t="n">
        <v>0</v>
      </c>
      <c r="HG9" s="19" t="n">
        <v>0</v>
      </c>
      <c r="HH9" s="19" t="n">
        <v>0</v>
      </c>
      <c r="HI9" s="19" t="n">
        <v>0</v>
      </c>
      <c r="HJ9" s="19" t="n">
        <v>0</v>
      </c>
      <c r="HK9" s="19" t="n">
        <v>0</v>
      </c>
      <c r="HL9" s="19" t="n">
        <v>0</v>
      </c>
      <c r="HM9" s="19" t="n">
        <v>0</v>
      </c>
      <c r="HN9" s="19" t="n">
        <v>0</v>
      </c>
      <c r="HO9" s="19" t="n">
        <v>0</v>
      </c>
      <c r="HP9" s="19" t="n">
        <v>0</v>
      </c>
      <c r="HQ9" s="19" t="n">
        <v>0</v>
      </c>
      <c r="HR9" s="19" t="n">
        <v>0</v>
      </c>
      <c r="HS9" s="19" t="n">
        <v>0</v>
      </c>
      <c r="HT9" s="19" t="n">
        <v>0</v>
      </c>
      <c r="HU9" s="19" t="n">
        <v>0</v>
      </c>
      <c r="HV9" s="19" t="n">
        <v>0</v>
      </c>
      <c r="HW9" s="19" t="n">
        <v>0</v>
      </c>
      <c r="HX9" s="19" t="n">
        <v>0</v>
      </c>
      <c r="HY9" s="19" t="n">
        <v>0</v>
      </c>
      <c r="HZ9" s="19" t="n">
        <v>0</v>
      </c>
      <c r="IA9" s="19" t="n">
        <v>0</v>
      </c>
      <c r="IB9" s="19" t="n">
        <v>0</v>
      </c>
      <c r="IC9" s="19" t="n">
        <v>0</v>
      </c>
      <c r="ID9" s="19" t="n">
        <v>0</v>
      </c>
      <c r="IE9" s="19" t="n">
        <v>0</v>
      </c>
      <c r="IF9" s="19" t="n">
        <v>0</v>
      </c>
      <c r="IG9" s="19" t="n">
        <v>0</v>
      </c>
      <c r="IH9" s="19" t="n">
        <v>0</v>
      </c>
      <c r="II9" s="19" t="n">
        <v>0</v>
      </c>
      <c r="IJ9" s="19" t="n">
        <v>0</v>
      </c>
      <c r="IK9" s="19" t="n">
        <v>0</v>
      </c>
      <c r="IL9" s="19" t="n">
        <v>0</v>
      </c>
      <c r="IM9" s="19" t="n">
        <v>0</v>
      </c>
      <c r="IN9" s="19" t="n">
        <v>0</v>
      </c>
      <c r="IO9" s="19" t="n">
        <v>0</v>
      </c>
      <c r="IP9" s="19" t="n">
        <v>0</v>
      </c>
      <c r="IQ9" s="19" t="n">
        <v>0</v>
      </c>
      <c r="IR9" s="19" t="n">
        <v>0</v>
      </c>
      <c r="IS9" s="19" t="n">
        <v>0</v>
      </c>
      <c r="IT9" s="19" t="n">
        <v>0</v>
      </c>
      <c r="IU9" s="19" t="n">
        <v>0</v>
      </c>
      <c r="IV9" s="19" t="n">
        <v>0</v>
      </c>
      <c r="IW9" s="19" t="n">
        <v>0</v>
      </c>
      <c r="IX9" s="19" t="n">
        <v>0</v>
      </c>
      <c r="IY9" s="19" t="n">
        <v>0</v>
      </c>
      <c r="IZ9" s="19" t="n">
        <v>0</v>
      </c>
      <c r="JA9" s="19" t="n">
        <v>0</v>
      </c>
      <c r="JB9" s="19" t="n">
        <v>0</v>
      </c>
      <c r="JC9" s="19" t="n">
        <v>0</v>
      </c>
      <c r="JD9" s="19" t="n">
        <v>0</v>
      </c>
      <c r="JE9" s="19" t="n">
        <v>0</v>
      </c>
      <c r="JF9" s="19" t="n">
        <v>0</v>
      </c>
      <c r="JG9" s="19" t="n">
        <v>0</v>
      </c>
      <c r="JH9" s="19" t="n">
        <v>0</v>
      </c>
      <c r="JI9" s="19" t="n">
        <v>0</v>
      </c>
      <c r="JJ9" s="19" t="n">
        <v>0</v>
      </c>
      <c r="JK9" s="19" t="n">
        <v>0</v>
      </c>
      <c r="JL9" s="19" t="n">
        <v>0</v>
      </c>
      <c r="JM9" s="19" t="n">
        <v>0</v>
      </c>
      <c r="JN9" s="19" t="n">
        <v>0</v>
      </c>
      <c r="JO9" s="19" t="n">
        <v>0</v>
      </c>
      <c r="JP9" s="19" t="n">
        <v>0</v>
      </c>
      <c r="JQ9" s="19" t="n">
        <v>0</v>
      </c>
      <c r="JR9" s="19" t="n">
        <v>0</v>
      </c>
      <c r="JS9" s="19" t="n">
        <v>0</v>
      </c>
      <c r="JT9" s="19" t="n">
        <v>0</v>
      </c>
      <c r="JU9" s="19" t="n">
        <v>0</v>
      </c>
      <c r="JV9" s="19" t="n">
        <v>0</v>
      </c>
      <c r="JW9" s="19" t="n">
        <v>0</v>
      </c>
      <c r="JX9" s="19" t="n">
        <v>0</v>
      </c>
      <c r="JY9" s="19" t="n">
        <v>0</v>
      </c>
      <c r="JZ9" s="19" t="n">
        <v>0</v>
      </c>
      <c r="KA9" s="19" t="n">
        <v>0</v>
      </c>
      <c r="KB9" s="19" t="n">
        <v>0</v>
      </c>
      <c r="KC9" s="19" t="n">
        <v>0</v>
      </c>
      <c r="KD9" s="19" t="n">
        <v>0</v>
      </c>
      <c r="KE9" s="19" t="n">
        <v>0</v>
      </c>
      <c r="KF9" s="19" t="n">
        <v>0</v>
      </c>
      <c r="KG9" s="19" t="n">
        <v>0</v>
      </c>
      <c r="KH9" s="19" t="n">
        <v>0</v>
      </c>
      <c r="KI9" s="19" t="n">
        <v>0</v>
      </c>
      <c r="KJ9" s="19" t="n">
        <v>0</v>
      </c>
      <c r="KK9" s="19" t="n">
        <v>0</v>
      </c>
      <c r="KL9" s="19" t="n">
        <v>0</v>
      </c>
      <c r="KM9" s="19" t="n">
        <v>0</v>
      </c>
      <c r="KN9" s="19" t="n">
        <v>0</v>
      </c>
      <c r="KO9" s="19" t="n">
        <v>0</v>
      </c>
      <c r="KP9" s="19" t="n">
        <v>0</v>
      </c>
      <c r="KQ9" s="19" t="n">
        <v>0</v>
      </c>
      <c r="KR9" s="19" t="n">
        <v>0</v>
      </c>
      <c r="KS9" s="19" t="n">
        <v>0</v>
      </c>
      <c r="KT9" s="19" t="n">
        <v>0</v>
      </c>
      <c r="KU9" s="19" t="n">
        <v>0</v>
      </c>
      <c r="KV9" s="19" t="n">
        <v>0</v>
      </c>
      <c r="KW9" s="19" t="n">
        <v>0</v>
      </c>
      <c r="KX9" s="19" t="n">
        <v>0</v>
      </c>
      <c r="KY9" s="19" t="n">
        <v>0</v>
      </c>
      <c r="KZ9" s="19" t="n">
        <v>0</v>
      </c>
      <c r="LA9" s="19" t="n">
        <v>0</v>
      </c>
      <c r="LB9" s="19" t="n">
        <v>0</v>
      </c>
      <c r="LC9" s="19" t="n">
        <v>0</v>
      </c>
      <c r="LD9" s="19" t="n">
        <v>0</v>
      </c>
      <c r="LE9" s="19" t="n">
        <v>0</v>
      </c>
      <c r="LF9" s="19" t="n">
        <v>0</v>
      </c>
      <c r="LG9" s="19" t="n">
        <v>0</v>
      </c>
      <c r="LH9" s="19" t="n">
        <v>0</v>
      </c>
      <c r="LI9" s="19" t="n">
        <v>0</v>
      </c>
    </row>
    <row r="10">
      <c r="B10" s="17" t="inlineStr">
        <is>
          <t>Desembolsos</t>
        </is>
      </c>
      <c r="D10" s="19">
        <f>D7*D9*p_tamano_deuda</f>
        <v/>
      </c>
      <c r="E10" s="19">
        <f>E7*E9*p_tamano_deuda</f>
        <v/>
      </c>
      <c r="F10" s="19">
        <f>F7*F9*p_tamano_deuda</f>
        <v/>
      </c>
      <c r="G10" s="19">
        <f>G7*G9*p_tamano_deuda</f>
        <v/>
      </c>
      <c r="H10" s="19">
        <f>H7*H9*p_tamano_deuda</f>
        <v/>
      </c>
      <c r="I10" s="19">
        <f>I7*I9*p_tamano_deuda</f>
        <v/>
      </c>
      <c r="J10" s="19">
        <f>J7*J9*p_tamano_deuda</f>
        <v/>
      </c>
      <c r="K10" s="19">
        <f>K7*K9*p_tamano_deuda</f>
        <v/>
      </c>
      <c r="L10" s="19">
        <f>L7*L9*p_tamano_deuda</f>
        <v/>
      </c>
      <c r="M10" s="19">
        <f>M7*M9*p_tamano_deuda</f>
        <v/>
      </c>
      <c r="N10" s="19">
        <f>N7*N9*p_tamano_deuda</f>
        <v/>
      </c>
      <c r="O10" s="19">
        <f>O7*O9*p_tamano_deuda</f>
        <v/>
      </c>
      <c r="P10" s="19">
        <f>P7*P9*p_tamano_deuda</f>
        <v/>
      </c>
      <c r="Q10" s="19">
        <f>Q7*Q9*p_tamano_deuda</f>
        <v/>
      </c>
      <c r="R10" s="19">
        <f>R7*R9*p_tamano_deuda</f>
        <v/>
      </c>
      <c r="S10" s="19">
        <f>S7*S9*p_tamano_deuda</f>
        <v/>
      </c>
      <c r="T10" s="19">
        <f>T7*T9*p_tamano_deuda</f>
        <v/>
      </c>
      <c r="U10" s="19">
        <f>U7*U9*p_tamano_deuda</f>
        <v/>
      </c>
      <c r="V10" s="19">
        <f>V7*V9*p_tamano_deuda</f>
        <v/>
      </c>
      <c r="W10" s="19">
        <f>W7*W9*p_tamano_deuda</f>
        <v/>
      </c>
      <c r="X10" s="19">
        <f>X7*X9*p_tamano_deuda</f>
        <v/>
      </c>
      <c r="Y10" s="19">
        <f>Y7*Y9*p_tamano_deuda</f>
        <v/>
      </c>
      <c r="Z10" s="19">
        <f>Z7*Z9*p_tamano_deuda</f>
        <v/>
      </c>
      <c r="AA10" s="19">
        <f>AA7*AA9*p_tamano_deuda</f>
        <v/>
      </c>
      <c r="AB10" s="19">
        <f>AB7*AB9*p_tamano_deuda</f>
        <v/>
      </c>
      <c r="AC10" s="19">
        <f>AC7*AC9*p_tamano_deuda</f>
        <v/>
      </c>
      <c r="AD10" s="19">
        <f>AD7*AD9*p_tamano_deuda</f>
        <v/>
      </c>
      <c r="AE10" s="19">
        <f>AE7*AE9*p_tamano_deuda</f>
        <v/>
      </c>
      <c r="AF10" s="19">
        <f>AF7*AF9*p_tamano_deuda</f>
        <v/>
      </c>
      <c r="AG10" s="19">
        <f>AG7*AG9*p_tamano_deuda</f>
        <v/>
      </c>
      <c r="AH10" s="19">
        <f>AH7*AH9*p_tamano_deuda</f>
        <v/>
      </c>
      <c r="AI10" s="19">
        <f>AI7*AI9*p_tamano_deuda</f>
        <v/>
      </c>
      <c r="AJ10" s="19">
        <f>AJ7*AJ9*p_tamano_deuda</f>
        <v/>
      </c>
      <c r="AK10" s="19">
        <f>AK7*AK9*p_tamano_deuda</f>
        <v/>
      </c>
      <c r="AL10" s="19">
        <f>AL7*AL9*p_tamano_deuda</f>
        <v/>
      </c>
      <c r="AM10" s="19">
        <f>AM7*AM9*p_tamano_deuda</f>
        <v/>
      </c>
      <c r="AN10" s="19">
        <f>AN7*AN9*p_tamano_deuda</f>
        <v/>
      </c>
      <c r="AO10" s="19">
        <f>AO7*AO9*p_tamano_deuda</f>
        <v/>
      </c>
      <c r="AP10" s="19">
        <f>AP7*AP9*p_tamano_deuda</f>
        <v/>
      </c>
      <c r="AQ10" s="19">
        <f>AQ7*AQ9*p_tamano_deuda</f>
        <v/>
      </c>
      <c r="AR10" s="19">
        <f>AR7*AR9*p_tamano_deuda</f>
        <v/>
      </c>
      <c r="AS10" s="19">
        <f>AS7*AS9*p_tamano_deuda</f>
        <v/>
      </c>
      <c r="AT10" s="19">
        <f>AT7*AT9*p_tamano_deuda</f>
        <v/>
      </c>
      <c r="AU10" s="19">
        <f>AU7*AU9*p_tamano_deuda</f>
        <v/>
      </c>
      <c r="AV10" s="19">
        <f>AV7*AV9*p_tamano_deuda</f>
        <v/>
      </c>
      <c r="AW10" s="19">
        <f>AW7*AW9*p_tamano_deuda</f>
        <v/>
      </c>
      <c r="AX10" s="19">
        <f>AX7*AX9*p_tamano_deuda</f>
        <v/>
      </c>
      <c r="AY10" s="19">
        <f>AY7*AY9*p_tamano_deuda</f>
        <v/>
      </c>
      <c r="AZ10" s="19">
        <f>AZ7*AZ9*p_tamano_deuda</f>
        <v/>
      </c>
      <c r="BA10" s="19">
        <f>BA7*BA9*p_tamano_deuda</f>
        <v/>
      </c>
      <c r="BB10" s="19">
        <f>BB7*BB9*p_tamano_deuda</f>
        <v/>
      </c>
      <c r="BC10" s="19">
        <f>BC7*BC9*p_tamano_deuda</f>
        <v/>
      </c>
      <c r="BD10" s="19">
        <f>BD7*BD9*p_tamano_deuda</f>
        <v/>
      </c>
      <c r="BE10" s="19">
        <f>BE7*BE9*p_tamano_deuda</f>
        <v/>
      </c>
      <c r="BF10" s="19">
        <f>BF7*BF9*p_tamano_deuda</f>
        <v/>
      </c>
      <c r="BG10" s="19">
        <f>BG7*BG9*p_tamano_deuda</f>
        <v/>
      </c>
      <c r="BH10" s="19">
        <f>BH7*BH9*p_tamano_deuda</f>
        <v/>
      </c>
      <c r="BI10" s="19">
        <f>BI7*BI9*p_tamano_deuda</f>
        <v/>
      </c>
      <c r="BJ10" s="19">
        <f>BJ7*BJ9*p_tamano_deuda</f>
        <v/>
      </c>
      <c r="BK10" s="19">
        <f>BK7*BK9*p_tamano_deuda</f>
        <v/>
      </c>
      <c r="BL10" s="19">
        <f>BL7*BL9*p_tamano_deuda</f>
        <v/>
      </c>
      <c r="BM10" s="19">
        <f>BM7*BM9*p_tamano_deuda</f>
        <v/>
      </c>
      <c r="BN10" s="19">
        <f>BN7*BN9*p_tamano_deuda</f>
        <v/>
      </c>
      <c r="BO10" s="19">
        <f>BO7*BO9*p_tamano_deuda</f>
        <v/>
      </c>
      <c r="BP10" s="19">
        <f>BP7*BP9*p_tamano_deuda</f>
        <v/>
      </c>
      <c r="BQ10" s="19">
        <f>BQ7*BQ9*p_tamano_deuda</f>
        <v/>
      </c>
      <c r="BR10" s="19">
        <f>BR7*BR9*p_tamano_deuda</f>
        <v/>
      </c>
      <c r="BS10" s="19">
        <f>BS7*BS9*p_tamano_deuda</f>
        <v/>
      </c>
      <c r="BT10" s="19">
        <f>BT7*BT9*p_tamano_deuda</f>
        <v/>
      </c>
      <c r="BU10" s="19">
        <f>BU7*BU9*p_tamano_deuda</f>
        <v/>
      </c>
      <c r="BV10" s="19">
        <f>BV7*BV9*p_tamano_deuda</f>
        <v/>
      </c>
      <c r="BW10" s="19">
        <f>BW7*BW9*p_tamano_deuda</f>
        <v/>
      </c>
      <c r="BX10" s="19">
        <f>BX7*BX9*p_tamano_deuda</f>
        <v/>
      </c>
      <c r="BY10" s="19">
        <f>BY7*BY9*p_tamano_deuda</f>
        <v/>
      </c>
      <c r="BZ10" s="19">
        <f>BZ7*BZ9*p_tamano_deuda</f>
        <v/>
      </c>
      <c r="CA10" s="19">
        <f>CA7*CA9*p_tamano_deuda</f>
        <v/>
      </c>
      <c r="CB10" s="19">
        <f>CB7*CB9*p_tamano_deuda</f>
        <v/>
      </c>
      <c r="CC10" s="19">
        <f>CC7*CC9*p_tamano_deuda</f>
        <v/>
      </c>
      <c r="CD10" s="19">
        <f>CD7*CD9*p_tamano_deuda</f>
        <v/>
      </c>
      <c r="CE10" s="19">
        <f>CE7*CE9*p_tamano_deuda</f>
        <v/>
      </c>
      <c r="CF10" s="19">
        <f>CF7*CF9*p_tamano_deuda</f>
        <v/>
      </c>
      <c r="CG10" s="19">
        <f>CG7*CG9*p_tamano_deuda</f>
        <v/>
      </c>
      <c r="CH10" s="19">
        <f>CH7*CH9*p_tamano_deuda</f>
        <v/>
      </c>
      <c r="CI10" s="19">
        <f>CI7*CI9*p_tamano_deuda</f>
        <v/>
      </c>
      <c r="CJ10" s="19">
        <f>CJ7*CJ9*p_tamano_deuda</f>
        <v/>
      </c>
      <c r="CK10" s="19">
        <f>CK7*CK9*p_tamano_deuda</f>
        <v/>
      </c>
      <c r="CL10" s="19">
        <f>CL7*CL9*p_tamano_deuda</f>
        <v/>
      </c>
      <c r="CM10" s="19">
        <f>CM7*CM9*p_tamano_deuda</f>
        <v/>
      </c>
      <c r="CN10" s="19">
        <f>CN7*CN9*p_tamano_deuda</f>
        <v/>
      </c>
      <c r="CO10" s="19">
        <f>CO7*CO9*p_tamano_deuda</f>
        <v/>
      </c>
      <c r="CP10" s="19">
        <f>CP7*CP9*p_tamano_deuda</f>
        <v/>
      </c>
      <c r="CQ10" s="19">
        <f>CQ7*CQ9*p_tamano_deuda</f>
        <v/>
      </c>
      <c r="CR10" s="19">
        <f>CR7*CR9*p_tamano_deuda</f>
        <v/>
      </c>
      <c r="CS10" s="19">
        <f>CS7*CS9*p_tamano_deuda</f>
        <v/>
      </c>
      <c r="CT10" s="19">
        <f>CT7*CT9*p_tamano_deuda</f>
        <v/>
      </c>
      <c r="CU10" s="19">
        <f>CU7*CU9*p_tamano_deuda</f>
        <v/>
      </c>
      <c r="CV10" s="19">
        <f>CV7*CV9*p_tamano_deuda</f>
        <v/>
      </c>
      <c r="CW10" s="19">
        <f>CW7*CW9*p_tamano_deuda</f>
        <v/>
      </c>
      <c r="CX10" s="19">
        <f>CX7*CX9*p_tamano_deuda</f>
        <v/>
      </c>
      <c r="CY10" s="19">
        <f>CY7*CY9*p_tamano_deuda</f>
        <v/>
      </c>
      <c r="CZ10" s="19">
        <f>CZ7*CZ9*p_tamano_deuda</f>
        <v/>
      </c>
      <c r="DA10" s="19">
        <f>DA7*DA9*p_tamano_deuda</f>
        <v/>
      </c>
      <c r="DB10" s="19">
        <f>DB7*DB9*p_tamano_deuda</f>
        <v/>
      </c>
      <c r="DC10" s="19">
        <f>DC7*DC9*p_tamano_deuda</f>
        <v/>
      </c>
      <c r="DD10" s="19">
        <f>DD7*DD9*p_tamano_deuda</f>
        <v/>
      </c>
      <c r="DE10" s="19">
        <f>DE7*DE9*p_tamano_deuda</f>
        <v/>
      </c>
      <c r="DF10" s="19">
        <f>DF7*DF9*p_tamano_deuda</f>
        <v/>
      </c>
      <c r="DG10" s="19">
        <f>DG7*DG9*p_tamano_deuda</f>
        <v/>
      </c>
      <c r="DH10" s="19">
        <f>DH7*DH9*p_tamano_deuda</f>
        <v/>
      </c>
      <c r="DI10" s="19">
        <f>DI7*DI9*p_tamano_deuda</f>
        <v/>
      </c>
      <c r="DJ10" s="19">
        <f>DJ7*DJ9*p_tamano_deuda</f>
        <v/>
      </c>
      <c r="DK10" s="19">
        <f>DK7*DK9*p_tamano_deuda</f>
        <v/>
      </c>
      <c r="DL10" s="19">
        <f>DL7*DL9*p_tamano_deuda</f>
        <v/>
      </c>
      <c r="DM10" s="19">
        <f>DM7*DM9*p_tamano_deuda</f>
        <v/>
      </c>
      <c r="DN10" s="19">
        <f>DN7*DN9*p_tamano_deuda</f>
        <v/>
      </c>
      <c r="DO10" s="19">
        <f>DO7*DO9*p_tamano_deuda</f>
        <v/>
      </c>
      <c r="DP10" s="19">
        <f>DP7*DP9*p_tamano_deuda</f>
        <v/>
      </c>
      <c r="DQ10" s="19">
        <f>DQ7*DQ9*p_tamano_deuda</f>
        <v/>
      </c>
      <c r="DR10" s="19">
        <f>DR7*DR9*p_tamano_deuda</f>
        <v/>
      </c>
      <c r="DS10" s="19">
        <f>DS7*DS9*p_tamano_deuda</f>
        <v/>
      </c>
      <c r="DT10" s="19">
        <f>DT7*DT9*p_tamano_deuda</f>
        <v/>
      </c>
      <c r="DU10" s="19">
        <f>DU7*DU9*p_tamano_deuda</f>
        <v/>
      </c>
      <c r="DV10" s="19">
        <f>DV7*DV9*p_tamano_deuda</f>
        <v/>
      </c>
      <c r="DW10" s="19">
        <f>DW7*DW9*p_tamano_deuda</f>
        <v/>
      </c>
      <c r="DX10" s="19">
        <f>DX7*DX9*p_tamano_deuda</f>
        <v/>
      </c>
      <c r="DY10" s="19">
        <f>DY7*DY9*p_tamano_deuda</f>
        <v/>
      </c>
      <c r="DZ10" s="19">
        <f>DZ7*DZ9*p_tamano_deuda</f>
        <v/>
      </c>
      <c r="EA10" s="19">
        <f>EA7*EA9*p_tamano_deuda</f>
        <v/>
      </c>
      <c r="EB10" s="19">
        <f>EB7*EB9*p_tamano_deuda</f>
        <v/>
      </c>
      <c r="EC10" s="19">
        <f>EC7*EC9*p_tamano_deuda</f>
        <v/>
      </c>
      <c r="ED10" s="19">
        <f>ED7*ED9*p_tamano_deuda</f>
        <v/>
      </c>
      <c r="EE10" s="19">
        <f>EE7*EE9*p_tamano_deuda</f>
        <v/>
      </c>
      <c r="EF10" s="19">
        <f>EF7*EF9*p_tamano_deuda</f>
        <v/>
      </c>
      <c r="EG10" s="19">
        <f>EG7*EG9*p_tamano_deuda</f>
        <v/>
      </c>
      <c r="EH10" s="19">
        <f>EH7*EH9*p_tamano_deuda</f>
        <v/>
      </c>
      <c r="EI10" s="19">
        <f>EI7*EI9*p_tamano_deuda</f>
        <v/>
      </c>
      <c r="EJ10" s="19">
        <f>EJ7*EJ9*p_tamano_deuda</f>
        <v/>
      </c>
      <c r="EK10" s="19">
        <f>EK7*EK9*p_tamano_deuda</f>
        <v/>
      </c>
      <c r="EL10" s="19">
        <f>EL7*EL9*p_tamano_deuda</f>
        <v/>
      </c>
      <c r="EM10" s="19">
        <f>EM7*EM9*p_tamano_deuda</f>
        <v/>
      </c>
      <c r="EN10" s="19">
        <f>EN7*EN9*p_tamano_deuda</f>
        <v/>
      </c>
      <c r="EO10" s="19">
        <f>EO7*EO9*p_tamano_deuda</f>
        <v/>
      </c>
      <c r="EP10" s="19">
        <f>EP7*EP9*p_tamano_deuda</f>
        <v/>
      </c>
      <c r="EQ10" s="19">
        <f>EQ7*EQ9*p_tamano_deuda</f>
        <v/>
      </c>
      <c r="ER10" s="19">
        <f>ER7*ER9*p_tamano_deuda</f>
        <v/>
      </c>
      <c r="ES10" s="19">
        <f>ES7*ES9*p_tamano_deuda</f>
        <v/>
      </c>
      <c r="ET10" s="19">
        <f>ET7*ET9*p_tamano_deuda</f>
        <v/>
      </c>
      <c r="EU10" s="19">
        <f>EU7*EU9*p_tamano_deuda</f>
        <v/>
      </c>
      <c r="EV10" s="19">
        <f>EV7*EV9*p_tamano_deuda</f>
        <v/>
      </c>
      <c r="EW10" s="19">
        <f>EW7*EW9*p_tamano_deuda</f>
        <v/>
      </c>
      <c r="EX10" s="19">
        <f>EX7*EX9*p_tamano_deuda</f>
        <v/>
      </c>
      <c r="EY10" s="19">
        <f>EY7*EY9*p_tamano_deuda</f>
        <v/>
      </c>
      <c r="EZ10" s="19">
        <f>EZ7*EZ9*p_tamano_deuda</f>
        <v/>
      </c>
      <c r="FA10" s="19">
        <f>FA7*FA9*p_tamano_deuda</f>
        <v/>
      </c>
      <c r="FB10" s="19">
        <f>FB7*FB9*p_tamano_deuda</f>
        <v/>
      </c>
      <c r="FC10" s="19">
        <f>FC7*FC9*p_tamano_deuda</f>
        <v/>
      </c>
      <c r="FD10" s="19">
        <f>FD7*FD9*p_tamano_deuda</f>
        <v/>
      </c>
      <c r="FE10" s="19">
        <f>FE7*FE9*p_tamano_deuda</f>
        <v/>
      </c>
      <c r="FF10" s="19">
        <f>FF7*FF9*p_tamano_deuda</f>
        <v/>
      </c>
      <c r="FG10" s="19">
        <f>FG7*FG9*p_tamano_deuda</f>
        <v/>
      </c>
      <c r="FH10" s="19">
        <f>FH7*FH9*p_tamano_deuda</f>
        <v/>
      </c>
      <c r="FI10" s="19">
        <f>FI7*FI9*p_tamano_deuda</f>
        <v/>
      </c>
      <c r="FJ10" s="19">
        <f>FJ7*FJ9*p_tamano_deuda</f>
        <v/>
      </c>
      <c r="FK10" s="19">
        <f>FK7*FK9*p_tamano_deuda</f>
        <v/>
      </c>
      <c r="FL10" s="19">
        <f>FL7*FL9*p_tamano_deuda</f>
        <v/>
      </c>
      <c r="FM10" s="19">
        <f>FM7*FM9*p_tamano_deuda</f>
        <v/>
      </c>
      <c r="FN10" s="19">
        <f>FN7*FN9*p_tamano_deuda</f>
        <v/>
      </c>
      <c r="FO10" s="19">
        <f>FO7*FO9*p_tamano_deuda</f>
        <v/>
      </c>
      <c r="FP10" s="19">
        <f>FP7*FP9*p_tamano_deuda</f>
        <v/>
      </c>
      <c r="FQ10" s="19">
        <f>FQ7*FQ9*p_tamano_deuda</f>
        <v/>
      </c>
      <c r="FR10" s="19">
        <f>FR7*FR9*p_tamano_deuda</f>
        <v/>
      </c>
      <c r="FS10" s="19">
        <f>FS7*FS9*p_tamano_deuda</f>
        <v/>
      </c>
      <c r="FT10" s="19">
        <f>FT7*FT9*p_tamano_deuda</f>
        <v/>
      </c>
      <c r="FU10" s="19">
        <f>FU7*FU9*p_tamano_deuda</f>
        <v/>
      </c>
      <c r="FV10" s="19">
        <f>FV7*FV9*p_tamano_deuda</f>
        <v/>
      </c>
      <c r="FW10" s="19">
        <f>FW7*FW9*p_tamano_deuda</f>
        <v/>
      </c>
      <c r="FX10" s="19">
        <f>FX7*FX9*p_tamano_deuda</f>
        <v/>
      </c>
      <c r="FY10" s="19">
        <f>FY7*FY9*p_tamano_deuda</f>
        <v/>
      </c>
      <c r="FZ10" s="19">
        <f>FZ7*FZ9*p_tamano_deuda</f>
        <v/>
      </c>
      <c r="GA10" s="19">
        <f>GA7*GA9*p_tamano_deuda</f>
        <v/>
      </c>
      <c r="GB10" s="19">
        <f>GB7*GB9*p_tamano_deuda</f>
        <v/>
      </c>
      <c r="GC10" s="19">
        <f>GC7*GC9*p_tamano_deuda</f>
        <v/>
      </c>
      <c r="GD10" s="19">
        <f>GD7*GD9*p_tamano_deuda</f>
        <v/>
      </c>
      <c r="GE10" s="19">
        <f>GE7*GE9*p_tamano_deuda</f>
        <v/>
      </c>
      <c r="GF10" s="19">
        <f>GF7*GF9*p_tamano_deuda</f>
        <v/>
      </c>
      <c r="GG10" s="19">
        <f>GG7*GG9*p_tamano_deuda</f>
        <v/>
      </c>
      <c r="GH10" s="19">
        <f>GH7*GH9*p_tamano_deuda</f>
        <v/>
      </c>
      <c r="GI10" s="19">
        <f>GI7*GI9*p_tamano_deuda</f>
        <v/>
      </c>
      <c r="GJ10" s="19">
        <f>GJ7*GJ9*p_tamano_deuda</f>
        <v/>
      </c>
      <c r="GK10" s="19">
        <f>GK7*GK9*p_tamano_deuda</f>
        <v/>
      </c>
      <c r="GL10" s="19">
        <f>GL7*GL9*p_tamano_deuda</f>
        <v/>
      </c>
      <c r="GM10" s="19">
        <f>GM7*GM9*p_tamano_deuda</f>
        <v/>
      </c>
      <c r="GN10" s="19">
        <f>GN7*GN9*p_tamano_deuda</f>
        <v/>
      </c>
      <c r="GO10" s="19">
        <f>GO7*GO9*p_tamano_deuda</f>
        <v/>
      </c>
      <c r="GP10" s="19">
        <f>GP7*GP9*p_tamano_deuda</f>
        <v/>
      </c>
      <c r="GQ10" s="19">
        <f>GQ7*GQ9*p_tamano_deuda</f>
        <v/>
      </c>
      <c r="GR10" s="19">
        <f>GR7*GR9*p_tamano_deuda</f>
        <v/>
      </c>
      <c r="GS10" s="19">
        <f>GS7*GS9*p_tamano_deuda</f>
        <v/>
      </c>
      <c r="GT10" s="19">
        <f>GT7*GT9*p_tamano_deuda</f>
        <v/>
      </c>
      <c r="GU10" s="19">
        <f>GU7*GU9*p_tamano_deuda</f>
        <v/>
      </c>
      <c r="GV10" s="19">
        <f>GV7*GV9*p_tamano_deuda</f>
        <v/>
      </c>
      <c r="GW10" s="19">
        <f>GW7*GW9*p_tamano_deuda</f>
        <v/>
      </c>
      <c r="GX10" s="19">
        <f>GX7*GX9*p_tamano_deuda</f>
        <v/>
      </c>
      <c r="GY10" s="19">
        <f>GY7*GY9*p_tamano_deuda</f>
        <v/>
      </c>
      <c r="GZ10" s="19">
        <f>GZ7*GZ9*p_tamano_deuda</f>
        <v/>
      </c>
      <c r="HA10" s="19">
        <f>HA7*HA9*p_tamano_deuda</f>
        <v/>
      </c>
      <c r="HB10" s="19">
        <f>HB7*HB9*p_tamano_deuda</f>
        <v/>
      </c>
      <c r="HC10" s="19">
        <f>HC7*HC9*p_tamano_deuda</f>
        <v/>
      </c>
      <c r="HD10" s="19">
        <f>HD7*HD9*p_tamano_deuda</f>
        <v/>
      </c>
      <c r="HE10" s="19">
        <f>HE7*HE9*p_tamano_deuda</f>
        <v/>
      </c>
      <c r="HF10" s="19">
        <f>HF7*HF9*p_tamano_deuda</f>
        <v/>
      </c>
      <c r="HG10" s="19">
        <f>HG7*HG9*p_tamano_deuda</f>
        <v/>
      </c>
      <c r="HH10" s="19">
        <f>HH7*HH9*p_tamano_deuda</f>
        <v/>
      </c>
      <c r="HI10" s="19">
        <f>HI7*HI9*p_tamano_deuda</f>
        <v/>
      </c>
      <c r="HJ10" s="19">
        <f>HJ7*HJ9*p_tamano_deuda</f>
        <v/>
      </c>
      <c r="HK10" s="19">
        <f>HK7*HK9*p_tamano_deuda</f>
        <v/>
      </c>
      <c r="HL10" s="19">
        <f>HL7*HL9*p_tamano_deuda</f>
        <v/>
      </c>
      <c r="HM10" s="19">
        <f>HM7*HM9*p_tamano_deuda</f>
        <v/>
      </c>
      <c r="HN10" s="19">
        <f>HN7*HN9*p_tamano_deuda</f>
        <v/>
      </c>
      <c r="HO10" s="19">
        <f>HO7*HO9*p_tamano_deuda</f>
        <v/>
      </c>
      <c r="HP10" s="19">
        <f>HP7*HP9*p_tamano_deuda</f>
        <v/>
      </c>
      <c r="HQ10" s="19">
        <f>HQ7*HQ9*p_tamano_deuda</f>
        <v/>
      </c>
      <c r="HR10" s="19">
        <f>HR7*HR9*p_tamano_deuda</f>
        <v/>
      </c>
      <c r="HS10" s="19">
        <f>HS7*HS9*p_tamano_deuda</f>
        <v/>
      </c>
      <c r="HT10" s="19">
        <f>HT7*HT9*p_tamano_deuda</f>
        <v/>
      </c>
      <c r="HU10" s="19">
        <f>HU7*HU9*p_tamano_deuda</f>
        <v/>
      </c>
      <c r="HV10" s="19">
        <f>HV7*HV9*p_tamano_deuda</f>
        <v/>
      </c>
      <c r="HW10" s="19">
        <f>HW7*HW9*p_tamano_deuda</f>
        <v/>
      </c>
      <c r="HX10" s="19">
        <f>HX7*HX9*p_tamano_deuda</f>
        <v/>
      </c>
      <c r="HY10" s="19">
        <f>HY7*HY9*p_tamano_deuda</f>
        <v/>
      </c>
      <c r="HZ10" s="19">
        <f>HZ7*HZ9*p_tamano_deuda</f>
        <v/>
      </c>
      <c r="IA10" s="19">
        <f>IA7*IA9*p_tamano_deuda</f>
        <v/>
      </c>
      <c r="IB10" s="19">
        <f>IB7*IB9*p_tamano_deuda</f>
        <v/>
      </c>
      <c r="IC10" s="19">
        <f>IC7*IC9*p_tamano_deuda</f>
        <v/>
      </c>
      <c r="ID10" s="19">
        <f>ID7*ID9*p_tamano_deuda</f>
        <v/>
      </c>
      <c r="IE10" s="19">
        <f>IE7*IE9*p_tamano_deuda</f>
        <v/>
      </c>
      <c r="IF10" s="19">
        <f>IF7*IF9*p_tamano_deuda</f>
        <v/>
      </c>
      <c r="IG10" s="19">
        <f>IG7*IG9*p_tamano_deuda</f>
        <v/>
      </c>
      <c r="IH10" s="19">
        <f>IH7*IH9*p_tamano_deuda</f>
        <v/>
      </c>
      <c r="II10" s="19">
        <f>II7*II9*p_tamano_deuda</f>
        <v/>
      </c>
      <c r="IJ10" s="19">
        <f>IJ7*IJ9*p_tamano_deuda</f>
        <v/>
      </c>
      <c r="IK10" s="19">
        <f>IK7*IK9*p_tamano_deuda</f>
        <v/>
      </c>
      <c r="IL10" s="19">
        <f>IL7*IL9*p_tamano_deuda</f>
        <v/>
      </c>
      <c r="IM10" s="19">
        <f>IM7*IM9*p_tamano_deuda</f>
        <v/>
      </c>
      <c r="IN10" s="19">
        <f>IN7*IN9*p_tamano_deuda</f>
        <v/>
      </c>
      <c r="IO10" s="19">
        <f>IO7*IO9*p_tamano_deuda</f>
        <v/>
      </c>
      <c r="IP10" s="19">
        <f>IP7*IP9*p_tamano_deuda</f>
        <v/>
      </c>
      <c r="IQ10" s="19">
        <f>IQ7*IQ9*p_tamano_deuda</f>
        <v/>
      </c>
      <c r="IR10" s="19">
        <f>IR7*IR9*p_tamano_deuda</f>
        <v/>
      </c>
      <c r="IS10" s="19">
        <f>IS7*IS9*p_tamano_deuda</f>
        <v/>
      </c>
      <c r="IT10" s="19">
        <f>IT7*IT9*p_tamano_deuda</f>
        <v/>
      </c>
      <c r="IU10" s="19">
        <f>IU7*IU9*p_tamano_deuda</f>
        <v/>
      </c>
      <c r="IV10" s="19">
        <f>IV7*IV9*p_tamano_deuda</f>
        <v/>
      </c>
      <c r="IW10" s="19">
        <f>IW7*IW9*p_tamano_deuda</f>
        <v/>
      </c>
      <c r="IX10" s="19">
        <f>IX7*IX9*p_tamano_deuda</f>
        <v/>
      </c>
      <c r="IY10" s="19">
        <f>IY7*IY9*p_tamano_deuda</f>
        <v/>
      </c>
      <c r="IZ10" s="19">
        <f>IZ7*IZ9*p_tamano_deuda</f>
        <v/>
      </c>
      <c r="JA10" s="19">
        <f>JA7*JA9*p_tamano_deuda</f>
        <v/>
      </c>
      <c r="JB10" s="19">
        <f>JB7*JB9*p_tamano_deuda</f>
        <v/>
      </c>
      <c r="JC10" s="19">
        <f>JC7*JC9*p_tamano_deuda</f>
        <v/>
      </c>
      <c r="JD10" s="19">
        <f>JD7*JD9*p_tamano_deuda</f>
        <v/>
      </c>
      <c r="JE10" s="19">
        <f>JE7*JE9*p_tamano_deuda</f>
        <v/>
      </c>
      <c r="JF10" s="19">
        <f>JF7*JF9*p_tamano_deuda</f>
        <v/>
      </c>
      <c r="JG10" s="19">
        <f>JG7*JG9*p_tamano_deuda</f>
        <v/>
      </c>
      <c r="JH10" s="19">
        <f>JH7*JH9*p_tamano_deuda</f>
        <v/>
      </c>
      <c r="JI10" s="19">
        <f>JI7*JI9*p_tamano_deuda</f>
        <v/>
      </c>
      <c r="JJ10" s="19">
        <f>JJ7*JJ9*p_tamano_deuda</f>
        <v/>
      </c>
      <c r="JK10" s="19">
        <f>JK7*JK9*p_tamano_deuda</f>
        <v/>
      </c>
      <c r="JL10" s="19">
        <f>JL7*JL9*p_tamano_deuda</f>
        <v/>
      </c>
      <c r="JM10" s="19">
        <f>JM7*JM9*p_tamano_deuda</f>
        <v/>
      </c>
      <c r="JN10" s="19">
        <f>JN7*JN9*p_tamano_deuda</f>
        <v/>
      </c>
      <c r="JO10" s="19">
        <f>JO7*JO9*p_tamano_deuda</f>
        <v/>
      </c>
      <c r="JP10" s="19">
        <f>JP7*JP9*p_tamano_deuda</f>
        <v/>
      </c>
      <c r="JQ10" s="19">
        <f>JQ7*JQ9*p_tamano_deuda</f>
        <v/>
      </c>
      <c r="JR10" s="19">
        <f>JR7*JR9*p_tamano_deuda</f>
        <v/>
      </c>
      <c r="JS10" s="19">
        <f>JS7*JS9*p_tamano_deuda</f>
        <v/>
      </c>
      <c r="JT10" s="19">
        <f>JT7*JT9*p_tamano_deuda</f>
        <v/>
      </c>
      <c r="JU10" s="19">
        <f>JU7*JU9*p_tamano_deuda</f>
        <v/>
      </c>
      <c r="JV10" s="19">
        <f>JV7*JV9*p_tamano_deuda</f>
        <v/>
      </c>
      <c r="JW10" s="19">
        <f>JW7*JW9*p_tamano_deuda</f>
        <v/>
      </c>
      <c r="JX10" s="19">
        <f>JX7*JX9*p_tamano_deuda</f>
        <v/>
      </c>
      <c r="JY10" s="19">
        <f>JY7*JY9*p_tamano_deuda</f>
        <v/>
      </c>
      <c r="JZ10" s="19">
        <f>JZ7*JZ9*p_tamano_deuda</f>
        <v/>
      </c>
      <c r="KA10" s="19">
        <f>KA7*KA9*p_tamano_deuda</f>
        <v/>
      </c>
      <c r="KB10" s="19">
        <f>KB7*KB9*p_tamano_deuda</f>
        <v/>
      </c>
      <c r="KC10" s="19">
        <f>KC7*KC9*p_tamano_deuda</f>
        <v/>
      </c>
      <c r="KD10" s="19">
        <f>KD7*KD9*p_tamano_deuda</f>
        <v/>
      </c>
      <c r="KE10" s="19">
        <f>KE7*KE9*p_tamano_deuda</f>
        <v/>
      </c>
      <c r="KF10" s="19">
        <f>KF7*KF9*p_tamano_deuda</f>
        <v/>
      </c>
      <c r="KG10" s="19">
        <f>KG7*KG9*p_tamano_deuda</f>
        <v/>
      </c>
      <c r="KH10" s="19">
        <f>KH7*KH9*p_tamano_deuda</f>
        <v/>
      </c>
      <c r="KI10" s="19">
        <f>KI7*KI9*p_tamano_deuda</f>
        <v/>
      </c>
      <c r="KJ10" s="19">
        <f>KJ7*KJ9*p_tamano_deuda</f>
        <v/>
      </c>
      <c r="KK10" s="19">
        <f>KK7*KK9*p_tamano_deuda</f>
        <v/>
      </c>
      <c r="KL10" s="19">
        <f>KL7*KL9*p_tamano_deuda</f>
        <v/>
      </c>
      <c r="KM10" s="19">
        <f>KM7*KM9*p_tamano_deuda</f>
        <v/>
      </c>
      <c r="KN10" s="19">
        <f>KN7*KN9*p_tamano_deuda</f>
        <v/>
      </c>
      <c r="KO10" s="19">
        <f>KO7*KO9*p_tamano_deuda</f>
        <v/>
      </c>
      <c r="KP10" s="19">
        <f>KP7*KP9*p_tamano_deuda</f>
        <v/>
      </c>
      <c r="KQ10" s="19">
        <f>KQ7*KQ9*p_tamano_deuda</f>
        <v/>
      </c>
      <c r="KR10" s="19">
        <f>KR7*KR9*p_tamano_deuda</f>
        <v/>
      </c>
      <c r="KS10" s="19">
        <f>KS7*KS9*p_tamano_deuda</f>
        <v/>
      </c>
      <c r="KT10" s="19">
        <f>KT7*KT9*p_tamano_deuda</f>
        <v/>
      </c>
      <c r="KU10" s="19">
        <f>KU7*KU9*p_tamano_deuda</f>
        <v/>
      </c>
      <c r="KV10" s="19">
        <f>KV7*KV9*p_tamano_deuda</f>
        <v/>
      </c>
      <c r="KW10" s="19">
        <f>KW7*KW9*p_tamano_deuda</f>
        <v/>
      </c>
      <c r="KX10" s="19">
        <f>KX7*KX9*p_tamano_deuda</f>
        <v/>
      </c>
      <c r="KY10" s="19">
        <f>KY7*KY9*p_tamano_deuda</f>
        <v/>
      </c>
      <c r="KZ10" s="19">
        <f>KZ7*KZ9*p_tamano_deuda</f>
        <v/>
      </c>
      <c r="LA10" s="19">
        <f>LA7*LA9*p_tamano_deuda</f>
        <v/>
      </c>
      <c r="LB10" s="19">
        <f>LB7*LB9*p_tamano_deuda</f>
        <v/>
      </c>
      <c r="LC10" s="19">
        <f>LC7*LC9*p_tamano_deuda</f>
        <v/>
      </c>
      <c r="LD10" s="19">
        <f>LD7*LD9*p_tamano_deuda</f>
        <v/>
      </c>
      <c r="LE10" s="19">
        <f>LE7*LE9*p_tamano_deuda</f>
        <v/>
      </c>
      <c r="LF10" s="19">
        <f>LF7*LF9*p_tamano_deuda</f>
        <v/>
      </c>
      <c r="LG10" s="19">
        <f>LG7*LG9*p_tamano_deuda</f>
        <v/>
      </c>
      <c r="LH10" s="19">
        <f>LH7*LH9*p_tamano_deuda</f>
        <v/>
      </c>
      <c r="LI10" s="19">
        <f>LI7*LI9*p_tamano_deuda</f>
        <v/>
      </c>
    </row>
    <row r="11">
      <c r="B11" s="17" t="inlineStr">
        <is>
          <t>Tasa mensual</t>
        </is>
      </c>
      <c r="D11" s="20">
        <f>(1+p_kd)^(1/12)-1</f>
        <v/>
      </c>
    </row>
    <row r="12">
      <c r="B12" s="17" t="inlineStr">
        <is>
          <t>Saldo de obra capitalizado (base de la cuota)</t>
        </is>
      </c>
      <c r="D12" s="19">
        <f>0*(1+$D$11)+D10</f>
        <v/>
      </c>
      <c r="E12" s="19">
        <f>D12*(1+$D$11)+E10</f>
        <v/>
      </c>
      <c r="F12" s="19">
        <f>E12*(1+$D$11)+F10</f>
        <v/>
      </c>
      <c r="G12" s="19">
        <f>F12*(1+$D$11)+G10</f>
        <v/>
      </c>
      <c r="H12" s="19">
        <f>G12*(1+$D$11)+H10</f>
        <v/>
      </c>
      <c r="I12" s="19">
        <f>H12*(1+$D$11)+I10</f>
        <v/>
      </c>
      <c r="J12" s="19">
        <f>I12*(1+$D$11)+J10</f>
        <v/>
      </c>
      <c r="K12" s="19">
        <f>J12*(1+$D$11)+K10</f>
        <v/>
      </c>
      <c r="L12" s="19">
        <f>K12*(1+$D$11)+L10</f>
        <v/>
      </c>
      <c r="M12" s="19">
        <f>L12*(1+$D$11)+M10</f>
        <v/>
      </c>
      <c r="N12" s="19">
        <f>M12*(1+$D$11)+N10</f>
        <v/>
      </c>
      <c r="O12" s="19">
        <f>N12*(1+$D$11)+O10</f>
        <v/>
      </c>
      <c r="P12" s="19">
        <f>O12*(1+$D$11)+P10</f>
        <v/>
      </c>
      <c r="Q12" s="19">
        <f>P12*(1+$D$11)+Q10</f>
        <v/>
      </c>
      <c r="R12" s="19">
        <f>Q12*(1+$D$11)+R10</f>
        <v/>
      </c>
      <c r="S12" s="19">
        <f>R12*(1+$D$11)+S10</f>
        <v/>
      </c>
      <c r="T12" s="19">
        <f>S12*(1+$D$11)+T10</f>
        <v/>
      </c>
      <c r="U12" s="19">
        <f>T12*(1+$D$11)+U10</f>
        <v/>
      </c>
      <c r="V12" s="19">
        <f>U12*(1+$D$11)+V10</f>
        <v/>
      </c>
      <c r="W12" s="19">
        <f>V12*(1+$D$11)+W10</f>
        <v/>
      </c>
      <c r="X12" s="19">
        <f>W12*(1+$D$11)+X10</f>
        <v/>
      </c>
      <c r="Y12" s="19">
        <f>X12*(1+$D$11)+Y10</f>
        <v/>
      </c>
      <c r="Z12" s="19">
        <f>Y12*(1+$D$11)+Z10</f>
        <v/>
      </c>
      <c r="AA12" s="19">
        <f>Z12*(1+$D$11)+AA10</f>
        <v/>
      </c>
      <c r="AB12" s="19">
        <f>AA12*(1+$D$11)+AB10</f>
        <v/>
      </c>
      <c r="AC12" s="19">
        <f>AB12*(1+$D$11)+AC10</f>
        <v/>
      </c>
      <c r="AD12" s="19">
        <f>AC12*(1+$D$11)+AD10</f>
        <v/>
      </c>
      <c r="AE12" s="19">
        <f>AD12*(1+$D$11)+AE10</f>
        <v/>
      </c>
      <c r="AF12" s="19">
        <f>AE12*(1+$D$11)+AF10</f>
        <v/>
      </c>
      <c r="AG12" s="19">
        <f>AF12*(1+$D$11)+AG10</f>
        <v/>
      </c>
      <c r="AH12" s="19">
        <f>AG12*(1+$D$11)+AH10</f>
        <v/>
      </c>
      <c r="AI12" s="19">
        <f>AH12*(1+$D$11)+AI10</f>
        <v/>
      </c>
      <c r="AJ12" s="19">
        <f>AI12*(1+$D$11)+AJ10</f>
        <v/>
      </c>
      <c r="AK12" s="19">
        <f>AJ12*(1+$D$11)+AK10</f>
        <v/>
      </c>
      <c r="AL12" s="19">
        <f>AK12*(1+$D$11)+AL10</f>
        <v/>
      </c>
      <c r="AM12" s="19">
        <f>AL12*(1+$D$11)+AM10</f>
        <v/>
      </c>
      <c r="AN12" s="19">
        <f>AM12*(1+$D$11)+AN10</f>
        <v/>
      </c>
      <c r="AO12" s="19">
        <f>AN12*(1+$D$11)+AO10</f>
        <v/>
      </c>
      <c r="AP12" s="19">
        <f>AO12*(1+$D$11)+AP10</f>
        <v/>
      </c>
      <c r="AQ12" s="19">
        <f>AP12*(1+$D$11)+AQ10</f>
        <v/>
      </c>
      <c r="AR12" s="19">
        <f>AQ12*(1+$D$11)+AR10</f>
        <v/>
      </c>
      <c r="AS12" s="19">
        <f>AR12*(1+$D$11)+AS10</f>
        <v/>
      </c>
      <c r="AT12" s="19">
        <f>AS12*(1+$D$11)+AT10</f>
        <v/>
      </c>
      <c r="AU12" s="19">
        <f>AT12*(1+$D$11)+AU10</f>
        <v/>
      </c>
      <c r="AV12" s="19">
        <f>AU12*(1+$D$11)+AV10</f>
        <v/>
      </c>
      <c r="AW12" s="19">
        <f>AV12*(1+$D$11)+AW10</f>
        <v/>
      </c>
      <c r="AX12" s="19">
        <f>AW12*(1+$D$11)+AX10</f>
        <v/>
      </c>
      <c r="AY12" s="19">
        <f>AX12*(1+$D$11)+AY10</f>
        <v/>
      </c>
      <c r="AZ12" s="19" t="n">
        <v>0</v>
      </c>
      <c r="BA12" s="19" t="n">
        <v>0</v>
      </c>
      <c r="BB12" s="19" t="n">
        <v>0</v>
      </c>
      <c r="BC12" s="19" t="n">
        <v>0</v>
      </c>
      <c r="BD12" s="19" t="n">
        <v>0</v>
      </c>
      <c r="BE12" s="19" t="n">
        <v>0</v>
      </c>
      <c r="BF12" s="19" t="n">
        <v>0</v>
      </c>
      <c r="BG12" s="19" t="n">
        <v>0</v>
      </c>
      <c r="BH12" s="19" t="n">
        <v>0</v>
      </c>
      <c r="BI12" s="19" t="n">
        <v>0</v>
      </c>
      <c r="BJ12" s="19" t="n">
        <v>0</v>
      </c>
      <c r="BK12" s="19" t="n">
        <v>0</v>
      </c>
      <c r="BL12" s="19" t="n">
        <v>0</v>
      </c>
      <c r="BM12" s="19" t="n">
        <v>0</v>
      </c>
      <c r="BN12" s="19" t="n">
        <v>0</v>
      </c>
      <c r="BO12" s="19" t="n">
        <v>0</v>
      </c>
      <c r="BP12" s="19" t="n">
        <v>0</v>
      </c>
      <c r="BQ12" s="19" t="n">
        <v>0</v>
      </c>
      <c r="BR12" s="19" t="n">
        <v>0</v>
      </c>
      <c r="BS12" s="19" t="n">
        <v>0</v>
      </c>
      <c r="BT12" s="19" t="n">
        <v>0</v>
      </c>
      <c r="BU12" s="19" t="n">
        <v>0</v>
      </c>
      <c r="BV12" s="19" t="n">
        <v>0</v>
      </c>
      <c r="BW12" s="19" t="n">
        <v>0</v>
      </c>
      <c r="BX12" s="19" t="n">
        <v>0</v>
      </c>
      <c r="BY12" s="19" t="n">
        <v>0</v>
      </c>
      <c r="BZ12" s="19" t="n">
        <v>0</v>
      </c>
      <c r="CA12" s="19" t="n">
        <v>0</v>
      </c>
      <c r="CB12" s="19" t="n">
        <v>0</v>
      </c>
      <c r="CC12" s="19" t="n">
        <v>0</v>
      </c>
      <c r="CD12" s="19" t="n">
        <v>0</v>
      </c>
      <c r="CE12" s="19" t="n">
        <v>0</v>
      </c>
      <c r="CF12" s="19" t="n">
        <v>0</v>
      </c>
      <c r="CG12" s="19" t="n">
        <v>0</v>
      </c>
      <c r="CH12" s="19" t="n">
        <v>0</v>
      </c>
      <c r="CI12" s="19" t="n">
        <v>0</v>
      </c>
      <c r="CJ12" s="19" t="n">
        <v>0</v>
      </c>
      <c r="CK12" s="19" t="n">
        <v>0</v>
      </c>
      <c r="CL12" s="19" t="n">
        <v>0</v>
      </c>
      <c r="CM12" s="19" t="n">
        <v>0</v>
      </c>
      <c r="CN12" s="19" t="n">
        <v>0</v>
      </c>
      <c r="CO12" s="19" t="n">
        <v>0</v>
      </c>
      <c r="CP12" s="19" t="n">
        <v>0</v>
      </c>
      <c r="CQ12" s="19" t="n">
        <v>0</v>
      </c>
      <c r="CR12" s="19" t="n">
        <v>0</v>
      </c>
      <c r="CS12" s="19" t="n">
        <v>0</v>
      </c>
      <c r="CT12" s="19" t="n">
        <v>0</v>
      </c>
      <c r="CU12" s="19" t="n">
        <v>0</v>
      </c>
      <c r="CV12" s="19" t="n">
        <v>0</v>
      </c>
      <c r="CW12" s="19" t="n">
        <v>0</v>
      </c>
      <c r="CX12" s="19" t="n">
        <v>0</v>
      </c>
      <c r="CY12" s="19" t="n">
        <v>0</v>
      </c>
      <c r="CZ12" s="19" t="n">
        <v>0</v>
      </c>
      <c r="DA12" s="19" t="n">
        <v>0</v>
      </c>
      <c r="DB12" s="19" t="n">
        <v>0</v>
      </c>
      <c r="DC12" s="19" t="n">
        <v>0</v>
      </c>
      <c r="DD12" s="19" t="n">
        <v>0</v>
      </c>
      <c r="DE12" s="19" t="n">
        <v>0</v>
      </c>
      <c r="DF12" s="19" t="n">
        <v>0</v>
      </c>
      <c r="DG12" s="19" t="n">
        <v>0</v>
      </c>
      <c r="DH12" s="19" t="n">
        <v>0</v>
      </c>
      <c r="DI12" s="19" t="n">
        <v>0</v>
      </c>
      <c r="DJ12" s="19" t="n">
        <v>0</v>
      </c>
      <c r="DK12" s="19" t="n">
        <v>0</v>
      </c>
      <c r="DL12" s="19" t="n">
        <v>0</v>
      </c>
      <c r="DM12" s="19" t="n">
        <v>0</v>
      </c>
      <c r="DN12" s="19" t="n">
        <v>0</v>
      </c>
      <c r="DO12" s="19" t="n">
        <v>0</v>
      </c>
      <c r="DP12" s="19" t="n">
        <v>0</v>
      </c>
      <c r="DQ12" s="19" t="n">
        <v>0</v>
      </c>
      <c r="DR12" s="19" t="n">
        <v>0</v>
      </c>
      <c r="DS12" s="19" t="n">
        <v>0</v>
      </c>
      <c r="DT12" s="19" t="n">
        <v>0</v>
      </c>
      <c r="DU12" s="19" t="n">
        <v>0</v>
      </c>
      <c r="DV12" s="19" t="n">
        <v>0</v>
      </c>
      <c r="DW12" s="19" t="n">
        <v>0</v>
      </c>
      <c r="DX12" s="19" t="n">
        <v>0</v>
      </c>
      <c r="DY12" s="19" t="n">
        <v>0</v>
      </c>
      <c r="DZ12" s="19" t="n">
        <v>0</v>
      </c>
      <c r="EA12" s="19" t="n">
        <v>0</v>
      </c>
      <c r="EB12" s="19" t="n">
        <v>0</v>
      </c>
      <c r="EC12" s="19" t="n">
        <v>0</v>
      </c>
      <c r="ED12" s="19" t="n">
        <v>0</v>
      </c>
      <c r="EE12" s="19" t="n">
        <v>0</v>
      </c>
      <c r="EF12" s="19" t="n">
        <v>0</v>
      </c>
      <c r="EG12" s="19" t="n">
        <v>0</v>
      </c>
      <c r="EH12" s="19" t="n">
        <v>0</v>
      </c>
      <c r="EI12" s="19" t="n">
        <v>0</v>
      </c>
      <c r="EJ12" s="19" t="n">
        <v>0</v>
      </c>
      <c r="EK12" s="19" t="n">
        <v>0</v>
      </c>
      <c r="EL12" s="19" t="n">
        <v>0</v>
      </c>
      <c r="EM12" s="19" t="n">
        <v>0</v>
      </c>
      <c r="EN12" s="19" t="n">
        <v>0</v>
      </c>
      <c r="EO12" s="19" t="n">
        <v>0</v>
      </c>
      <c r="EP12" s="19" t="n">
        <v>0</v>
      </c>
      <c r="EQ12" s="19" t="n">
        <v>0</v>
      </c>
      <c r="ER12" s="19" t="n">
        <v>0</v>
      </c>
      <c r="ES12" s="19" t="n">
        <v>0</v>
      </c>
      <c r="ET12" s="19" t="n">
        <v>0</v>
      </c>
      <c r="EU12" s="19" t="n">
        <v>0</v>
      </c>
      <c r="EV12" s="19" t="n">
        <v>0</v>
      </c>
      <c r="EW12" s="19" t="n">
        <v>0</v>
      </c>
      <c r="EX12" s="19" t="n">
        <v>0</v>
      </c>
      <c r="EY12" s="19" t="n">
        <v>0</v>
      </c>
      <c r="EZ12" s="19" t="n">
        <v>0</v>
      </c>
      <c r="FA12" s="19" t="n">
        <v>0</v>
      </c>
      <c r="FB12" s="19" t="n">
        <v>0</v>
      </c>
      <c r="FC12" s="19" t="n">
        <v>0</v>
      </c>
      <c r="FD12" s="19" t="n">
        <v>0</v>
      </c>
      <c r="FE12" s="19" t="n">
        <v>0</v>
      </c>
      <c r="FF12" s="19" t="n">
        <v>0</v>
      </c>
      <c r="FG12" s="19" t="n">
        <v>0</v>
      </c>
      <c r="FH12" s="19" t="n">
        <v>0</v>
      </c>
      <c r="FI12" s="19" t="n">
        <v>0</v>
      </c>
      <c r="FJ12" s="19" t="n">
        <v>0</v>
      </c>
      <c r="FK12" s="19" t="n">
        <v>0</v>
      </c>
      <c r="FL12" s="19" t="n">
        <v>0</v>
      </c>
      <c r="FM12" s="19" t="n">
        <v>0</v>
      </c>
      <c r="FN12" s="19" t="n">
        <v>0</v>
      </c>
      <c r="FO12" s="19" t="n">
        <v>0</v>
      </c>
      <c r="FP12" s="19" t="n">
        <v>0</v>
      </c>
      <c r="FQ12" s="19" t="n">
        <v>0</v>
      </c>
      <c r="FR12" s="19" t="n">
        <v>0</v>
      </c>
      <c r="FS12" s="19" t="n">
        <v>0</v>
      </c>
      <c r="FT12" s="19" t="n">
        <v>0</v>
      </c>
      <c r="FU12" s="19" t="n">
        <v>0</v>
      </c>
      <c r="FV12" s="19" t="n">
        <v>0</v>
      </c>
      <c r="FW12" s="19" t="n">
        <v>0</v>
      </c>
      <c r="FX12" s="19" t="n">
        <v>0</v>
      </c>
      <c r="FY12" s="19" t="n">
        <v>0</v>
      </c>
      <c r="FZ12" s="19" t="n">
        <v>0</v>
      </c>
      <c r="GA12" s="19" t="n">
        <v>0</v>
      </c>
      <c r="GB12" s="19" t="n">
        <v>0</v>
      </c>
      <c r="GC12" s="19" t="n">
        <v>0</v>
      </c>
      <c r="GD12" s="19" t="n">
        <v>0</v>
      </c>
      <c r="GE12" s="19" t="n">
        <v>0</v>
      </c>
      <c r="GF12" s="19" t="n">
        <v>0</v>
      </c>
      <c r="GG12" s="19" t="n">
        <v>0</v>
      </c>
      <c r="GH12" s="19" t="n">
        <v>0</v>
      </c>
      <c r="GI12" s="19" t="n">
        <v>0</v>
      </c>
      <c r="GJ12" s="19" t="n">
        <v>0</v>
      </c>
      <c r="GK12" s="19" t="n">
        <v>0</v>
      </c>
      <c r="GL12" s="19" t="n">
        <v>0</v>
      </c>
      <c r="GM12" s="19" t="n">
        <v>0</v>
      </c>
      <c r="GN12" s="19" t="n">
        <v>0</v>
      </c>
      <c r="GO12" s="19" t="n">
        <v>0</v>
      </c>
      <c r="GP12" s="19" t="n">
        <v>0</v>
      </c>
      <c r="GQ12" s="19" t="n">
        <v>0</v>
      </c>
      <c r="GR12" s="19" t="n">
        <v>0</v>
      </c>
      <c r="GS12" s="19" t="n">
        <v>0</v>
      </c>
      <c r="GT12" s="19" t="n">
        <v>0</v>
      </c>
      <c r="GU12" s="19" t="n">
        <v>0</v>
      </c>
      <c r="GV12" s="19" t="n">
        <v>0</v>
      </c>
      <c r="GW12" s="19" t="n">
        <v>0</v>
      </c>
      <c r="GX12" s="19" t="n">
        <v>0</v>
      </c>
      <c r="GY12" s="19" t="n">
        <v>0</v>
      </c>
      <c r="GZ12" s="19" t="n">
        <v>0</v>
      </c>
      <c r="HA12" s="19" t="n">
        <v>0</v>
      </c>
      <c r="HB12" s="19" t="n">
        <v>0</v>
      </c>
      <c r="HC12" s="19" t="n">
        <v>0</v>
      </c>
      <c r="HD12" s="19" t="n">
        <v>0</v>
      </c>
      <c r="HE12" s="19" t="n">
        <v>0</v>
      </c>
      <c r="HF12" s="19" t="n">
        <v>0</v>
      </c>
      <c r="HG12" s="19" t="n">
        <v>0</v>
      </c>
      <c r="HH12" s="19" t="n">
        <v>0</v>
      </c>
      <c r="HI12" s="19" t="n">
        <v>0</v>
      </c>
      <c r="HJ12" s="19" t="n">
        <v>0</v>
      </c>
      <c r="HK12" s="19" t="n">
        <v>0</v>
      </c>
      <c r="HL12" s="19" t="n">
        <v>0</v>
      </c>
      <c r="HM12" s="19" t="n">
        <v>0</v>
      </c>
      <c r="HN12" s="19" t="n">
        <v>0</v>
      </c>
      <c r="HO12" s="19" t="n">
        <v>0</v>
      </c>
      <c r="HP12" s="19" t="n">
        <v>0</v>
      </c>
      <c r="HQ12" s="19" t="n">
        <v>0</v>
      </c>
      <c r="HR12" s="19" t="n">
        <v>0</v>
      </c>
      <c r="HS12" s="19" t="n">
        <v>0</v>
      </c>
      <c r="HT12" s="19" t="n">
        <v>0</v>
      </c>
      <c r="HU12" s="19" t="n">
        <v>0</v>
      </c>
      <c r="HV12" s="19" t="n">
        <v>0</v>
      </c>
      <c r="HW12" s="19" t="n">
        <v>0</v>
      </c>
      <c r="HX12" s="19" t="n">
        <v>0</v>
      </c>
      <c r="HY12" s="19" t="n">
        <v>0</v>
      </c>
      <c r="HZ12" s="19" t="n">
        <v>0</v>
      </c>
      <c r="IA12" s="19" t="n">
        <v>0</v>
      </c>
      <c r="IB12" s="19" t="n">
        <v>0</v>
      </c>
      <c r="IC12" s="19" t="n">
        <v>0</v>
      </c>
      <c r="ID12" s="19" t="n">
        <v>0</v>
      </c>
      <c r="IE12" s="19" t="n">
        <v>0</v>
      </c>
      <c r="IF12" s="19" t="n">
        <v>0</v>
      </c>
      <c r="IG12" s="19" t="n">
        <v>0</v>
      </c>
      <c r="IH12" s="19" t="n">
        <v>0</v>
      </c>
      <c r="II12" s="19" t="n">
        <v>0</v>
      </c>
      <c r="IJ12" s="19" t="n">
        <v>0</v>
      </c>
      <c r="IK12" s="19" t="n">
        <v>0</v>
      </c>
      <c r="IL12" s="19" t="n">
        <v>0</v>
      </c>
      <c r="IM12" s="19" t="n">
        <v>0</v>
      </c>
      <c r="IN12" s="19" t="n">
        <v>0</v>
      </c>
      <c r="IO12" s="19" t="n">
        <v>0</v>
      </c>
      <c r="IP12" s="19" t="n">
        <v>0</v>
      </c>
      <c r="IQ12" s="19" t="n">
        <v>0</v>
      </c>
      <c r="IR12" s="19" t="n">
        <v>0</v>
      </c>
      <c r="IS12" s="19" t="n">
        <v>0</v>
      </c>
      <c r="IT12" s="19" t="n">
        <v>0</v>
      </c>
      <c r="IU12" s="19" t="n">
        <v>0</v>
      </c>
      <c r="IV12" s="19" t="n">
        <v>0</v>
      </c>
      <c r="IW12" s="19" t="n">
        <v>0</v>
      </c>
      <c r="IX12" s="19" t="n">
        <v>0</v>
      </c>
      <c r="IY12" s="19" t="n">
        <v>0</v>
      </c>
      <c r="IZ12" s="19" t="n">
        <v>0</v>
      </c>
      <c r="JA12" s="19" t="n">
        <v>0</v>
      </c>
      <c r="JB12" s="19" t="n">
        <v>0</v>
      </c>
      <c r="JC12" s="19" t="n">
        <v>0</v>
      </c>
      <c r="JD12" s="19" t="n">
        <v>0</v>
      </c>
      <c r="JE12" s="19" t="n">
        <v>0</v>
      </c>
      <c r="JF12" s="19" t="n">
        <v>0</v>
      </c>
      <c r="JG12" s="19" t="n">
        <v>0</v>
      </c>
      <c r="JH12" s="19" t="n">
        <v>0</v>
      </c>
      <c r="JI12" s="19" t="n">
        <v>0</v>
      </c>
      <c r="JJ12" s="19" t="n">
        <v>0</v>
      </c>
      <c r="JK12" s="19" t="n">
        <v>0</v>
      </c>
      <c r="JL12" s="19" t="n">
        <v>0</v>
      </c>
      <c r="JM12" s="19" t="n">
        <v>0</v>
      </c>
      <c r="JN12" s="19" t="n">
        <v>0</v>
      </c>
      <c r="JO12" s="19" t="n">
        <v>0</v>
      </c>
      <c r="JP12" s="19" t="n">
        <v>0</v>
      </c>
      <c r="JQ12" s="19" t="n">
        <v>0</v>
      </c>
      <c r="JR12" s="19" t="n">
        <v>0</v>
      </c>
      <c r="JS12" s="19" t="n">
        <v>0</v>
      </c>
      <c r="JT12" s="19" t="n">
        <v>0</v>
      </c>
      <c r="JU12" s="19" t="n">
        <v>0</v>
      </c>
      <c r="JV12" s="19" t="n">
        <v>0</v>
      </c>
      <c r="JW12" s="19" t="n">
        <v>0</v>
      </c>
      <c r="JX12" s="19" t="n">
        <v>0</v>
      </c>
      <c r="JY12" s="19" t="n">
        <v>0</v>
      </c>
      <c r="JZ12" s="19" t="n">
        <v>0</v>
      </c>
      <c r="KA12" s="19" t="n">
        <v>0</v>
      </c>
      <c r="KB12" s="19" t="n">
        <v>0</v>
      </c>
      <c r="KC12" s="19" t="n">
        <v>0</v>
      </c>
      <c r="KD12" s="19" t="n">
        <v>0</v>
      </c>
      <c r="KE12" s="19" t="n">
        <v>0</v>
      </c>
      <c r="KF12" s="19" t="n">
        <v>0</v>
      </c>
      <c r="KG12" s="19" t="n">
        <v>0</v>
      </c>
      <c r="KH12" s="19" t="n">
        <v>0</v>
      </c>
      <c r="KI12" s="19" t="n">
        <v>0</v>
      </c>
      <c r="KJ12" s="19" t="n">
        <v>0</v>
      </c>
      <c r="KK12" s="19" t="n">
        <v>0</v>
      </c>
      <c r="KL12" s="19" t="n">
        <v>0</v>
      </c>
      <c r="KM12" s="19" t="n">
        <v>0</v>
      </c>
      <c r="KN12" s="19" t="n">
        <v>0</v>
      </c>
      <c r="KO12" s="19" t="n">
        <v>0</v>
      </c>
      <c r="KP12" s="19" t="n">
        <v>0</v>
      </c>
      <c r="KQ12" s="19" t="n">
        <v>0</v>
      </c>
      <c r="KR12" s="19" t="n">
        <v>0</v>
      </c>
      <c r="KS12" s="19" t="n">
        <v>0</v>
      </c>
      <c r="KT12" s="19" t="n">
        <v>0</v>
      </c>
      <c r="KU12" s="19" t="n">
        <v>0</v>
      </c>
      <c r="KV12" s="19" t="n">
        <v>0</v>
      </c>
      <c r="KW12" s="19" t="n">
        <v>0</v>
      </c>
      <c r="KX12" s="19" t="n">
        <v>0</v>
      </c>
      <c r="KY12" s="19" t="n">
        <v>0</v>
      </c>
      <c r="KZ12" s="19" t="n">
        <v>0</v>
      </c>
      <c r="LA12" s="19" t="n">
        <v>0</v>
      </c>
      <c r="LB12" s="19" t="n">
        <v>0</v>
      </c>
      <c r="LC12" s="19" t="n">
        <v>0</v>
      </c>
      <c r="LD12" s="19" t="n">
        <v>0</v>
      </c>
      <c r="LE12" s="19" t="n">
        <v>0</v>
      </c>
      <c r="LF12" s="19" t="n">
        <v>0</v>
      </c>
      <c r="LG12" s="19" t="n">
        <v>0</v>
      </c>
      <c r="LH12" s="19" t="n">
        <v>0</v>
      </c>
      <c r="LI12" s="19" t="n">
        <v>0</v>
      </c>
    </row>
    <row r="13">
      <c r="B13" s="21" t="inlineStr">
        <is>
          <t>Cuota constante</t>
        </is>
      </c>
      <c r="D13" s="22">
        <f>-PMT($D$11,p_pagos,AY12)</f>
        <v/>
      </c>
    </row>
    <row r="14">
      <c r="B14" s="17" t="inlineStr">
        <is>
          <t>Interes</t>
        </is>
      </c>
      <c r="D14" s="19" t="n">
        <v>0</v>
      </c>
      <c r="E14" s="19">
        <f>D17*$D$11</f>
        <v/>
      </c>
      <c r="F14" s="19">
        <f>E17*$D$11</f>
        <v/>
      </c>
      <c r="G14" s="19">
        <f>F17*$D$11</f>
        <v/>
      </c>
      <c r="H14" s="19">
        <f>G17*$D$11</f>
        <v/>
      </c>
      <c r="I14" s="19">
        <f>H17*$D$11</f>
        <v/>
      </c>
      <c r="J14" s="19">
        <f>I17*$D$11</f>
        <v/>
      </c>
      <c r="K14" s="19">
        <f>J17*$D$11</f>
        <v/>
      </c>
      <c r="L14" s="19">
        <f>K17*$D$11</f>
        <v/>
      </c>
      <c r="M14" s="19">
        <f>L17*$D$11</f>
        <v/>
      </c>
      <c r="N14" s="19">
        <f>M17*$D$11</f>
        <v/>
      </c>
      <c r="O14" s="19">
        <f>N17*$D$11</f>
        <v/>
      </c>
      <c r="P14" s="19">
        <f>O17*$D$11</f>
        <v/>
      </c>
      <c r="Q14" s="19">
        <f>P17*$D$11</f>
        <v/>
      </c>
      <c r="R14" s="19">
        <f>Q17*$D$11</f>
        <v/>
      </c>
      <c r="S14" s="19">
        <f>R17*$D$11</f>
        <v/>
      </c>
      <c r="T14" s="19">
        <f>S17*$D$11</f>
        <v/>
      </c>
      <c r="U14" s="19">
        <f>T17*$D$11</f>
        <v/>
      </c>
      <c r="V14" s="19">
        <f>U17*$D$11</f>
        <v/>
      </c>
      <c r="W14" s="19">
        <f>V17*$D$11</f>
        <v/>
      </c>
      <c r="X14" s="19">
        <f>W17*$D$11</f>
        <v/>
      </c>
      <c r="Y14" s="19">
        <f>X17*$D$11</f>
        <v/>
      </c>
      <c r="Z14" s="19">
        <f>Y17*$D$11</f>
        <v/>
      </c>
      <c r="AA14" s="19">
        <f>Z17*$D$11</f>
        <v/>
      </c>
      <c r="AB14" s="19">
        <f>AA17*$D$11</f>
        <v/>
      </c>
      <c r="AC14" s="19">
        <f>AB17*$D$11</f>
        <v/>
      </c>
      <c r="AD14" s="19">
        <f>AC17*$D$11</f>
        <v/>
      </c>
      <c r="AE14" s="19">
        <f>AD17*$D$11</f>
        <v/>
      </c>
      <c r="AF14" s="19">
        <f>AE17*$D$11</f>
        <v/>
      </c>
      <c r="AG14" s="19">
        <f>AF17*$D$11</f>
        <v/>
      </c>
      <c r="AH14" s="19">
        <f>AG17*$D$11</f>
        <v/>
      </c>
      <c r="AI14" s="19">
        <f>AH17*$D$11</f>
        <v/>
      </c>
      <c r="AJ14" s="19">
        <f>AI17*$D$11</f>
        <v/>
      </c>
      <c r="AK14" s="19">
        <f>AJ17*$D$11</f>
        <v/>
      </c>
      <c r="AL14" s="19">
        <f>AK17*$D$11</f>
        <v/>
      </c>
      <c r="AM14" s="19">
        <f>AL17*$D$11</f>
        <v/>
      </c>
      <c r="AN14" s="19">
        <f>AM17*$D$11</f>
        <v/>
      </c>
      <c r="AO14" s="19">
        <f>AN17*$D$11</f>
        <v/>
      </c>
      <c r="AP14" s="19">
        <f>AO17*$D$11</f>
        <v/>
      </c>
      <c r="AQ14" s="19">
        <f>AP17*$D$11</f>
        <v/>
      </c>
      <c r="AR14" s="19">
        <f>AQ17*$D$11</f>
        <v/>
      </c>
      <c r="AS14" s="19">
        <f>AR17*$D$11</f>
        <v/>
      </c>
      <c r="AT14" s="19">
        <f>AS17*$D$11</f>
        <v/>
      </c>
      <c r="AU14" s="19">
        <f>AT17*$D$11</f>
        <v/>
      </c>
      <c r="AV14" s="19">
        <f>AU17*$D$11</f>
        <v/>
      </c>
      <c r="AW14" s="19">
        <f>AV17*$D$11</f>
        <v/>
      </c>
      <c r="AX14" s="19">
        <f>AW17*$D$11</f>
        <v/>
      </c>
      <c r="AY14" s="19">
        <f>AX17*$D$11</f>
        <v/>
      </c>
      <c r="AZ14" s="19">
        <f>AY17*$D$11</f>
        <v/>
      </c>
      <c r="BA14" s="19">
        <f>AZ17*$D$11</f>
        <v/>
      </c>
      <c r="BB14" s="19">
        <f>BA17*$D$11</f>
        <v/>
      </c>
      <c r="BC14" s="19">
        <f>BB17*$D$11</f>
        <v/>
      </c>
      <c r="BD14" s="19">
        <f>BC17*$D$11</f>
        <v/>
      </c>
      <c r="BE14" s="19">
        <f>BD17*$D$11</f>
        <v/>
      </c>
      <c r="BF14" s="19">
        <f>BE17*$D$11</f>
        <v/>
      </c>
      <c r="BG14" s="19">
        <f>BF17*$D$11</f>
        <v/>
      </c>
      <c r="BH14" s="19">
        <f>BG17*$D$11</f>
        <v/>
      </c>
      <c r="BI14" s="19">
        <f>BH17*$D$11</f>
        <v/>
      </c>
      <c r="BJ14" s="19">
        <f>BI17*$D$11</f>
        <v/>
      </c>
      <c r="BK14" s="19">
        <f>BJ17*$D$11</f>
        <v/>
      </c>
      <c r="BL14" s="19">
        <f>BK17*$D$11</f>
        <v/>
      </c>
      <c r="BM14" s="19">
        <f>BL17*$D$11</f>
        <v/>
      </c>
      <c r="BN14" s="19">
        <f>BM17*$D$11</f>
        <v/>
      </c>
      <c r="BO14" s="19">
        <f>BN17*$D$11</f>
        <v/>
      </c>
      <c r="BP14" s="19">
        <f>BO17*$D$11</f>
        <v/>
      </c>
      <c r="BQ14" s="19">
        <f>BP17*$D$11</f>
        <v/>
      </c>
      <c r="BR14" s="19">
        <f>BQ17*$D$11</f>
        <v/>
      </c>
      <c r="BS14" s="19">
        <f>BR17*$D$11</f>
        <v/>
      </c>
      <c r="BT14" s="19">
        <f>BS17*$D$11</f>
        <v/>
      </c>
      <c r="BU14" s="19">
        <f>BT17*$D$11</f>
        <v/>
      </c>
      <c r="BV14" s="19">
        <f>BU17*$D$11</f>
        <v/>
      </c>
      <c r="BW14" s="19">
        <f>BV17*$D$11</f>
        <v/>
      </c>
      <c r="BX14" s="19">
        <f>BW17*$D$11</f>
        <v/>
      </c>
      <c r="BY14" s="19">
        <f>BX17*$D$11</f>
        <v/>
      </c>
      <c r="BZ14" s="19">
        <f>BY17*$D$11</f>
        <v/>
      </c>
      <c r="CA14" s="19">
        <f>BZ17*$D$11</f>
        <v/>
      </c>
      <c r="CB14" s="19">
        <f>CA17*$D$11</f>
        <v/>
      </c>
      <c r="CC14" s="19">
        <f>CB17*$D$11</f>
        <v/>
      </c>
      <c r="CD14" s="19">
        <f>CC17*$D$11</f>
        <v/>
      </c>
      <c r="CE14" s="19">
        <f>CD17*$D$11</f>
        <v/>
      </c>
      <c r="CF14" s="19">
        <f>CE17*$D$11</f>
        <v/>
      </c>
      <c r="CG14" s="19">
        <f>CF17*$D$11</f>
        <v/>
      </c>
      <c r="CH14" s="19">
        <f>CG17*$D$11</f>
        <v/>
      </c>
      <c r="CI14" s="19">
        <f>CH17*$D$11</f>
        <v/>
      </c>
      <c r="CJ14" s="19">
        <f>CI17*$D$11</f>
        <v/>
      </c>
      <c r="CK14" s="19">
        <f>CJ17*$D$11</f>
        <v/>
      </c>
      <c r="CL14" s="19">
        <f>CK17*$D$11</f>
        <v/>
      </c>
      <c r="CM14" s="19">
        <f>CL17*$D$11</f>
        <v/>
      </c>
      <c r="CN14" s="19">
        <f>CM17*$D$11</f>
        <v/>
      </c>
      <c r="CO14" s="19">
        <f>CN17*$D$11</f>
        <v/>
      </c>
      <c r="CP14" s="19">
        <f>CO17*$D$11</f>
        <v/>
      </c>
      <c r="CQ14" s="19">
        <f>CP17*$D$11</f>
        <v/>
      </c>
      <c r="CR14" s="19">
        <f>CQ17*$D$11</f>
        <v/>
      </c>
      <c r="CS14" s="19">
        <f>CR17*$D$11</f>
        <v/>
      </c>
      <c r="CT14" s="19">
        <f>CS17*$D$11</f>
        <v/>
      </c>
      <c r="CU14" s="19">
        <f>CT17*$D$11</f>
        <v/>
      </c>
      <c r="CV14" s="19">
        <f>CU17*$D$11</f>
        <v/>
      </c>
      <c r="CW14" s="19">
        <f>CV17*$D$11</f>
        <v/>
      </c>
      <c r="CX14" s="19">
        <f>CW17*$D$11</f>
        <v/>
      </c>
      <c r="CY14" s="19">
        <f>CX17*$D$11</f>
        <v/>
      </c>
      <c r="CZ14" s="19">
        <f>CY17*$D$11</f>
        <v/>
      </c>
      <c r="DA14" s="19">
        <f>CZ17*$D$11</f>
        <v/>
      </c>
      <c r="DB14" s="19">
        <f>DA17*$D$11</f>
        <v/>
      </c>
      <c r="DC14" s="19">
        <f>DB17*$D$11</f>
        <v/>
      </c>
      <c r="DD14" s="19">
        <f>DC17*$D$11</f>
        <v/>
      </c>
      <c r="DE14" s="19">
        <f>DD17*$D$11</f>
        <v/>
      </c>
      <c r="DF14" s="19">
        <f>DE17*$D$11</f>
        <v/>
      </c>
      <c r="DG14" s="19">
        <f>DF17*$D$11</f>
        <v/>
      </c>
      <c r="DH14" s="19">
        <f>DG17*$D$11</f>
        <v/>
      </c>
      <c r="DI14" s="19">
        <f>DH17*$D$11</f>
        <v/>
      </c>
      <c r="DJ14" s="19">
        <f>DI17*$D$11</f>
        <v/>
      </c>
      <c r="DK14" s="19">
        <f>DJ17*$D$11</f>
        <v/>
      </c>
      <c r="DL14" s="19">
        <f>DK17*$D$11</f>
        <v/>
      </c>
      <c r="DM14" s="19">
        <f>DL17*$D$11</f>
        <v/>
      </c>
      <c r="DN14" s="19">
        <f>DM17*$D$11</f>
        <v/>
      </c>
      <c r="DO14" s="19">
        <f>DN17*$D$11</f>
        <v/>
      </c>
      <c r="DP14" s="19">
        <f>DO17*$D$11</f>
        <v/>
      </c>
      <c r="DQ14" s="19">
        <f>DP17*$D$11</f>
        <v/>
      </c>
      <c r="DR14" s="19">
        <f>DQ17*$D$11</f>
        <v/>
      </c>
      <c r="DS14" s="19">
        <f>DR17*$D$11</f>
        <v/>
      </c>
      <c r="DT14" s="19">
        <f>DS17*$D$11</f>
        <v/>
      </c>
      <c r="DU14" s="19">
        <f>DT17*$D$11</f>
        <v/>
      </c>
      <c r="DV14" s="19">
        <f>DU17*$D$11</f>
        <v/>
      </c>
      <c r="DW14" s="19">
        <f>DV17*$D$11</f>
        <v/>
      </c>
      <c r="DX14" s="19">
        <f>DW17*$D$11</f>
        <v/>
      </c>
      <c r="DY14" s="19">
        <f>DX17*$D$11</f>
        <v/>
      </c>
      <c r="DZ14" s="19">
        <f>DY17*$D$11</f>
        <v/>
      </c>
      <c r="EA14" s="19">
        <f>DZ17*$D$11</f>
        <v/>
      </c>
      <c r="EB14" s="19">
        <f>EA17*$D$11</f>
        <v/>
      </c>
      <c r="EC14" s="19">
        <f>EB17*$D$11</f>
        <v/>
      </c>
      <c r="ED14" s="19">
        <f>EC17*$D$11</f>
        <v/>
      </c>
      <c r="EE14" s="19">
        <f>ED17*$D$11</f>
        <v/>
      </c>
      <c r="EF14" s="19">
        <f>EE17*$D$11</f>
        <v/>
      </c>
      <c r="EG14" s="19">
        <f>EF17*$D$11</f>
        <v/>
      </c>
      <c r="EH14" s="19">
        <f>EG17*$D$11</f>
        <v/>
      </c>
      <c r="EI14" s="19">
        <f>EH17*$D$11</f>
        <v/>
      </c>
      <c r="EJ14" s="19">
        <f>EI17*$D$11</f>
        <v/>
      </c>
      <c r="EK14" s="19">
        <f>EJ17*$D$11</f>
        <v/>
      </c>
      <c r="EL14" s="19">
        <f>EK17*$D$11</f>
        <v/>
      </c>
      <c r="EM14" s="19">
        <f>EL17*$D$11</f>
        <v/>
      </c>
      <c r="EN14" s="19">
        <f>EM17*$D$11</f>
        <v/>
      </c>
      <c r="EO14" s="19">
        <f>EN17*$D$11</f>
        <v/>
      </c>
      <c r="EP14" s="19">
        <f>EO17*$D$11</f>
        <v/>
      </c>
      <c r="EQ14" s="19">
        <f>EP17*$D$11</f>
        <v/>
      </c>
      <c r="ER14" s="19">
        <f>EQ17*$D$11</f>
        <v/>
      </c>
      <c r="ES14" s="19">
        <f>ER17*$D$11</f>
        <v/>
      </c>
      <c r="ET14" s="19">
        <f>ES17*$D$11</f>
        <v/>
      </c>
      <c r="EU14" s="19">
        <f>ET17*$D$11</f>
        <v/>
      </c>
      <c r="EV14" s="19">
        <f>EU17*$D$11</f>
        <v/>
      </c>
      <c r="EW14" s="19">
        <f>EV17*$D$11</f>
        <v/>
      </c>
      <c r="EX14" s="19">
        <f>EW17*$D$11</f>
        <v/>
      </c>
      <c r="EY14" s="19">
        <f>EX17*$D$11</f>
        <v/>
      </c>
      <c r="EZ14" s="19">
        <f>EY17*$D$11</f>
        <v/>
      </c>
      <c r="FA14" s="19">
        <f>EZ17*$D$11</f>
        <v/>
      </c>
      <c r="FB14" s="19">
        <f>FA17*$D$11</f>
        <v/>
      </c>
      <c r="FC14" s="19">
        <f>FB17*$D$11</f>
        <v/>
      </c>
      <c r="FD14" s="19">
        <f>FC17*$D$11</f>
        <v/>
      </c>
      <c r="FE14" s="19">
        <f>FD17*$D$11</f>
        <v/>
      </c>
      <c r="FF14" s="19">
        <f>FE17*$D$11</f>
        <v/>
      </c>
      <c r="FG14" s="19">
        <f>FF17*$D$11</f>
        <v/>
      </c>
      <c r="FH14" s="19">
        <f>FG17*$D$11</f>
        <v/>
      </c>
      <c r="FI14" s="19">
        <f>FH17*$D$11</f>
        <v/>
      </c>
      <c r="FJ14" s="19">
        <f>FI17*$D$11</f>
        <v/>
      </c>
      <c r="FK14" s="19">
        <f>FJ17*$D$11</f>
        <v/>
      </c>
      <c r="FL14" s="19">
        <f>FK17*$D$11</f>
        <v/>
      </c>
      <c r="FM14" s="19">
        <f>FL17*$D$11</f>
        <v/>
      </c>
      <c r="FN14" s="19">
        <f>FM17*$D$11</f>
        <v/>
      </c>
      <c r="FO14" s="19">
        <f>FN17*$D$11</f>
        <v/>
      </c>
      <c r="FP14" s="19">
        <f>FO17*$D$11</f>
        <v/>
      </c>
      <c r="FQ14" s="19">
        <f>FP17*$D$11</f>
        <v/>
      </c>
      <c r="FR14" s="19">
        <f>FQ17*$D$11</f>
        <v/>
      </c>
      <c r="FS14" s="19">
        <f>FR17*$D$11</f>
        <v/>
      </c>
      <c r="FT14" s="19">
        <f>FS17*$D$11</f>
        <v/>
      </c>
      <c r="FU14" s="19">
        <f>FT17*$D$11</f>
        <v/>
      </c>
      <c r="FV14" s="19">
        <f>FU17*$D$11</f>
        <v/>
      </c>
      <c r="FW14" s="19">
        <f>FV17*$D$11</f>
        <v/>
      </c>
      <c r="FX14" s="19">
        <f>FW17*$D$11</f>
        <v/>
      </c>
      <c r="FY14" s="19">
        <f>FX17*$D$11</f>
        <v/>
      </c>
      <c r="FZ14" s="19">
        <f>FY17*$D$11</f>
        <v/>
      </c>
      <c r="GA14" s="19">
        <f>FZ17*$D$11</f>
        <v/>
      </c>
      <c r="GB14" s="19">
        <f>GA17*$D$11</f>
        <v/>
      </c>
      <c r="GC14" s="19">
        <f>GB17*$D$11</f>
        <v/>
      </c>
      <c r="GD14" s="19">
        <f>GC17*$D$11</f>
        <v/>
      </c>
      <c r="GE14" s="19">
        <f>GD17*$D$11</f>
        <v/>
      </c>
      <c r="GF14" s="19">
        <f>GE17*$D$11</f>
        <v/>
      </c>
      <c r="GG14" s="19">
        <f>GF17*$D$11</f>
        <v/>
      </c>
      <c r="GH14" s="19">
        <f>GG17*$D$11</f>
        <v/>
      </c>
      <c r="GI14" s="19">
        <f>GH17*$D$11</f>
        <v/>
      </c>
      <c r="GJ14" s="19">
        <f>GI17*$D$11</f>
        <v/>
      </c>
      <c r="GK14" s="19">
        <f>GJ17*$D$11</f>
        <v/>
      </c>
      <c r="GL14" s="19">
        <f>GK17*$D$11</f>
        <v/>
      </c>
      <c r="GM14" s="19">
        <f>GL17*$D$11</f>
        <v/>
      </c>
      <c r="GN14" s="19">
        <f>GM17*$D$11</f>
        <v/>
      </c>
      <c r="GO14" s="19">
        <f>GN17*$D$11</f>
        <v/>
      </c>
      <c r="GP14" s="19">
        <f>GO17*$D$11</f>
        <v/>
      </c>
      <c r="GQ14" s="19">
        <f>GP17*$D$11</f>
        <v/>
      </c>
      <c r="GR14" s="19">
        <f>GQ17*$D$11</f>
        <v/>
      </c>
      <c r="GS14" s="19">
        <f>GR17*$D$11</f>
        <v/>
      </c>
      <c r="GT14" s="19">
        <f>GS17*$D$11</f>
        <v/>
      </c>
      <c r="GU14" s="19">
        <f>GT17*$D$11</f>
        <v/>
      </c>
      <c r="GV14" s="19">
        <f>GU17*$D$11</f>
        <v/>
      </c>
      <c r="GW14" s="19">
        <f>GV17*$D$11</f>
        <v/>
      </c>
      <c r="GX14" s="19">
        <f>GW17*$D$11</f>
        <v/>
      </c>
      <c r="GY14" s="19">
        <f>GX17*$D$11</f>
        <v/>
      </c>
      <c r="GZ14" s="19">
        <f>GY17*$D$11</f>
        <v/>
      </c>
      <c r="HA14" s="19">
        <f>GZ17*$D$11</f>
        <v/>
      </c>
      <c r="HB14" s="19">
        <f>HA17*$D$11</f>
        <v/>
      </c>
      <c r="HC14" s="19">
        <f>HB17*$D$11</f>
        <v/>
      </c>
      <c r="HD14" s="19">
        <f>HC17*$D$11</f>
        <v/>
      </c>
      <c r="HE14" s="19">
        <f>HD17*$D$11</f>
        <v/>
      </c>
      <c r="HF14" s="19">
        <f>HE17*$D$11</f>
        <v/>
      </c>
      <c r="HG14" s="19">
        <f>HF17*$D$11</f>
        <v/>
      </c>
      <c r="HH14" s="19">
        <f>HG17*$D$11</f>
        <v/>
      </c>
      <c r="HI14" s="19">
        <f>HH17*$D$11</f>
        <v/>
      </c>
      <c r="HJ14" s="19">
        <f>HI17*$D$11</f>
        <v/>
      </c>
      <c r="HK14" s="19">
        <f>HJ17*$D$11</f>
        <v/>
      </c>
      <c r="HL14" s="19">
        <f>HK17*$D$11</f>
        <v/>
      </c>
      <c r="HM14" s="19">
        <f>HL17*$D$11</f>
        <v/>
      </c>
      <c r="HN14" s="19">
        <f>HM17*$D$11</f>
        <v/>
      </c>
      <c r="HO14" s="19">
        <f>HN17*$D$11</f>
        <v/>
      </c>
      <c r="HP14" s="19">
        <f>HO17*$D$11</f>
        <v/>
      </c>
      <c r="HQ14" s="19">
        <f>HP17*$D$11</f>
        <v/>
      </c>
      <c r="HR14" s="19">
        <f>HQ17*$D$11</f>
        <v/>
      </c>
      <c r="HS14" s="19">
        <f>HR17*$D$11</f>
        <v/>
      </c>
      <c r="HT14" s="19">
        <f>HS17*$D$11</f>
        <v/>
      </c>
      <c r="HU14" s="19">
        <f>HT17*$D$11</f>
        <v/>
      </c>
      <c r="HV14" s="19">
        <f>HU17*$D$11</f>
        <v/>
      </c>
      <c r="HW14" s="19">
        <f>HV17*$D$11</f>
        <v/>
      </c>
      <c r="HX14" s="19">
        <f>HW17*$D$11</f>
        <v/>
      </c>
      <c r="HY14" s="19">
        <f>HX17*$D$11</f>
        <v/>
      </c>
      <c r="HZ14" s="19">
        <f>HY17*$D$11</f>
        <v/>
      </c>
      <c r="IA14" s="19">
        <f>HZ17*$D$11</f>
        <v/>
      </c>
      <c r="IB14" s="19">
        <f>IA17*$D$11</f>
        <v/>
      </c>
      <c r="IC14" s="19">
        <f>IB17*$D$11</f>
        <v/>
      </c>
      <c r="ID14" s="19">
        <f>IC17*$D$11</f>
        <v/>
      </c>
      <c r="IE14" s="19">
        <f>ID17*$D$11</f>
        <v/>
      </c>
      <c r="IF14" s="19">
        <f>IE17*$D$11</f>
        <v/>
      </c>
      <c r="IG14" s="19">
        <f>IF17*$D$11</f>
        <v/>
      </c>
      <c r="IH14" s="19">
        <f>IG17*$D$11</f>
        <v/>
      </c>
      <c r="II14" s="19">
        <f>IH17*$D$11</f>
        <v/>
      </c>
      <c r="IJ14" s="19">
        <f>II17*$D$11</f>
        <v/>
      </c>
      <c r="IK14" s="19">
        <f>IJ17*$D$11</f>
        <v/>
      </c>
      <c r="IL14" s="19">
        <f>IK17*$D$11</f>
        <v/>
      </c>
      <c r="IM14" s="19">
        <f>IL17*$D$11</f>
        <v/>
      </c>
      <c r="IN14" s="19">
        <f>IM17*$D$11</f>
        <v/>
      </c>
      <c r="IO14" s="19">
        <f>IN17*$D$11</f>
        <v/>
      </c>
      <c r="IP14" s="19">
        <f>IO17*$D$11</f>
        <v/>
      </c>
      <c r="IQ14" s="19">
        <f>IP17*$D$11</f>
        <v/>
      </c>
      <c r="IR14" s="19">
        <f>IQ17*$D$11</f>
        <v/>
      </c>
      <c r="IS14" s="19">
        <f>IR17*$D$11</f>
        <v/>
      </c>
      <c r="IT14" s="19">
        <f>IS17*$D$11</f>
        <v/>
      </c>
      <c r="IU14" s="19">
        <f>IT17*$D$11</f>
        <v/>
      </c>
      <c r="IV14" s="19">
        <f>IU17*$D$11</f>
        <v/>
      </c>
      <c r="IW14" s="19">
        <f>IV17*$D$11</f>
        <v/>
      </c>
      <c r="IX14" s="19">
        <f>IW17*$D$11</f>
        <v/>
      </c>
      <c r="IY14" s="19">
        <f>IX17*$D$11</f>
        <v/>
      </c>
      <c r="IZ14" s="19">
        <f>IY17*$D$11</f>
        <v/>
      </c>
      <c r="JA14" s="19">
        <f>IZ17*$D$11</f>
        <v/>
      </c>
      <c r="JB14" s="19">
        <f>JA17*$D$11</f>
        <v/>
      </c>
      <c r="JC14" s="19">
        <f>JB17*$D$11</f>
        <v/>
      </c>
      <c r="JD14" s="19">
        <f>JC17*$D$11</f>
        <v/>
      </c>
      <c r="JE14" s="19">
        <f>JD17*$D$11</f>
        <v/>
      </c>
      <c r="JF14" s="19">
        <f>JE17*$D$11</f>
        <v/>
      </c>
      <c r="JG14" s="19">
        <f>JF17*$D$11</f>
        <v/>
      </c>
      <c r="JH14" s="19">
        <f>JG17*$D$11</f>
        <v/>
      </c>
      <c r="JI14" s="19">
        <f>JH17*$D$11</f>
        <v/>
      </c>
      <c r="JJ14" s="19">
        <f>JI17*$D$11</f>
        <v/>
      </c>
      <c r="JK14" s="19">
        <f>JJ17*$D$11</f>
        <v/>
      </c>
      <c r="JL14" s="19">
        <f>JK17*$D$11</f>
        <v/>
      </c>
      <c r="JM14" s="19">
        <f>JL17*$D$11</f>
        <v/>
      </c>
      <c r="JN14" s="19">
        <f>JM17*$D$11</f>
        <v/>
      </c>
      <c r="JO14" s="19">
        <f>JN17*$D$11</f>
        <v/>
      </c>
      <c r="JP14" s="19">
        <f>JO17*$D$11</f>
        <v/>
      </c>
      <c r="JQ14" s="19">
        <f>JP17*$D$11</f>
        <v/>
      </c>
      <c r="JR14" s="19">
        <f>JQ17*$D$11</f>
        <v/>
      </c>
      <c r="JS14" s="19">
        <f>JR17*$D$11</f>
        <v/>
      </c>
      <c r="JT14" s="19">
        <f>JS17*$D$11</f>
        <v/>
      </c>
      <c r="JU14" s="19">
        <f>JT17*$D$11</f>
        <v/>
      </c>
      <c r="JV14" s="19">
        <f>JU17*$D$11</f>
        <v/>
      </c>
      <c r="JW14" s="19">
        <f>JV17*$D$11</f>
        <v/>
      </c>
      <c r="JX14" s="19">
        <f>JW17*$D$11</f>
        <v/>
      </c>
      <c r="JY14" s="19">
        <f>JX17*$D$11</f>
        <v/>
      </c>
      <c r="JZ14" s="19">
        <f>JY17*$D$11</f>
        <v/>
      </c>
      <c r="KA14" s="19">
        <f>JZ17*$D$11</f>
        <v/>
      </c>
      <c r="KB14" s="19">
        <f>KA17*$D$11</f>
        <v/>
      </c>
      <c r="KC14" s="19">
        <f>KB17*$D$11</f>
        <v/>
      </c>
      <c r="KD14" s="19">
        <f>KC17*$D$11</f>
        <v/>
      </c>
      <c r="KE14" s="19">
        <f>KD17*$D$11</f>
        <v/>
      </c>
      <c r="KF14" s="19">
        <f>KE17*$D$11</f>
        <v/>
      </c>
      <c r="KG14" s="19">
        <f>KF17*$D$11</f>
        <v/>
      </c>
      <c r="KH14" s="19">
        <f>KG17*$D$11</f>
        <v/>
      </c>
      <c r="KI14" s="19">
        <f>KH17*$D$11</f>
        <v/>
      </c>
      <c r="KJ14" s="19">
        <f>KI17*$D$11</f>
        <v/>
      </c>
      <c r="KK14" s="19">
        <f>KJ17*$D$11</f>
        <v/>
      </c>
      <c r="KL14" s="19">
        <f>KK17*$D$11</f>
        <v/>
      </c>
      <c r="KM14" s="19">
        <f>KL17*$D$11</f>
        <v/>
      </c>
      <c r="KN14" s="19">
        <f>KM17*$D$11</f>
        <v/>
      </c>
      <c r="KO14" s="19">
        <f>KN17*$D$11</f>
        <v/>
      </c>
      <c r="KP14" s="19">
        <f>KO17*$D$11</f>
        <v/>
      </c>
      <c r="KQ14" s="19">
        <f>KP17*$D$11</f>
        <v/>
      </c>
      <c r="KR14" s="19">
        <f>KQ17*$D$11</f>
        <v/>
      </c>
      <c r="KS14" s="19">
        <f>KR17*$D$11</f>
        <v/>
      </c>
      <c r="KT14" s="19">
        <f>KS17*$D$11</f>
        <v/>
      </c>
      <c r="KU14" s="19">
        <f>KT17*$D$11</f>
        <v/>
      </c>
      <c r="KV14" s="19">
        <f>KU17*$D$11</f>
        <v/>
      </c>
      <c r="KW14" s="19">
        <f>KV17*$D$11</f>
        <v/>
      </c>
      <c r="KX14" s="19">
        <f>KW17*$D$11</f>
        <v/>
      </c>
      <c r="KY14" s="19">
        <f>KX17*$D$11</f>
        <v/>
      </c>
      <c r="KZ14" s="19">
        <f>KY17*$D$11</f>
        <v/>
      </c>
      <c r="LA14" s="19">
        <f>KZ17*$D$11</f>
        <v/>
      </c>
      <c r="LB14" s="19">
        <f>LA17*$D$11</f>
        <v/>
      </c>
      <c r="LC14" s="19">
        <f>LB17*$D$11</f>
        <v/>
      </c>
      <c r="LD14" s="19">
        <f>LC17*$D$11</f>
        <v/>
      </c>
      <c r="LE14" s="19">
        <f>LD17*$D$11</f>
        <v/>
      </c>
      <c r="LF14" s="19">
        <f>LE17*$D$11</f>
        <v/>
      </c>
      <c r="LG14" s="19">
        <f>LF17*$D$11</f>
        <v/>
      </c>
      <c r="LH14" s="19">
        <f>LG17*$D$11</f>
        <v/>
      </c>
      <c r="LI14" s="19">
        <f>LH17*$D$11</f>
        <v/>
      </c>
    </row>
    <row r="15">
      <c r="B15" s="17" t="inlineStr">
        <is>
          <t>Amortizacion</t>
        </is>
      </c>
      <c r="D15" s="19">
        <f>D16-D14</f>
        <v/>
      </c>
      <c r="E15" s="19">
        <f>E16-E14</f>
        <v/>
      </c>
      <c r="F15" s="19">
        <f>F16-F14</f>
        <v/>
      </c>
      <c r="G15" s="19">
        <f>G16-G14</f>
        <v/>
      </c>
      <c r="H15" s="19">
        <f>H16-H14</f>
        <v/>
      </c>
      <c r="I15" s="19">
        <f>I16-I14</f>
        <v/>
      </c>
      <c r="J15" s="19">
        <f>J16-J14</f>
        <v/>
      </c>
      <c r="K15" s="19">
        <f>K16-K14</f>
        <v/>
      </c>
      <c r="L15" s="19">
        <f>L16-L14</f>
        <v/>
      </c>
      <c r="M15" s="19">
        <f>M16-M14</f>
        <v/>
      </c>
      <c r="N15" s="19">
        <f>N16-N14</f>
        <v/>
      </c>
      <c r="O15" s="19">
        <f>O16-O14</f>
        <v/>
      </c>
      <c r="P15" s="19">
        <f>P16-P14</f>
        <v/>
      </c>
      <c r="Q15" s="19">
        <f>Q16-Q14</f>
        <v/>
      </c>
      <c r="R15" s="19">
        <f>R16-R14</f>
        <v/>
      </c>
      <c r="S15" s="19">
        <f>S16-S14</f>
        <v/>
      </c>
      <c r="T15" s="19">
        <f>T16-T14</f>
        <v/>
      </c>
      <c r="U15" s="19">
        <f>U16-U14</f>
        <v/>
      </c>
      <c r="V15" s="19">
        <f>V16-V14</f>
        <v/>
      </c>
      <c r="W15" s="19">
        <f>W16-W14</f>
        <v/>
      </c>
      <c r="X15" s="19">
        <f>X16-X14</f>
        <v/>
      </c>
      <c r="Y15" s="19">
        <f>Y16-Y14</f>
        <v/>
      </c>
      <c r="Z15" s="19">
        <f>Z16-Z14</f>
        <v/>
      </c>
      <c r="AA15" s="19">
        <f>AA16-AA14</f>
        <v/>
      </c>
      <c r="AB15" s="19">
        <f>AB16-AB14</f>
        <v/>
      </c>
      <c r="AC15" s="19">
        <f>AC16-AC14</f>
        <v/>
      </c>
      <c r="AD15" s="19">
        <f>AD16-AD14</f>
        <v/>
      </c>
      <c r="AE15" s="19">
        <f>AE16-AE14</f>
        <v/>
      </c>
      <c r="AF15" s="19">
        <f>AF16-AF14</f>
        <v/>
      </c>
      <c r="AG15" s="19">
        <f>AG16-AG14</f>
        <v/>
      </c>
      <c r="AH15" s="19">
        <f>AH16-AH14</f>
        <v/>
      </c>
      <c r="AI15" s="19">
        <f>AI16-AI14</f>
        <v/>
      </c>
      <c r="AJ15" s="19">
        <f>AJ16-AJ14</f>
        <v/>
      </c>
      <c r="AK15" s="19">
        <f>AK16-AK14</f>
        <v/>
      </c>
      <c r="AL15" s="19">
        <f>AL16-AL14</f>
        <v/>
      </c>
      <c r="AM15" s="19">
        <f>AM16-AM14</f>
        <v/>
      </c>
      <c r="AN15" s="19">
        <f>AN16-AN14</f>
        <v/>
      </c>
      <c r="AO15" s="19">
        <f>AO16-AO14</f>
        <v/>
      </c>
      <c r="AP15" s="19">
        <f>AP16-AP14</f>
        <v/>
      </c>
      <c r="AQ15" s="19">
        <f>AQ16-AQ14</f>
        <v/>
      </c>
      <c r="AR15" s="19">
        <f>AR16-AR14</f>
        <v/>
      </c>
      <c r="AS15" s="19">
        <f>AS16-AS14</f>
        <v/>
      </c>
      <c r="AT15" s="19">
        <f>AT16-AT14</f>
        <v/>
      </c>
      <c r="AU15" s="19">
        <f>AU16-AU14</f>
        <v/>
      </c>
      <c r="AV15" s="19">
        <f>AV16-AV14</f>
        <v/>
      </c>
      <c r="AW15" s="19">
        <f>AW16-AW14</f>
        <v/>
      </c>
      <c r="AX15" s="19">
        <f>AX16-AX14</f>
        <v/>
      </c>
      <c r="AY15" s="19">
        <f>AY16-AY14</f>
        <v/>
      </c>
      <c r="AZ15" s="19">
        <f>AZ16-AZ14</f>
        <v/>
      </c>
      <c r="BA15" s="19">
        <f>BA16-BA14</f>
        <v/>
      </c>
      <c r="BB15" s="19">
        <f>BB16-BB14</f>
        <v/>
      </c>
      <c r="BC15" s="19">
        <f>BC16-BC14</f>
        <v/>
      </c>
      <c r="BD15" s="19">
        <f>BD16-BD14</f>
        <v/>
      </c>
      <c r="BE15" s="19">
        <f>BE16-BE14</f>
        <v/>
      </c>
      <c r="BF15" s="19">
        <f>BF16-BF14</f>
        <v/>
      </c>
      <c r="BG15" s="19">
        <f>BG16-BG14</f>
        <v/>
      </c>
      <c r="BH15" s="19">
        <f>BH16-BH14</f>
        <v/>
      </c>
      <c r="BI15" s="19">
        <f>BI16-BI14</f>
        <v/>
      </c>
      <c r="BJ15" s="19">
        <f>BJ16-BJ14</f>
        <v/>
      </c>
      <c r="BK15" s="19">
        <f>BK16-BK14</f>
        <v/>
      </c>
      <c r="BL15" s="19">
        <f>BL16-BL14</f>
        <v/>
      </c>
      <c r="BM15" s="19">
        <f>BM16-BM14</f>
        <v/>
      </c>
      <c r="BN15" s="19">
        <f>BN16-BN14</f>
        <v/>
      </c>
      <c r="BO15" s="19">
        <f>BO16-BO14</f>
        <v/>
      </c>
      <c r="BP15" s="19">
        <f>BP16-BP14</f>
        <v/>
      </c>
      <c r="BQ15" s="19">
        <f>BQ16-BQ14</f>
        <v/>
      </c>
      <c r="BR15" s="19">
        <f>BR16-BR14</f>
        <v/>
      </c>
      <c r="BS15" s="19">
        <f>BS16-BS14</f>
        <v/>
      </c>
      <c r="BT15" s="19">
        <f>BT16-BT14</f>
        <v/>
      </c>
      <c r="BU15" s="19">
        <f>BU16-BU14</f>
        <v/>
      </c>
      <c r="BV15" s="19">
        <f>BV16-BV14</f>
        <v/>
      </c>
      <c r="BW15" s="19">
        <f>BW16-BW14</f>
        <v/>
      </c>
      <c r="BX15" s="19">
        <f>BX16-BX14</f>
        <v/>
      </c>
      <c r="BY15" s="19">
        <f>BY16-BY14</f>
        <v/>
      </c>
      <c r="BZ15" s="19">
        <f>BZ16-BZ14</f>
        <v/>
      </c>
      <c r="CA15" s="19">
        <f>CA16-CA14</f>
        <v/>
      </c>
      <c r="CB15" s="19">
        <f>CB16-CB14</f>
        <v/>
      </c>
      <c r="CC15" s="19">
        <f>CC16-CC14</f>
        <v/>
      </c>
      <c r="CD15" s="19">
        <f>CD16-CD14</f>
        <v/>
      </c>
      <c r="CE15" s="19">
        <f>CE16-CE14</f>
        <v/>
      </c>
      <c r="CF15" s="19">
        <f>CF16-CF14</f>
        <v/>
      </c>
      <c r="CG15" s="19">
        <f>CG16-CG14</f>
        <v/>
      </c>
      <c r="CH15" s="19">
        <f>CH16-CH14</f>
        <v/>
      </c>
      <c r="CI15" s="19">
        <f>CI16-CI14</f>
        <v/>
      </c>
      <c r="CJ15" s="19">
        <f>CJ16-CJ14</f>
        <v/>
      </c>
      <c r="CK15" s="19">
        <f>CK16-CK14</f>
        <v/>
      </c>
      <c r="CL15" s="19">
        <f>CL16-CL14</f>
        <v/>
      </c>
      <c r="CM15" s="19">
        <f>CM16-CM14</f>
        <v/>
      </c>
      <c r="CN15" s="19">
        <f>CN16-CN14</f>
        <v/>
      </c>
      <c r="CO15" s="19">
        <f>CO16-CO14</f>
        <v/>
      </c>
      <c r="CP15" s="19">
        <f>CP16-CP14</f>
        <v/>
      </c>
      <c r="CQ15" s="19">
        <f>CQ16-CQ14</f>
        <v/>
      </c>
      <c r="CR15" s="19">
        <f>CR16-CR14</f>
        <v/>
      </c>
      <c r="CS15" s="19">
        <f>CS16-CS14</f>
        <v/>
      </c>
      <c r="CT15" s="19">
        <f>CT16-CT14</f>
        <v/>
      </c>
      <c r="CU15" s="19">
        <f>CU16-CU14</f>
        <v/>
      </c>
      <c r="CV15" s="19">
        <f>CV16-CV14</f>
        <v/>
      </c>
      <c r="CW15" s="19">
        <f>CW16-CW14</f>
        <v/>
      </c>
      <c r="CX15" s="19">
        <f>CX16-CX14</f>
        <v/>
      </c>
      <c r="CY15" s="19">
        <f>CY16-CY14</f>
        <v/>
      </c>
      <c r="CZ15" s="19">
        <f>CZ16-CZ14</f>
        <v/>
      </c>
      <c r="DA15" s="19">
        <f>DA16-DA14</f>
        <v/>
      </c>
      <c r="DB15" s="19">
        <f>DB16-DB14</f>
        <v/>
      </c>
      <c r="DC15" s="19">
        <f>DC16-DC14</f>
        <v/>
      </c>
      <c r="DD15" s="19">
        <f>DD16-DD14</f>
        <v/>
      </c>
      <c r="DE15" s="19">
        <f>DE16-DE14</f>
        <v/>
      </c>
      <c r="DF15" s="19">
        <f>DF16-DF14</f>
        <v/>
      </c>
      <c r="DG15" s="19">
        <f>DG16-DG14</f>
        <v/>
      </c>
      <c r="DH15" s="19">
        <f>DH16-DH14</f>
        <v/>
      </c>
      <c r="DI15" s="19">
        <f>DI16-DI14</f>
        <v/>
      </c>
      <c r="DJ15" s="19">
        <f>DJ16-DJ14</f>
        <v/>
      </c>
      <c r="DK15" s="19">
        <f>DK16-DK14</f>
        <v/>
      </c>
      <c r="DL15" s="19">
        <f>DL16-DL14</f>
        <v/>
      </c>
      <c r="DM15" s="19">
        <f>DM16-DM14</f>
        <v/>
      </c>
      <c r="DN15" s="19">
        <f>DN16-DN14</f>
        <v/>
      </c>
      <c r="DO15" s="19">
        <f>DO16-DO14</f>
        <v/>
      </c>
      <c r="DP15" s="19">
        <f>DP16-DP14</f>
        <v/>
      </c>
      <c r="DQ15" s="19">
        <f>DQ16-DQ14</f>
        <v/>
      </c>
      <c r="DR15" s="19">
        <f>DR16-DR14</f>
        <v/>
      </c>
      <c r="DS15" s="19">
        <f>DS16-DS14</f>
        <v/>
      </c>
      <c r="DT15" s="19">
        <f>DT16-DT14</f>
        <v/>
      </c>
      <c r="DU15" s="19">
        <f>DU16-DU14</f>
        <v/>
      </c>
      <c r="DV15" s="19">
        <f>DV16-DV14</f>
        <v/>
      </c>
      <c r="DW15" s="19">
        <f>DW16-DW14</f>
        <v/>
      </c>
      <c r="DX15" s="19">
        <f>DX16-DX14</f>
        <v/>
      </c>
      <c r="DY15" s="19">
        <f>DY16-DY14</f>
        <v/>
      </c>
      <c r="DZ15" s="19">
        <f>DZ16-DZ14</f>
        <v/>
      </c>
      <c r="EA15" s="19">
        <f>EA16-EA14</f>
        <v/>
      </c>
      <c r="EB15" s="19">
        <f>EB16-EB14</f>
        <v/>
      </c>
      <c r="EC15" s="19">
        <f>EC16-EC14</f>
        <v/>
      </c>
      <c r="ED15" s="19">
        <f>ED16-ED14</f>
        <v/>
      </c>
      <c r="EE15" s="19">
        <f>EE16-EE14</f>
        <v/>
      </c>
      <c r="EF15" s="19">
        <f>EF16-EF14</f>
        <v/>
      </c>
      <c r="EG15" s="19">
        <f>EG16-EG14</f>
        <v/>
      </c>
      <c r="EH15" s="19">
        <f>EH16-EH14</f>
        <v/>
      </c>
      <c r="EI15" s="19">
        <f>EI16-EI14</f>
        <v/>
      </c>
      <c r="EJ15" s="19">
        <f>EJ16-EJ14</f>
        <v/>
      </c>
      <c r="EK15" s="19">
        <f>EK16-EK14</f>
        <v/>
      </c>
      <c r="EL15" s="19">
        <f>EL16-EL14</f>
        <v/>
      </c>
      <c r="EM15" s="19">
        <f>EM16-EM14</f>
        <v/>
      </c>
      <c r="EN15" s="19">
        <f>EN16-EN14</f>
        <v/>
      </c>
      <c r="EO15" s="19">
        <f>EO16-EO14</f>
        <v/>
      </c>
      <c r="EP15" s="19">
        <f>EP16-EP14</f>
        <v/>
      </c>
      <c r="EQ15" s="19">
        <f>EQ16-EQ14</f>
        <v/>
      </c>
      <c r="ER15" s="19">
        <f>ER16-ER14</f>
        <v/>
      </c>
      <c r="ES15" s="19">
        <f>ES16-ES14</f>
        <v/>
      </c>
      <c r="ET15" s="19">
        <f>ET16-ET14</f>
        <v/>
      </c>
      <c r="EU15" s="19">
        <f>EU16-EU14</f>
        <v/>
      </c>
      <c r="EV15" s="19">
        <f>EV16-EV14</f>
        <v/>
      </c>
      <c r="EW15" s="19">
        <f>EW16-EW14</f>
        <v/>
      </c>
      <c r="EX15" s="19">
        <f>EX16-EX14</f>
        <v/>
      </c>
      <c r="EY15" s="19">
        <f>EY16-EY14</f>
        <v/>
      </c>
      <c r="EZ15" s="19">
        <f>EZ16-EZ14</f>
        <v/>
      </c>
      <c r="FA15" s="19">
        <f>FA16-FA14</f>
        <v/>
      </c>
      <c r="FB15" s="19">
        <f>FB16-FB14</f>
        <v/>
      </c>
      <c r="FC15" s="19">
        <f>FC16-FC14</f>
        <v/>
      </c>
      <c r="FD15" s="19">
        <f>FD16-FD14</f>
        <v/>
      </c>
      <c r="FE15" s="19">
        <f>FE16-FE14</f>
        <v/>
      </c>
      <c r="FF15" s="19">
        <f>FF16-FF14</f>
        <v/>
      </c>
      <c r="FG15" s="19">
        <f>FG16-FG14</f>
        <v/>
      </c>
      <c r="FH15" s="19">
        <f>FH16-FH14</f>
        <v/>
      </c>
      <c r="FI15" s="19">
        <f>FI16-FI14</f>
        <v/>
      </c>
      <c r="FJ15" s="19">
        <f>FJ16-FJ14</f>
        <v/>
      </c>
      <c r="FK15" s="19">
        <f>FK16-FK14</f>
        <v/>
      </c>
      <c r="FL15" s="19">
        <f>FL16-FL14</f>
        <v/>
      </c>
      <c r="FM15" s="19">
        <f>FM16-FM14</f>
        <v/>
      </c>
      <c r="FN15" s="19">
        <f>FN16-FN14</f>
        <v/>
      </c>
      <c r="FO15" s="19">
        <f>FO16-FO14</f>
        <v/>
      </c>
      <c r="FP15" s="19">
        <f>FP16-FP14</f>
        <v/>
      </c>
      <c r="FQ15" s="19">
        <f>FQ16-FQ14</f>
        <v/>
      </c>
      <c r="FR15" s="19">
        <f>FR16-FR14</f>
        <v/>
      </c>
      <c r="FS15" s="19">
        <f>FS16-FS14</f>
        <v/>
      </c>
      <c r="FT15" s="19">
        <f>FT16-FT14</f>
        <v/>
      </c>
      <c r="FU15" s="19">
        <f>FU16-FU14</f>
        <v/>
      </c>
      <c r="FV15" s="19">
        <f>FV16-FV14</f>
        <v/>
      </c>
      <c r="FW15" s="19">
        <f>FW16-FW14</f>
        <v/>
      </c>
      <c r="FX15" s="19">
        <f>FX16-FX14</f>
        <v/>
      </c>
      <c r="FY15" s="19">
        <f>FY16-FY14</f>
        <v/>
      </c>
      <c r="FZ15" s="19">
        <f>FZ16-FZ14</f>
        <v/>
      </c>
      <c r="GA15" s="19">
        <f>GA16-GA14</f>
        <v/>
      </c>
      <c r="GB15" s="19">
        <f>GB16-GB14</f>
        <v/>
      </c>
      <c r="GC15" s="19">
        <f>GC16-GC14</f>
        <v/>
      </c>
      <c r="GD15" s="19">
        <f>GD16-GD14</f>
        <v/>
      </c>
      <c r="GE15" s="19">
        <f>GE16-GE14</f>
        <v/>
      </c>
      <c r="GF15" s="19">
        <f>GF16-GF14</f>
        <v/>
      </c>
      <c r="GG15" s="19">
        <f>GG16-GG14</f>
        <v/>
      </c>
      <c r="GH15" s="19">
        <f>GH16-GH14</f>
        <v/>
      </c>
      <c r="GI15" s="19">
        <f>GI16-GI14</f>
        <v/>
      </c>
      <c r="GJ15" s="19">
        <f>GJ16-GJ14</f>
        <v/>
      </c>
      <c r="GK15" s="19">
        <f>GK16-GK14</f>
        <v/>
      </c>
      <c r="GL15" s="19">
        <f>GL16-GL14</f>
        <v/>
      </c>
      <c r="GM15" s="19">
        <f>GM16-GM14</f>
        <v/>
      </c>
      <c r="GN15" s="19">
        <f>GN16-GN14</f>
        <v/>
      </c>
      <c r="GO15" s="19">
        <f>GO16-GO14</f>
        <v/>
      </c>
      <c r="GP15" s="19">
        <f>GP16-GP14</f>
        <v/>
      </c>
      <c r="GQ15" s="19">
        <f>GQ16-GQ14</f>
        <v/>
      </c>
      <c r="GR15" s="19">
        <f>GR16-GR14</f>
        <v/>
      </c>
      <c r="GS15" s="19">
        <f>GS16-GS14</f>
        <v/>
      </c>
      <c r="GT15" s="19">
        <f>GT16-GT14</f>
        <v/>
      </c>
      <c r="GU15" s="19">
        <f>GU16-GU14</f>
        <v/>
      </c>
      <c r="GV15" s="19">
        <f>GV16-GV14</f>
        <v/>
      </c>
      <c r="GW15" s="19">
        <f>GW16-GW14</f>
        <v/>
      </c>
      <c r="GX15" s="19">
        <f>GX16-GX14</f>
        <v/>
      </c>
      <c r="GY15" s="19">
        <f>GY16-GY14</f>
        <v/>
      </c>
      <c r="GZ15" s="19">
        <f>GZ16-GZ14</f>
        <v/>
      </c>
      <c r="HA15" s="19">
        <f>HA16-HA14</f>
        <v/>
      </c>
      <c r="HB15" s="19">
        <f>HB16-HB14</f>
        <v/>
      </c>
      <c r="HC15" s="19">
        <f>HC16-HC14</f>
        <v/>
      </c>
      <c r="HD15" s="19">
        <f>HD16-HD14</f>
        <v/>
      </c>
      <c r="HE15" s="19">
        <f>HE16-HE14</f>
        <v/>
      </c>
      <c r="HF15" s="19">
        <f>HF16-HF14</f>
        <v/>
      </c>
      <c r="HG15" s="19">
        <f>HG16-HG14</f>
        <v/>
      </c>
      <c r="HH15" s="19">
        <f>HH16-HH14</f>
        <v/>
      </c>
      <c r="HI15" s="19">
        <f>HI16-HI14</f>
        <v/>
      </c>
      <c r="HJ15" s="19">
        <f>HJ16-HJ14</f>
        <v/>
      </c>
      <c r="HK15" s="19">
        <f>HK16-HK14</f>
        <v/>
      </c>
      <c r="HL15" s="19">
        <f>HL16-HL14</f>
        <v/>
      </c>
      <c r="HM15" s="19">
        <f>HM16-HM14</f>
        <v/>
      </c>
      <c r="HN15" s="19">
        <f>HN16-HN14</f>
        <v/>
      </c>
      <c r="HO15" s="19">
        <f>HO16-HO14</f>
        <v/>
      </c>
      <c r="HP15" s="19">
        <f>HP16-HP14</f>
        <v/>
      </c>
      <c r="HQ15" s="19">
        <f>HQ16-HQ14</f>
        <v/>
      </c>
      <c r="HR15" s="19">
        <f>HR16-HR14</f>
        <v/>
      </c>
      <c r="HS15" s="19">
        <f>HS16-HS14</f>
        <v/>
      </c>
      <c r="HT15" s="19">
        <f>HT16-HT14</f>
        <v/>
      </c>
      <c r="HU15" s="19">
        <f>HU16-HU14</f>
        <v/>
      </c>
      <c r="HV15" s="19">
        <f>HV16-HV14</f>
        <v/>
      </c>
      <c r="HW15" s="19">
        <f>HW16-HW14</f>
        <v/>
      </c>
      <c r="HX15" s="19">
        <f>HX16-HX14</f>
        <v/>
      </c>
      <c r="HY15" s="19">
        <f>HY16-HY14</f>
        <v/>
      </c>
      <c r="HZ15" s="19">
        <f>HZ16-HZ14</f>
        <v/>
      </c>
      <c r="IA15" s="19">
        <f>IA16-IA14</f>
        <v/>
      </c>
      <c r="IB15" s="19">
        <f>IB16-IB14</f>
        <v/>
      </c>
      <c r="IC15" s="19">
        <f>IC16-IC14</f>
        <v/>
      </c>
      <c r="ID15" s="19">
        <f>ID16-ID14</f>
        <v/>
      </c>
      <c r="IE15" s="19">
        <f>IE16-IE14</f>
        <v/>
      </c>
      <c r="IF15" s="19">
        <f>IF16-IF14</f>
        <v/>
      </c>
      <c r="IG15" s="19">
        <f>IG16-IG14</f>
        <v/>
      </c>
      <c r="IH15" s="19">
        <f>IH16-IH14</f>
        <v/>
      </c>
      <c r="II15" s="19">
        <f>II16-II14</f>
        <v/>
      </c>
      <c r="IJ15" s="19">
        <f>IJ16-IJ14</f>
        <v/>
      </c>
      <c r="IK15" s="19">
        <f>IK16-IK14</f>
        <v/>
      </c>
      <c r="IL15" s="19">
        <f>IL16-IL14</f>
        <v/>
      </c>
      <c r="IM15" s="19">
        <f>IM16-IM14</f>
        <v/>
      </c>
      <c r="IN15" s="19">
        <f>IN16-IN14</f>
        <v/>
      </c>
      <c r="IO15" s="19">
        <f>IO16-IO14</f>
        <v/>
      </c>
      <c r="IP15" s="19">
        <f>IP16-IP14</f>
        <v/>
      </c>
      <c r="IQ15" s="19">
        <f>IQ16-IQ14</f>
        <v/>
      </c>
      <c r="IR15" s="19">
        <f>IR16-IR14</f>
        <v/>
      </c>
      <c r="IS15" s="19">
        <f>IS16-IS14</f>
        <v/>
      </c>
      <c r="IT15" s="19">
        <f>IT16-IT14</f>
        <v/>
      </c>
      <c r="IU15" s="19">
        <f>IU16-IU14</f>
        <v/>
      </c>
      <c r="IV15" s="19">
        <f>IV16-IV14</f>
        <v/>
      </c>
      <c r="IW15" s="19">
        <f>IW16-IW14</f>
        <v/>
      </c>
      <c r="IX15" s="19">
        <f>IX16-IX14</f>
        <v/>
      </c>
      <c r="IY15" s="19">
        <f>IY16-IY14</f>
        <v/>
      </c>
      <c r="IZ15" s="19">
        <f>IZ16-IZ14</f>
        <v/>
      </c>
      <c r="JA15" s="19">
        <f>JA16-JA14</f>
        <v/>
      </c>
      <c r="JB15" s="19">
        <f>JB16-JB14</f>
        <v/>
      </c>
      <c r="JC15" s="19">
        <f>JC16-JC14</f>
        <v/>
      </c>
      <c r="JD15" s="19">
        <f>JD16-JD14</f>
        <v/>
      </c>
      <c r="JE15" s="19">
        <f>JE16-JE14</f>
        <v/>
      </c>
      <c r="JF15" s="19">
        <f>JF16-JF14</f>
        <v/>
      </c>
      <c r="JG15" s="19">
        <f>JG16-JG14</f>
        <v/>
      </c>
      <c r="JH15" s="19">
        <f>JH16-JH14</f>
        <v/>
      </c>
      <c r="JI15" s="19">
        <f>JI16-JI14</f>
        <v/>
      </c>
      <c r="JJ15" s="19">
        <f>JJ16-JJ14</f>
        <v/>
      </c>
      <c r="JK15" s="19">
        <f>JK16-JK14</f>
        <v/>
      </c>
      <c r="JL15" s="19">
        <f>JL16-JL14</f>
        <v/>
      </c>
      <c r="JM15" s="19">
        <f>JM16-JM14</f>
        <v/>
      </c>
      <c r="JN15" s="19">
        <f>JN16-JN14</f>
        <v/>
      </c>
      <c r="JO15" s="19">
        <f>JO16-JO14</f>
        <v/>
      </c>
      <c r="JP15" s="19">
        <f>JP16-JP14</f>
        <v/>
      </c>
      <c r="JQ15" s="19">
        <f>JQ16-JQ14</f>
        <v/>
      </c>
      <c r="JR15" s="19">
        <f>JR16-JR14</f>
        <v/>
      </c>
      <c r="JS15" s="19">
        <f>JS16-JS14</f>
        <v/>
      </c>
      <c r="JT15" s="19">
        <f>JT16-JT14</f>
        <v/>
      </c>
      <c r="JU15" s="19">
        <f>JU16-JU14</f>
        <v/>
      </c>
      <c r="JV15" s="19">
        <f>JV16-JV14</f>
        <v/>
      </c>
      <c r="JW15" s="19">
        <f>JW16-JW14</f>
        <v/>
      </c>
      <c r="JX15" s="19">
        <f>JX16-JX14</f>
        <v/>
      </c>
      <c r="JY15" s="19">
        <f>JY16-JY14</f>
        <v/>
      </c>
      <c r="JZ15" s="19">
        <f>JZ16-JZ14</f>
        <v/>
      </c>
      <c r="KA15" s="19">
        <f>KA16-KA14</f>
        <v/>
      </c>
      <c r="KB15" s="19">
        <f>KB16-KB14</f>
        <v/>
      </c>
      <c r="KC15" s="19">
        <f>KC16-KC14</f>
        <v/>
      </c>
      <c r="KD15" s="19">
        <f>KD16-KD14</f>
        <v/>
      </c>
      <c r="KE15" s="19">
        <f>KE16-KE14</f>
        <v/>
      </c>
      <c r="KF15" s="19">
        <f>KF16-KF14</f>
        <v/>
      </c>
      <c r="KG15" s="19">
        <f>KG16-KG14</f>
        <v/>
      </c>
      <c r="KH15" s="19">
        <f>KH16-KH14</f>
        <v/>
      </c>
      <c r="KI15" s="19">
        <f>KI16-KI14</f>
        <v/>
      </c>
      <c r="KJ15" s="19">
        <f>KJ16-KJ14</f>
        <v/>
      </c>
      <c r="KK15" s="19">
        <f>KK16-KK14</f>
        <v/>
      </c>
      <c r="KL15" s="19">
        <f>KL16-KL14</f>
        <v/>
      </c>
      <c r="KM15" s="19">
        <f>KM16-KM14</f>
        <v/>
      </c>
      <c r="KN15" s="19">
        <f>KN16-KN14</f>
        <v/>
      </c>
      <c r="KO15" s="19">
        <f>KO16-KO14</f>
        <v/>
      </c>
      <c r="KP15" s="19">
        <f>KP16-KP14</f>
        <v/>
      </c>
      <c r="KQ15" s="19">
        <f>KQ16-KQ14</f>
        <v/>
      </c>
      <c r="KR15" s="19">
        <f>KR16-KR14</f>
        <v/>
      </c>
      <c r="KS15" s="19">
        <f>KS16-KS14</f>
        <v/>
      </c>
      <c r="KT15" s="19">
        <f>KT16-KT14</f>
        <v/>
      </c>
      <c r="KU15" s="19">
        <f>KU16-KU14</f>
        <v/>
      </c>
      <c r="KV15" s="19">
        <f>KV16-KV14</f>
        <v/>
      </c>
      <c r="KW15" s="19">
        <f>KW16-KW14</f>
        <v/>
      </c>
      <c r="KX15" s="19">
        <f>KX16-KX14</f>
        <v/>
      </c>
      <c r="KY15" s="19">
        <f>KY16-KY14</f>
        <v/>
      </c>
      <c r="KZ15" s="19">
        <f>KZ16-KZ14</f>
        <v/>
      </c>
      <c r="LA15" s="19">
        <f>LA16-LA14</f>
        <v/>
      </c>
      <c r="LB15" s="19">
        <f>LB16-LB14</f>
        <v/>
      </c>
      <c r="LC15" s="19">
        <f>LC16-LC14</f>
        <v/>
      </c>
      <c r="LD15" s="19">
        <f>LD16-LD14</f>
        <v/>
      </c>
      <c r="LE15" s="19">
        <f>LE16-LE14</f>
        <v/>
      </c>
      <c r="LF15" s="19">
        <f>LF16-LF14</f>
        <v/>
      </c>
      <c r="LG15" s="19">
        <f>LG16-LG14</f>
        <v/>
      </c>
      <c r="LH15" s="19">
        <f>LH16-LH14</f>
        <v/>
      </c>
      <c r="LI15" s="19">
        <f>LI16-LI14</f>
        <v/>
      </c>
    </row>
    <row r="16">
      <c r="B16" s="17" t="inlineStr">
        <is>
          <t>Servicio de deuda</t>
        </is>
      </c>
      <c r="D16" s="19">
        <f>D8*$D$13</f>
        <v/>
      </c>
      <c r="E16" s="19">
        <f>E8*$D$13</f>
        <v/>
      </c>
      <c r="F16" s="19">
        <f>F8*$D$13</f>
        <v/>
      </c>
      <c r="G16" s="19">
        <f>G8*$D$13</f>
        <v/>
      </c>
      <c r="H16" s="19">
        <f>H8*$D$13</f>
        <v/>
      </c>
      <c r="I16" s="19">
        <f>I8*$D$13</f>
        <v/>
      </c>
      <c r="J16" s="19">
        <f>J8*$D$13</f>
        <v/>
      </c>
      <c r="K16" s="19">
        <f>K8*$D$13</f>
        <v/>
      </c>
      <c r="L16" s="19">
        <f>L8*$D$13</f>
        <v/>
      </c>
      <c r="M16" s="19">
        <f>M8*$D$13</f>
        <v/>
      </c>
      <c r="N16" s="19">
        <f>N8*$D$13</f>
        <v/>
      </c>
      <c r="O16" s="19">
        <f>O8*$D$13</f>
        <v/>
      </c>
      <c r="P16" s="19">
        <f>P8*$D$13</f>
        <v/>
      </c>
      <c r="Q16" s="19">
        <f>Q8*$D$13</f>
        <v/>
      </c>
      <c r="R16" s="19">
        <f>R8*$D$13</f>
        <v/>
      </c>
      <c r="S16" s="19">
        <f>S8*$D$13</f>
        <v/>
      </c>
      <c r="T16" s="19">
        <f>T8*$D$13</f>
        <v/>
      </c>
      <c r="U16" s="19">
        <f>U8*$D$13</f>
        <v/>
      </c>
      <c r="V16" s="19">
        <f>V8*$D$13</f>
        <v/>
      </c>
      <c r="W16" s="19">
        <f>W8*$D$13</f>
        <v/>
      </c>
      <c r="X16" s="19">
        <f>X8*$D$13</f>
        <v/>
      </c>
      <c r="Y16" s="19">
        <f>Y8*$D$13</f>
        <v/>
      </c>
      <c r="Z16" s="19">
        <f>Z8*$D$13</f>
        <v/>
      </c>
      <c r="AA16" s="19">
        <f>AA8*$D$13</f>
        <v/>
      </c>
      <c r="AB16" s="19">
        <f>AB8*$D$13</f>
        <v/>
      </c>
      <c r="AC16" s="19">
        <f>AC8*$D$13</f>
        <v/>
      </c>
      <c r="AD16" s="19">
        <f>AD8*$D$13</f>
        <v/>
      </c>
      <c r="AE16" s="19">
        <f>AE8*$D$13</f>
        <v/>
      </c>
      <c r="AF16" s="19">
        <f>AF8*$D$13</f>
        <v/>
      </c>
      <c r="AG16" s="19">
        <f>AG8*$D$13</f>
        <v/>
      </c>
      <c r="AH16" s="19">
        <f>AH8*$D$13</f>
        <v/>
      </c>
      <c r="AI16" s="19">
        <f>AI8*$D$13</f>
        <v/>
      </c>
      <c r="AJ16" s="19">
        <f>AJ8*$D$13</f>
        <v/>
      </c>
      <c r="AK16" s="19">
        <f>AK8*$D$13</f>
        <v/>
      </c>
      <c r="AL16" s="19">
        <f>AL8*$D$13</f>
        <v/>
      </c>
      <c r="AM16" s="19">
        <f>AM8*$D$13</f>
        <v/>
      </c>
      <c r="AN16" s="19">
        <f>AN8*$D$13</f>
        <v/>
      </c>
      <c r="AO16" s="19">
        <f>AO8*$D$13</f>
        <v/>
      </c>
      <c r="AP16" s="19">
        <f>AP8*$D$13</f>
        <v/>
      </c>
      <c r="AQ16" s="19">
        <f>AQ8*$D$13</f>
        <v/>
      </c>
      <c r="AR16" s="19">
        <f>AR8*$D$13</f>
        <v/>
      </c>
      <c r="AS16" s="19">
        <f>AS8*$D$13</f>
        <v/>
      </c>
      <c r="AT16" s="19">
        <f>AT8*$D$13</f>
        <v/>
      </c>
      <c r="AU16" s="19">
        <f>AU8*$D$13</f>
        <v/>
      </c>
      <c r="AV16" s="19">
        <f>AV8*$D$13</f>
        <v/>
      </c>
      <c r="AW16" s="19">
        <f>AW8*$D$13</f>
        <v/>
      </c>
      <c r="AX16" s="19">
        <f>AX8*$D$13</f>
        <v/>
      </c>
      <c r="AY16" s="19">
        <f>AY8*$D$13</f>
        <v/>
      </c>
      <c r="AZ16" s="19">
        <f>AZ8*$D$13</f>
        <v/>
      </c>
      <c r="BA16" s="19">
        <f>BA8*$D$13</f>
        <v/>
      </c>
      <c r="BB16" s="19">
        <f>BB8*$D$13</f>
        <v/>
      </c>
      <c r="BC16" s="19">
        <f>BC8*$D$13</f>
        <v/>
      </c>
      <c r="BD16" s="19">
        <f>BD8*$D$13</f>
        <v/>
      </c>
      <c r="BE16" s="19">
        <f>BE8*$D$13</f>
        <v/>
      </c>
      <c r="BF16" s="19">
        <f>BF8*$D$13</f>
        <v/>
      </c>
      <c r="BG16" s="19">
        <f>BG8*$D$13</f>
        <v/>
      </c>
      <c r="BH16" s="19">
        <f>BH8*$D$13</f>
        <v/>
      </c>
      <c r="BI16" s="19">
        <f>BI8*$D$13</f>
        <v/>
      </c>
      <c r="BJ16" s="19">
        <f>BJ8*$D$13</f>
        <v/>
      </c>
      <c r="BK16" s="19">
        <f>BK8*$D$13</f>
        <v/>
      </c>
      <c r="BL16" s="19">
        <f>BL8*$D$13</f>
        <v/>
      </c>
      <c r="BM16" s="19">
        <f>BM8*$D$13</f>
        <v/>
      </c>
      <c r="BN16" s="19">
        <f>BN8*$D$13</f>
        <v/>
      </c>
      <c r="BO16" s="19">
        <f>BO8*$D$13</f>
        <v/>
      </c>
      <c r="BP16" s="19">
        <f>BP8*$D$13</f>
        <v/>
      </c>
      <c r="BQ16" s="19">
        <f>BQ8*$D$13</f>
        <v/>
      </c>
      <c r="BR16" s="19">
        <f>BR8*$D$13</f>
        <v/>
      </c>
      <c r="BS16" s="19">
        <f>BS8*$D$13</f>
        <v/>
      </c>
      <c r="BT16" s="19">
        <f>BT8*$D$13</f>
        <v/>
      </c>
      <c r="BU16" s="19">
        <f>BU8*$D$13</f>
        <v/>
      </c>
      <c r="BV16" s="19">
        <f>BV8*$D$13</f>
        <v/>
      </c>
      <c r="BW16" s="19">
        <f>BW8*$D$13</f>
        <v/>
      </c>
      <c r="BX16" s="19">
        <f>BX8*$D$13</f>
        <v/>
      </c>
      <c r="BY16" s="19">
        <f>BY8*$D$13</f>
        <v/>
      </c>
      <c r="BZ16" s="19">
        <f>BZ8*$D$13</f>
        <v/>
      </c>
      <c r="CA16" s="19">
        <f>CA8*$D$13</f>
        <v/>
      </c>
      <c r="CB16" s="19">
        <f>CB8*$D$13</f>
        <v/>
      </c>
      <c r="CC16" s="19">
        <f>CC8*$D$13</f>
        <v/>
      </c>
      <c r="CD16" s="19">
        <f>CD8*$D$13</f>
        <v/>
      </c>
      <c r="CE16" s="19">
        <f>CE8*$D$13</f>
        <v/>
      </c>
      <c r="CF16" s="19">
        <f>CF8*$D$13</f>
        <v/>
      </c>
      <c r="CG16" s="19">
        <f>CG8*$D$13</f>
        <v/>
      </c>
      <c r="CH16" s="19">
        <f>CH8*$D$13</f>
        <v/>
      </c>
      <c r="CI16" s="19">
        <f>CI8*$D$13</f>
        <v/>
      </c>
      <c r="CJ16" s="19">
        <f>CJ8*$D$13</f>
        <v/>
      </c>
      <c r="CK16" s="19">
        <f>CK8*$D$13</f>
        <v/>
      </c>
      <c r="CL16" s="19">
        <f>CL8*$D$13</f>
        <v/>
      </c>
      <c r="CM16" s="19">
        <f>CM8*$D$13</f>
        <v/>
      </c>
      <c r="CN16" s="19">
        <f>CN8*$D$13</f>
        <v/>
      </c>
      <c r="CO16" s="19">
        <f>CO8*$D$13</f>
        <v/>
      </c>
      <c r="CP16" s="19">
        <f>CP8*$D$13</f>
        <v/>
      </c>
      <c r="CQ16" s="19">
        <f>CQ8*$D$13</f>
        <v/>
      </c>
      <c r="CR16" s="19">
        <f>CR8*$D$13</f>
        <v/>
      </c>
      <c r="CS16" s="19">
        <f>CS8*$D$13</f>
        <v/>
      </c>
      <c r="CT16" s="19">
        <f>CT8*$D$13</f>
        <v/>
      </c>
      <c r="CU16" s="19">
        <f>CU8*$D$13</f>
        <v/>
      </c>
      <c r="CV16" s="19">
        <f>CV8*$D$13</f>
        <v/>
      </c>
      <c r="CW16" s="19">
        <f>CW8*$D$13</f>
        <v/>
      </c>
      <c r="CX16" s="19">
        <f>CX8*$D$13</f>
        <v/>
      </c>
      <c r="CY16" s="19">
        <f>CY8*$D$13</f>
        <v/>
      </c>
      <c r="CZ16" s="19">
        <f>CZ8*$D$13</f>
        <v/>
      </c>
      <c r="DA16" s="19">
        <f>DA8*$D$13</f>
        <v/>
      </c>
      <c r="DB16" s="19">
        <f>DB8*$D$13</f>
        <v/>
      </c>
      <c r="DC16" s="19">
        <f>DC8*$D$13</f>
        <v/>
      </c>
      <c r="DD16" s="19">
        <f>DD8*$D$13</f>
        <v/>
      </c>
      <c r="DE16" s="19">
        <f>DE8*$D$13</f>
        <v/>
      </c>
      <c r="DF16" s="19">
        <f>DF8*$D$13</f>
        <v/>
      </c>
      <c r="DG16" s="19">
        <f>DG8*$D$13</f>
        <v/>
      </c>
      <c r="DH16" s="19">
        <f>DH8*$D$13</f>
        <v/>
      </c>
      <c r="DI16" s="19">
        <f>DI8*$D$13</f>
        <v/>
      </c>
      <c r="DJ16" s="19">
        <f>DJ8*$D$13</f>
        <v/>
      </c>
      <c r="DK16" s="19">
        <f>DK8*$D$13</f>
        <v/>
      </c>
      <c r="DL16" s="19">
        <f>DL8*$D$13</f>
        <v/>
      </c>
      <c r="DM16" s="19">
        <f>DM8*$D$13</f>
        <v/>
      </c>
      <c r="DN16" s="19">
        <f>DN8*$D$13</f>
        <v/>
      </c>
      <c r="DO16" s="19">
        <f>DO8*$D$13</f>
        <v/>
      </c>
      <c r="DP16" s="19">
        <f>DP8*$D$13</f>
        <v/>
      </c>
      <c r="DQ16" s="19">
        <f>DQ8*$D$13</f>
        <v/>
      </c>
      <c r="DR16" s="19">
        <f>DR8*$D$13</f>
        <v/>
      </c>
      <c r="DS16" s="19">
        <f>DS8*$D$13</f>
        <v/>
      </c>
      <c r="DT16" s="19">
        <f>DT8*$D$13</f>
        <v/>
      </c>
      <c r="DU16" s="19">
        <f>DU8*$D$13</f>
        <v/>
      </c>
      <c r="DV16" s="19">
        <f>DV8*$D$13</f>
        <v/>
      </c>
      <c r="DW16" s="19">
        <f>DW8*$D$13</f>
        <v/>
      </c>
      <c r="DX16" s="19">
        <f>DX8*$D$13</f>
        <v/>
      </c>
      <c r="DY16" s="19">
        <f>DY8*$D$13</f>
        <v/>
      </c>
      <c r="DZ16" s="19">
        <f>DZ8*$D$13</f>
        <v/>
      </c>
      <c r="EA16" s="19">
        <f>EA8*$D$13</f>
        <v/>
      </c>
      <c r="EB16" s="19">
        <f>EB8*$D$13</f>
        <v/>
      </c>
      <c r="EC16" s="19">
        <f>EC8*$D$13</f>
        <v/>
      </c>
      <c r="ED16" s="19">
        <f>ED8*$D$13</f>
        <v/>
      </c>
      <c r="EE16" s="19">
        <f>EE8*$D$13</f>
        <v/>
      </c>
      <c r="EF16" s="19">
        <f>EF8*$D$13</f>
        <v/>
      </c>
      <c r="EG16" s="19">
        <f>EG8*$D$13</f>
        <v/>
      </c>
      <c r="EH16" s="19">
        <f>EH8*$D$13</f>
        <v/>
      </c>
      <c r="EI16" s="19">
        <f>EI8*$D$13</f>
        <v/>
      </c>
      <c r="EJ16" s="19">
        <f>EJ8*$D$13</f>
        <v/>
      </c>
      <c r="EK16" s="19">
        <f>EK8*$D$13</f>
        <v/>
      </c>
      <c r="EL16" s="19">
        <f>EL8*$D$13</f>
        <v/>
      </c>
      <c r="EM16" s="19">
        <f>EM8*$D$13</f>
        <v/>
      </c>
      <c r="EN16" s="19">
        <f>EN8*$D$13</f>
        <v/>
      </c>
      <c r="EO16" s="19">
        <f>EO8*$D$13</f>
        <v/>
      </c>
      <c r="EP16" s="19">
        <f>EP8*$D$13</f>
        <v/>
      </c>
      <c r="EQ16" s="19">
        <f>EQ8*$D$13</f>
        <v/>
      </c>
      <c r="ER16" s="19">
        <f>ER8*$D$13</f>
        <v/>
      </c>
      <c r="ES16" s="19">
        <f>ES8*$D$13</f>
        <v/>
      </c>
      <c r="ET16" s="19">
        <f>ET8*$D$13</f>
        <v/>
      </c>
      <c r="EU16" s="19">
        <f>EU8*$D$13</f>
        <v/>
      </c>
      <c r="EV16" s="19">
        <f>EV8*$D$13</f>
        <v/>
      </c>
      <c r="EW16" s="19">
        <f>EW8*$D$13</f>
        <v/>
      </c>
      <c r="EX16" s="19">
        <f>EX8*$D$13</f>
        <v/>
      </c>
      <c r="EY16" s="19">
        <f>EY8*$D$13</f>
        <v/>
      </c>
      <c r="EZ16" s="19">
        <f>EZ8*$D$13</f>
        <v/>
      </c>
      <c r="FA16" s="19">
        <f>FA8*$D$13</f>
        <v/>
      </c>
      <c r="FB16" s="19">
        <f>FB8*$D$13</f>
        <v/>
      </c>
      <c r="FC16" s="19">
        <f>FC8*$D$13</f>
        <v/>
      </c>
      <c r="FD16" s="19">
        <f>FD8*$D$13</f>
        <v/>
      </c>
      <c r="FE16" s="19">
        <f>FE8*$D$13</f>
        <v/>
      </c>
      <c r="FF16" s="19">
        <f>FF8*$D$13</f>
        <v/>
      </c>
      <c r="FG16" s="19">
        <f>FG8*$D$13</f>
        <v/>
      </c>
      <c r="FH16" s="19">
        <f>FH8*$D$13</f>
        <v/>
      </c>
      <c r="FI16" s="19">
        <f>FI8*$D$13</f>
        <v/>
      </c>
      <c r="FJ16" s="19">
        <f>FJ8*$D$13</f>
        <v/>
      </c>
      <c r="FK16" s="19">
        <f>FK8*$D$13</f>
        <v/>
      </c>
      <c r="FL16" s="19">
        <f>FL8*$D$13</f>
        <v/>
      </c>
      <c r="FM16" s="19">
        <f>FM8*$D$13</f>
        <v/>
      </c>
      <c r="FN16" s="19">
        <f>FN8*$D$13</f>
        <v/>
      </c>
      <c r="FO16" s="19">
        <f>FO8*$D$13</f>
        <v/>
      </c>
      <c r="FP16" s="19">
        <f>FP8*$D$13</f>
        <v/>
      </c>
      <c r="FQ16" s="19">
        <f>FQ8*$D$13</f>
        <v/>
      </c>
      <c r="FR16" s="19">
        <f>FR8*$D$13</f>
        <v/>
      </c>
      <c r="FS16" s="19">
        <f>FS8*$D$13</f>
        <v/>
      </c>
      <c r="FT16" s="19">
        <f>FT8*$D$13</f>
        <v/>
      </c>
      <c r="FU16" s="19">
        <f>FU8*$D$13</f>
        <v/>
      </c>
      <c r="FV16" s="19">
        <f>FV8*$D$13</f>
        <v/>
      </c>
      <c r="FW16" s="19">
        <f>FW8*$D$13</f>
        <v/>
      </c>
      <c r="FX16" s="19">
        <f>FX8*$D$13</f>
        <v/>
      </c>
      <c r="FY16" s="19">
        <f>FY8*$D$13</f>
        <v/>
      </c>
      <c r="FZ16" s="19">
        <f>FZ8*$D$13</f>
        <v/>
      </c>
      <c r="GA16" s="19">
        <f>GA8*$D$13</f>
        <v/>
      </c>
      <c r="GB16" s="19">
        <f>GB8*$D$13</f>
        <v/>
      </c>
      <c r="GC16" s="19">
        <f>GC8*$D$13</f>
        <v/>
      </c>
      <c r="GD16" s="19">
        <f>GD8*$D$13</f>
        <v/>
      </c>
      <c r="GE16" s="19">
        <f>GE8*$D$13</f>
        <v/>
      </c>
      <c r="GF16" s="19">
        <f>GF8*$D$13</f>
        <v/>
      </c>
      <c r="GG16" s="19">
        <f>GG8*$D$13</f>
        <v/>
      </c>
      <c r="GH16" s="19">
        <f>GH8*$D$13</f>
        <v/>
      </c>
      <c r="GI16" s="19">
        <f>GI8*$D$13</f>
        <v/>
      </c>
      <c r="GJ16" s="19">
        <f>GJ8*$D$13</f>
        <v/>
      </c>
      <c r="GK16" s="19">
        <f>GK8*$D$13</f>
        <v/>
      </c>
      <c r="GL16" s="19">
        <f>GL8*$D$13</f>
        <v/>
      </c>
      <c r="GM16" s="19">
        <f>GM8*$D$13</f>
        <v/>
      </c>
      <c r="GN16" s="19">
        <f>GN8*$D$13</f>
        <v/>
      </c>
      <c r="GO16" s="19">
        <f>GO8*$D$13</f>
        <v/>
      </c>
      <c r="GP16" s="19">
        <f>GP8*$D$13</f>
        <v/>
      </c>
      <c r="GQ16" s="19">
        <f>GQ8*$D$13</f>
        <v/>
      </c>
      <c r="GR16" s="19">
        <f>GR8*$D$13</f>
        <v/>
      </c>
      <c r="GS16" s="19">
        <f>GS8*$D$13</f>
        <v/>
      </c>
      <c r="GT16" s="19">
        <f>GT8*$D$13</f>
        <v/>
      </c>
      <c r="GU16" s="19">
        <f>GU8*$D$13</f>
        <v/>
      </c>
      <c r="GV16" s="19">
        <f>GV8*$D$13</f>
        <v/>
      </c>
      <c r="GW16" s="19">
        <f>GW8*$D$13</f>
        <v/>
      </c>
      <c r="GX16" s="19">
        <f>GX8*$D$13</f>
        <v/>
      </c>
      <c r="GY16" s="19">
        <f>GY8*$D$13</f>
        <v/>
      </c>
      <c r="GZ16" s="19">
        <f>GZ8*$D$13</f>
        <v/>
      </c>
      <c r="HA16" s="19">
        <f>HA8*$D$13</f>
        <v/>
      </c>
      <c r="HB16" s="19">
        <f>HB8*$D$13</f>
        <v/>
      </c>
      <c r="HC16" s="19">
        <f>HC8*$D$13</f>
        <v/>
      </c>
      <c r="HD16" s="19">
        <f>HD8*$D$13</f>
        <v/>
      </c>
      <c r="HE16" s="19">
        <f>HE8*$D$13</f>
        <v/>
      </c>
      <c r="HF16" s="19">
        <f>HF8*$D$13</f>
        <v/>
      </c>
      <c r="HG16" s="19">
        <f>HG8*$D$13</f>
        <v/>
      </c>
      <c r="HH16" s="19">
        <f>HH8*$D$13</f>
        <v/>
      </c>
      <c r="HI16" s="19">
        <f>HI8*$D$13</f>
        <v/>
      </c>
      <c r="HJ16" s="19">
        <f>HJ8*$D$13</f>
        <v/>
      </c>
      <c r="HK16" s="19">
        <f>HK8*$D$13</f>
        <v/>
      </c>
      <c r="HL16" s="19">
        <f>HL8*$D$13</f>
        <v/>
      </c>
      <c r="HM16" s="19">
        <f>HM8*$D$13</f>
        <v/>
      </c>
      <c r="HN16" s="19">
        <f>HN8*$D$13</f>
        <v/>
      </c>
      <c r="HO16" s="19">
        <f>HO8*$D$13</f>
        <v/>
      </c>
      <c r="HP16" s="19">
        <f>HP8*$D$13</f>
        <v/>
      </c>
      <c r="HQ16" s="19">
        <f>HQ8*$D$13</f>
        <v/>
      </c>
      <c r="HR16" s="19">
        <f>HR8*$D$13</f>
        <v/>
      </c>
      <c r="HS16" s="19">
        <f>HS8*$D$13</f>
        <v/>
      </c>
      <c r="HT16" s="19">
        <f>HT8*$D$13</f>
        <v/>
      </c>
      <c r="HU16" s="19">
        <f>HU8*$D$13</f>
        <v/>
      </c>
      <c r="HV16" s="19">
        <f>HV8*$D$13</f>
        <v/>
      </c>
      <c r="HW16" s="19">
        <f>HW8*$D$13</f>
        <v/>
      </c>
      <c r="HX16" s="19">
        <f>HX8*$D$13</f>
        <v/>
      </c>
      <c r="HY16" s="19">
        <f>HY8*$D$13</f>
        <v/>
      </c>
      <c r="HZ16" s="19">
        <f>HZ8*$D$13</f>
        <v/>
      </c>
      <c r="IA16" s="19">
        <f>IA8*$D$13</f>
        <v/>
      </c>
      <c r="IB16" s="19">
        <f>IB8*$D$13</f>
        <v/>
      </c>
      <c r="IC16" s="19">
        <f>IC8*$D$13</f>
        <v/>
      </c>
      <c r="ID16" s="19">
        <f>ID8*$D$13</f>
        <v/>
      </c>
      <c r="IE16" s="19">
        <f>IE8*$D$13</f>
        <v/>
      </c>
      <c r="IF16" s="19">
        <f>IF8*$D$13</f>
        <v/>
      </c>
      <c r="IG16" s="19">
        <f>IG8*$D$13</f>
        <v/>
      </c>
      <c r="IH16" s="19">
        <f>IH8*$D$13</f>
        <v/>
      </c>
      <c r="II16" s="19">
        <f>II8*$D$13</f>
        <v/>
      </c>
      <c r="IJ16" s="19">
        <f>IJ8*$D$13</f>
        <v/>
      </c>
      <c r="IK16" s="19">
        <f>IK8*$D$13</f>
        <v/>
      </c>
      <c r="IL16" s="19">
        <f>IL8*$D$13</f>
        <v/>
      </c>
      <c r="IM16" s="19">
        <f>IM8*$D$13</f>
        <v/>
      </c>
      <c r="IN16" s="19">
        <f>IN8*$D$13</f>
        <v/>
      </c>
      <c r="IO16" s="19">
        <f>IO8*$D$13</f>
        <v/>
      </c>
      <c r="IP16" s="19">
        <f>IP8*$D$13</f>
        <v/>
      </c>
      <c r="IQ16" s="19">
        <f>IQ8*$D$13</f>
        <v/>
      </c>
      <c r="IR16" s="19">
        <f>IR8*$D$13</f>
        <v/>
      </c>
      <c r="IS16" s="19">
        <f>IS8*$D$13</f>
        <v/>
      </c>
      <c r="IT16" s="19">
        <f>IT8*$D$13</f>
        <v/>
      </c>
      <c r="IU16" s="19">
        <f>IU8*$D$13</f>
        <v/>
      </c>
      <c r="IV16" s="19">
        <f>IV8*$D$13</f>
        <v/>
      </c>
      <c r="IW16" s="19">
        <f>IW8*$D$13</f>
        <v/>
      </c>
      <c r="IX16" s="19">
        <f>IX8*$D$13</f>
        <v/>
      </c>
      <c r="IY16" s="19">
        <f>IY8*$D$13</f>
        <v/>
      </c>
      <c r="IZ16" s="19">
        <f>IZ8*$D$13</f>
        <v/>
      </c>
      <c r="JA16" s="19">
        <f>JA8*$D$13</f>
        <v/>
      </c>
      <c r="JB16" s="19">
        <f>JB8*$D$13</f>
        <v/>
      </c>
      <c r="JC16" s="19">
        <f>JC8*$D$13</f>
        <v/>
      </c>
      <c r="JD16" s="19">
        <f>JD8*$D$13</f>
        <v/>
      </c>
      <c r="JE16" s="19">
        <f>JE8*$D$13</f>
        <v/>
      </c>
      <c r="JF16" s="19">
        <f>JF8*$D$13</f>
        <v/>
      </c>
      <c r="JG16" s="19">
        <f>JG8*$D$13</f>
        <v/>
      </c>
      <c r="JH16" s="19">
        <f>JH8*$D$13</f>
        <v/>
      </c>
      <c r="JI16" s="19">
        <f>JI8*$D$13</f>
        <v/>
      </c>
      <c r="JJ16" s="19">
        <f>JJ8*$D$13</f>
        <v/>
      </c>
      <c r="JK16" s="19">
        <f>JK8*$D$13</f>
        <v/>
      </c>
      <c r="JL16" s="19">
        <f>JL8*$D$13</f>
        <v/>
      </c>
      <c r="JM16" s="19">
        <f>JM8*$D$13</f>
        <v/>
      </c>
      <c r="JN16" s="19">
        <f>JN8*$D$13</f>
        <v/>
      </c>
      <c r="JO16" s="19">
        <f>JO8*$D$13</f>
        <v/>
      </c>
      <c r="JP16" s="19">
        <f>JP8*$D$13</f>
        <v/>
      </c>
      <c r="JQ16" s="19">
        <f>JQ8*$D$13</f>
        <v/>
      </c>
      <c r="JR16" s="19">
        <f>JR8*$D$13</f>
        <v/>
      </c>
      <c r="JS16" s="19">
        <f>JS8*$D$13</f>
        <v/>
      </c>
      <c r="JT16" s="19">
        <f>JT8*$D$13</f>
        <v/>
      </c>
      <c r="JU16" s="19">
        <f>JU8*$D$13</f>
        <v/>
      </c>
      <c r="JV16" s="19">
        <f>JV8*$D$13</f>
        <v/>
      </c>
      <c r="JW16" s="19">
        <f>JW8*$D$13</f>
        <v/>
      </c>
      <c r="JX16" s="19">
        <f>JX8*$D$13</f>
        <v/>
      </c>
      <c r="JY16" s="19">
        <f>JY8*$D$13</f>
        <v/>
      </c>
      <c r="JZ16" s="19">
        <f>JZ8*$D$13</f>
        <v/>
      </c>
      <c r="KA16" s="19">
        <f>KA8*$D$13</f>
        <v/>
      </c>
      <c r="KB16" s="19">
        <f>KB8*$D$13</f>
        <v/>
      </c>
      <c r="KC16" s="19">
        <f>KC8*$D$13</f>
        <v/>
      </c>
      <c r="KD16" s="19">
        <f>KD8*$D$13</f>
        <v/>
      </c>
      <c r="KE16" s="19">
        <f>KE8*$D$13</f>
        <v/>
      </c>
      <c r="KF16" s="19">
        <f>KF8*$D$13</f>
        <v/>
      </c>
      <c r="KG16" s="19">
        <f>KG8*$D$13</f>
        <v/>
      </c>
      <c r="KH16" s="19">
        <f>KH8*$D$13</f>
        <v/>
      </c>
      <c r="KI16" s="19">
        <f>KI8*$D$13</f>
        <v/>
      </c>
      <c r="KJ16" s="19">
        <f>KJ8*$D$13</f>
        <v/>
      </c>
      <c r="KK16" s="19">
        <f>KK8*$D$13</f>
        <v/>
      </c>
      <c r="KL16" s="19">
        <f>KL8*$D$13</f>
        <v/>
      </c>
      <c r="KM16" s="19">
        <f>KM8*$D$13</f>
        <v/>
      </c>
      <c r="KN16" s="19">
        <f>KN8*$D$13</f>
        <v/>
      </c>
      <c r="KO16" s="19">
        <f>KO8*$D$13</f>
        <v/>
      </c>
      <c r="KP16" s="19">
        <f>KP8*$D$13</f>
        <v/>
      </c>
      <c r="KQ16" s="19">
        <f>KQ8*$D$13</f>
        <v/>
      </c>
      <c r="KR16" s="19">
        <f>KR8*$D$13</f>
        <v/>
      </c>
      <c r="KS16" s="19">
        <f>KS8*$D$13</f>
        <v/>
      </c>
      <c r="KT16" s="19">
        <f>KT8*$D$13</f>
        <v/>
      </c>
      <c r="KU16" s="19">
        <f>KU8*$D$13</f>
        <v/>
      </c>
      <c r="KV16" s="19">
        <f>KV8*$D$13</f>
        <v/>
      </c>
      <c r="KW16" s="19">
        <f>KW8*$D$13</f>
        <v/>
      </c>
      <c r="KX16" s="19">
        <f>KX8*$D$13</f>
        <v/>
      </c>
      <c r="KY16" s="19">
        <f>KY8*$D$13</f>
        <v/>
      </c>
      <c r="KZ16" s="19">
        <f>KZ8*$D$13</f>
        <v/>
      </c>
      <c r="LA16" s="19">
        <f>LA8*$D$13</f>
        <v/>
      </c>
      <c r="LB16" s="19">
        <f>LB8*$D$13</f>
        <v/>
      </c>
      <c r="LC16" s="19">
        <f>LC8*$D$13</f>
        <v/>
      </c>
      <c r="LD16" s="19">
        <f>LD8*$D$13</f>
        <v/>
      </c>
      <c r="LE16" s="19">
        <f>LE8*$D$13</f>
        <v/>
      </c>
      <c r="LF16" s="19">
        <f>LF8*$D$13</f>
        <v/>
      </c>
      <c r="LG16" s="19">
        <f>LG8*$D$13</f>
        <v/>
      </c>
      <c r="LH16" s="19">
        <f>LH8*$D$13</f>
        <v/>
      </c>
      <c r="LI16" s="19">
        <f>LI8*$D$13</f>
        <v/>
      </c>
    </row>
    <row r="17">
      <c r="B17" s="21" t="inlineStr">
        <is>
          <t>Saldo deudor</t>
        </is>
      </c>
      <c r="D17" s="19">
        <f>0+D10-D15</f>
        <v/>
      </c>
      <c r="E17" s="19">
        <f>D17+E10-E15</f>
        <v/>
      </c>
      <c r="F17" s="19">
        <f>E17+F10-F15</f>
        <v/>
      </c>
      <c r="G17" s="19">
        <f>F17+G10-G15</f>
        <v/>
      </c>
      <c r="H17" s="19">
        <f>G17+H10-H15</f>
        <v/>
      </c>
      <c r="I17" s="19">
        <f>H17+I10-I15</f>
        <v/>
      </c>
      <c r="J17" s="19">
        <f>I17+J10-J15</f>
        <v/>
      </c>
      <c r="K17" s="19">
        <f>J17+K10-K15</f>
        <v/>
      </c>
      <c r="L17" s="19">
        <f>K17+L10-L15</f>
        <v/>
      </c>
      <c r="M17" s="19">
        <f>L17+M10-M15</f>
        <v/>
      </c>
      <c r="N17" s="19">
        <f>M17+N10-N15</f>
        <v/>
      </c>
      <c r="O17" s="19">
        <f>N17+O10-O15</f>
        <v/>
      </c>
      <c r="P17" s="19">
        <f>O17+P10-P15</f>
        <v/>
      </c>
      <c r="Q17" s="19">
        <f>P17+Q10-Q15</f>
        <v/>
      </c>
      <c r="R17" s="19">
        <f>Q17+R10-R15</f>
        <v/>
      </c>
      <c r="S17" s="19">
        <f>R17+S10-S15</f>
        <v/>
      </c>
      <c r="T17" s="19">
        <f>S17+T10-T15</f>
        <v/>
      </c>
      <c r="U17" s="19">
        <f>T17+U10-U15</f>
        <v/>
      </c>
      <c r="V17" s="19">
        <f>U17+V10-V15</f>
        <v/>
      </c>
      <c r="W17" s="19">
        <f>V17+W10-W15</f>
        <v/>
      </c>
      <c r="X17" s="19">
        <f>W17+X10-X15</f>
        <v/>
      </c>
      <c r="Y17" s="19">
        <f>X17+Y10-Y15</f>
        <v/>
      </c>
      <c r="Z17" s="19">
        <f>Y17+Z10-Z15</f>
        <v/>
      </c>
      <c r="AA17" s="19">
        <f>Z17+AA10-AA15</f>
        <v/>
      </c>
      <c r="AB17" s="19">
        <f>AA17+AB10-AB15</f>
        <v/>
      </c>
      <c r="AC17" s="19">
        <f>AB17+AC10-AC15</f>
        <v/>
      </c>
      <c r="AD17" s="19">
        <f>AC17+AD10-AD15</f>
        <v/>
      </c>
      <c r="AE17" s="19">
        <f>AD17+AE10-AE15</f>
        <v/>
      </c>
      <c r="AF17" s="19">
        <f>AE17+AF10-AF15</f>
        <v/>
      </c>
      <c r="AG17" s="19">
        <f>AF17+AG10-AG15</f>
        <v/>
      </c>
      <c r="AH17" s="19">
        <f>AG17+AH10-AH15</f>
        <v/>
      </c>
      <c r="AI17" s="19">
        <f>AH17+AI10-AI15</f>
        <v/>
      </c>
      <c r="AJ17" s="19">
        <f>AI17+AJ10-AJ15</f>
        <v/>
      </c>
      <c r="AK17" s="19">
        <f>AJ17+AK10-AK15</f>
        <v/>
      </c>
      <c r="AL17" s="19">
        <f>AK17+AL10-AL15</f>
        <v/>
      </c>
      <c r="AM17" s="19">
        <f>AL17+AM10-AM15</f>
        <v/>
      </c>
      <c r="AN17" s="19">
        <f>AM17+AN10-AN15</f>
        <v/>
      </c>
      <c r="AO17" s="19">
        <f>AN17+AO10-AO15</f>
        <v/>
      </c>
      <c r="AP17" s="19">
        <f>AO17+AP10-AP15</f>
        <v/>
      </c>
      <c r="AQ17" s="19">
        <f>AP17+AQ10-AQ15</f>
        <v/>
      </c>
      <c r="AR17" s="19">
        <f>AQ17+AR10-AR15</f>
        <v/>
      </c>
      <c r="AS17" s="19">
        <f>AR17+AS10-AS15</f>
        <v/>
      </c>
      <c r="AT17" s="19">
        <f>AS17+AT10-AT15</f>
        <v/>
      </c>
      <c r="AU17" s="19">
        <f>AT17+AU10-AU15</f>
        <v/>
      </c>
      <c r="AV17" s="19">
        <f>AU17+AV10-AV15</f>
        <v/>
      </c>
      <c r="AW17" s="19">
        <f>AV17+AW10-AW15</f>
        <v/>
      </c>
      <c r="AX17" s="19">
        <f>AW17+AX10-AX15</f>
        <v/>
      </c>
      <c r="AY17" s="19">
        <f>AX17+AY10-AY15</f>
        <v/>
      </c>
      <c r="AZ17" s="19">
        <f>AY17+AZ10-AZ15</f>
        <v/>
      </c>
      <c r="BA17" s="19">
        <f>AZ17+BA10-BA15</f>
        <v/>
      </c>
      <c r="BB17" s="19">
        <f>BA17+BB10-BB15</f>
        <v/>
      </c>
      <c r="BC17" s="19">
        <f>BB17+BC10-BC15</f>
        <v/>
      </c>
      <c r="BD17" s="19">
        <f>BC17+BD10-BD15</f>
        <v/>
      </c>
      <c r="BE17" s="19">
        <f>BD17+BE10-BE15</f>
        <v/>
      </c>
      <c r="BF17" s="19">
        <f>BE17+BF10-BF15</f>
        <v/>
      </c>
      <c r="BG17" s="19">
        <f>BF17+BG10-BG15</f>
        <v/>
      </c>
      <c r="BH17" s="19">
        <f>BG17+BH10-BH15</f>
        <v/>
      </c>
      <c r="BI17" s="19">
        <f>BH17+BI10-BI15</f>
        <v/>
      </c>
      <c r="BJ17" s="19">
        <f>BI17+BJ10-BJ15</f>
        <v/>
      </c>
      <c r="BK17" s="19">
        <f>BJ17+BK10-BK15</f>
        <v/>
      </c>
      <c r="BL17" s="19">
        <f>BK17+BL10-BL15</f>
        <v/>
      </c>
      <c r="BM17" s="19">
        <f>BL17+BM10-BM15</f>
        <v/>
      </c>
      <c r="BN17" s="19">
        <f>BM17+BN10-BN15</f>
        <v/>
      </c>
      <c r="BO17" s="19">
        <f>BN17+BO10-BO15</f>
        <v/>
      </c>
      <c r="BP17" s="19">
        <f>BO17+BP10-BP15</f>
        <v/>
      </c>
      <c r="BQ17" s="19">
        <f>BP17+BQ10-BQ15</f>
        <v/>
      </c>
      <c r="BR17" s="19">
        <f>BQ17+BR10-BR15</f>
        <v/>
      </c>
      <c r="BS17" s="19">
        <f>BR17+BS10-BS15</f>
        <v/>
      </c>
      <c r="BT17" s="19">
        <f>BS17+BT10-BT15</f>
        <v/>
      </c>
      <c r="BU17" s="19">
        <f>BT17+BU10-BU15</f>
        <v/>
      </c>
      <c r="BV17" s="19">
        <f>BU17+BV10-BV15</f>
        <v/>
      </c>
      <c r="BW17" s="19">
        <f>BV17+BW10-BW15</f>
        <v/>
      </c>
      <c r="BX17" s="19">
        <f>BW17+BX10-BX15</f>
        <v/>
      </c>
      <c r="BY17" s="19">
        <f>BX17+BY10-BY15</f>
        <v/>
      </c>
      <c r="BZ17" s="19">
        <f>BY17+BZ10-BZ15</f>
        <v/>
      </c>
      <c r="CA17" s="19">
        <f>BZ17+CA10-CA15</f>
        <v/>
      </c>
      <c r="CB17" s="19">
        <f>CA17+CB10-CB15</f>
        <v/>
      </c>
      <c r="CC17" s="19">
        <f>CB17+CC10-CC15</f>
        <v/>
      </c>
      <c r="CD17" s="19">
        <f>CC17+CD10-CD15</f>
        <v/>
      </c>
      <c r="CE17" s="19">
        <f>CD17+CE10-CE15</f>
        <v/>
      </c>
      <c r="CF17" s="19">
        <f>CE17+CF10-CF15</f>
        <v/>
      </c>
      <c r="CG17" s="19">
        <f>CF17+CG10-CG15</f>
        <v/>
      </c>
      <c r="CH17" s="19">
        <f>CG17+CH10-CH15</f>
        <v/>
      </c>
      <c r="CI17" s="19">
        <f>CH17+CI10-CI15</f>
        <v/>
      </c>
      <c r="CJ17" s="19">
        <f>CI17+CJ10-CJ15</f>
        <v/>
      </c>
      <c r="CK17" s="19">
        <f>CJ17+CK10-CK15</f>
        <v/>
      </c>
      <c r="CL17" s="19">
        <f>CK17+CL10-CL15</f>
        <v/>
      </c>
      <c r="CM17" s="19">
        <f>CL17+CM10-CM15</f>
        <v/>
      </c>
      <c r="CN17" s="19">
        <f>CM17+CN10-CN15</f>
        <v/>
      </c>
      <c r="CO17" s="19">
        <f>CN17+CO10-CO15</f>
        <v/>
      </c>
      <c r="CP17" s="19">
        <f>CO17+CP10-CP15</f>
        <v/>
      </c>
      <c r="CQ17" s="19">
        <f>CP17+CQ10-CQ15</f>
        <v/>
      </c>
      <c r="CR17" s="19">
        <f>CQ17+CR10-CR15</f>
        <v/>
      </c>
      <c r="CS17" s="19">
        <f>CR17+CS10-CS15</f>
        <v/>
      </c>
      <c r="CT17" s="19">
        <f>CS17+CT10-CT15</f>
        <v/>
      </c>
      <c r="CU17" s="19">
        <f>CT17+CU10-CU15</f>
        <v/>
      </c>
      <c r="CV17" s="19">
        <f>CU17+CV10-CV15</f>
        <v/>
      </c>
      <c r="CW17" s="19">
        <f>CV17+CW10-CW15</f>
        <v/>
      </c>
      <c r="CX17" s="19">
        <f>CW17+CX10-CX15</f>
        <v/>
      </c>
      <c r="CY17" s="19">
        <f>CX17+CY10-CY15</f>
        <v/>
      </c>
      <c r="CZ17" s="19">
        <f>CY17+CZ10-CZ15</f>
        <v/>
      </c>
      <c r="DA17" s="19">
        <f>CZ17+DA10-DA15</f>
        <v/>
      </c>
      <c r="DB17" s="19">
        <f>DA17+DB10-DB15</f>
        <v/>
      </c>
      <c r="DC17" s="19">
        <f>DB17+DC10-DC15</f>
        <v/>
      </c>
      <c r="DD17" s="19">
        <f>DC17+DD10-DD15</f>
        <v/>
      </c>
      <c r="DE17" s="19">
        <f>DD17+DE10-DE15</f>
        <v/>
      </c>
      <c r="DF17" s="19">
        <f>DE17+DF10-DF15</f>
        <v/>
      </c>
      <c r="DG17" s="19">
        <f>DF17+DG10-DG15</f>
        <v/>
      </c>
      <c r="DH17" s="19">
        <f>DG17+DH10-DH15</f>
        <v/>
      </c>
      <c r="DI17" s="19">
        <f>DH17+DI10-DI15</f>
        <v/>
      </c>
      <c r="DJ17" s="19">
        <f>DI17+DJ10-DJ15</f>
        <v/>
      </c>
      <c r="DK17" s="19">
        <f>DJ17+DK10-DK15</f>
        <v/>
      </c>
      <c r="DL17" s="19">
        <f>DK17+DL10-DL15</f>
        <v/>
      </c>
      <c r="DM17" s="19">
        <f>DL17+DM10-DM15</f>
        <v/>
      </c>
      <c r="DN17" s="19">
        <f>DM17+DN10-DN15</f>
        <v/>
      </c>
      <c r="DO17" s="19">
        <f>DN17+DO10-DO15</f>
        <v/>
      </c>
      <c r="DP17" s="19">
        <f>DO17+DP10-DP15</f>
        <v/>
      </c>
      <c r="DQ17" s="19">
        <f>DP17+DQ10-DQ15</f>
        <v/>
      </c>
      <c r="DR17" s="19">
        <f>DQ17+DR10-DR15</f>
        <v/>
      </c>
      <c r="DS17" s="19">
        <f>DR17+DS10-DS15</f>
        <v/>
      </c>
      <c r="DT17" s="19">
        <f>DS17+DT10-DT15</f>
        <v/>
      </c>
      <c r="DU17" s="19">
        <f>DT17+DU10-DU15</f>
        <v/>
      </c>
      <c r="DV17" s="19">
        <f>DU17+DV10-DV15</f>
        <v/>
      </c>
      <c r="DW17" s="19">
        <f>DV17+DW10-DW15</f>
        <v/>
      </c>
      <c r="DX17" s="19">
        <f>DW17+DX10-DX15</f>
        <v/>
      </c>
      <c r="DY17" s="19">
        <f>DX17+DY10-DY15</f>
        <v/>
      </c>
      <c r="DZ17" s="19">
        <f>DY17+DZ10-DZ15</f>
        <v/>
      </c>
      <c r="EA17" s="19">
        <f>DZ17+EA10-EA15</f>
        <v/>
      </c>
      <c r="EB17" s="19">
        <f>EA17+EB10-EB15</f>
        <v/>
      </c>
      <c r="EC17" s="19">
        <f>EB17+EC10-EC15</f>
        <v/>
      </c>
      <c r="ED17" s="19">
        <f>EC17+ED10-ED15</f>
        <v/>
      </c>
      <c r="EE17" s="19">
        <f>ED17+EE10-EE15</f>
        <v/>
      </c>
      <c r="EF17" s="19">
        <f>EE17+EF10-EF15</f>
        <v/>
      </c>
      <c r="EG17" s="19">
        <f>EF17+EG10-EG15</f>
        <v/>
      </c>
      <c r="EH17" s="19">
        <f>EG17+EH10-EH15</f>
        <v/>
      </c>
      <c r="EI17" s="19">
        <f>EH17+EI10-EI15</f>
        <v/>
      </c>
      <c r="EJ17" s="19">
        <f>EI17+EJ10-EJ15</f>
        <v/>
      </c>
      <c r="EK17" s="19">
        <f>EJ17+EK10-EK15</f>
        <v/>
      </c>
      <c r="EL17" s="19">
        <f>EK17+EL10-EL15</f>
        <v/>
      </c>
      <c r="EM17" s="19">
        <f>EL17+EM10-EM15</f>
        <v/>
      </c>
      <c r="EN17" s="19">
        <f>EM17+EN10-EN15</f>
        <v/>
      </c>
      <c r="EO17" s="19">
        <f>EN17+EO10-EO15</f>
        <v/>
      </c>
      <c r="EP17" s="19">
        <f>EO17+EP10-EP15</f>
        <v/>
      </c>
      <c r="EQ17" s="19">
        <f>EP17+EQ10-EQ15</f>
        <v/>
      </c>
      <c r="ER17" s="19">
        <f>EQ17+ER10-ER15</f>
        <v/>
      </c>
      <c r="ES17" s="19">
        <f>ER17+ES10-ES15</f>
        <v/>
      </c>
      <c r="ET17" s="19">
        <f>ES17+ET10-ET15</f>
        <v/>
      </c>
      <c r="EU17" s="19">
        <f>ET17+EU10-EU15</f>
        <v/>
      </c>
      <c r="EV17" s="19">
        <f>EU17+EV10-EV15</f>
        <v/>
      </c>
      <c r="EW17" s="19">
        <f>EV17+EW10-EW15</f>
        <v/>
      </c>
      <c r="EX17" s="19">
        <f>EW17+EX10-EX15</f>
        <v/>
      </c>
      <c r="EY17" s="19">
        <f>EX17+EY10-EY15</f>
        <v/>
      </c>
      <c r="EZ17" s="19">
        <f>EY17+EZ10-EZ15</f>
        <v/>
      </c>
      <c r="FA17" s="19">
        <f>EZ17+FA10-FA15</f>
        <v/>
      </c>
      <c r="FB17" s="19">
        <f>FA17+FB10-FB15</f>
        <v/>
      </c>
      <c r="FC17" s="19">
        <f>FB17+FC10-FC15</f>
        <v/>
      </c>
      <c r="FD17" s="19">
        <f>FC17+FD10-FD15</f>
        <v/>
      </c>
      <c r="FE17" s="19">
        <f>FD17+FE10-FE15</f>
        <v/>
      </c>
      <c r="FF17" s="19">
        <f>FE17+FF10-FF15</f>
        <v/>
      </c>
      <c r="FG17" s="19">
        <f>FF17+FG10-FG15</f>
        <v/>
      </c>
      <c r="FH17" s="19">
        <f>FG17+FH10-FH15</f>
        <v/>
      </c>
      <c r="FI17" s="19">
        <f>FH17+FI10-FI15</f>
        <v/>
      </c>
      <c r="FJ17" s="19">
        <f>FI17+FJ10-FJ15</f>
        <v/>
      </c>
      <c r="FK17" s="19">
        <f>FJ17+FK10-FK15</f>
        <v/>
      </c>
      <c r="FL17" s="19">
        <f>FK17+FL10-FL15</f>
        <v/>
      </c>
      <c r="FM17" s="19">
        <f>FL17+FM10-FM15</f>
        <v/>
      </c>
      <c r="FN17" s="19">
        <f>FM17+FN10-FN15</f>
        <v/>
      </c>
      <c r="FO17" s="19">
        <f>FN17+FO10-FO15</f>
        <v/>
      </c>
      <c r="FP17" s="19">
        <f>FO17+FP10-FP15</f>
        <v/>
      </c>
      <c r="FQ17" s="19">
        <f>FP17+FQ10-FQ15</f>
        <v/>
      </c>
      <c r="FR17" s="19">
        <f>FQ17+FR10-FR15</f>
        <v/>
      </c>
      <c r="FS17" s="19">
        <f>FR17+FS10-FS15</f>
        <v/>
      </c>
      <c r="FT17" s="19">
        <f>FS17+FT10-FT15</f>
        <v/>
      </c>
      <c r="FU17" s="19">
        <f>FT17+FU10-FU15</f>
        <v/>
      </c>
      <c r="FV17" s="19">
        <f>FU17+FV10-FV15</f>
        <v/>
      </c>
      <c r="FW17" s="19">
        <f>FV17+FW10-FW15</f>
        <v/>
      </c>
      <c r="FX17" s="19">
        <f>FW17+FX10-FX15</f>
        <v/>
      </c>
      <c r="FY17" s="19">
        <f>FX17+FY10-FY15</f>
        <v/>
      </c>
      <c r="FZ17" s="19">
        <f>FY17+FZ10-FZ15</f>
        <v/>
      </c>
      <c r="GA17" s="19">
        <f>FZ17+GA10-GA15</f>
        <v/>
      </c>
      <c r="GB17" s="19">
        <f>GA17+GB10-GB15</f>
        <v/>
      </c>
      <c r="GC17" s="19">
        <f>GB17+GC10-GC15</f>
        <v/>
      </c>
      <c r="GD17" s="19">
        <f>GC17+GD10-GD15</f>
        <v/>
      </c>
      <c r="GE17" s="19">
        <f>GD17+GE10-GE15</f>
        <v/>
      </c>
      <c r="GF17" s="19">
        <f>GE17+GF10-GF15</f>
        <v/>
      </c>
      <c r="GG17" s="19">
        <f>GF17+GG10-GG15</f>
        <v/>
      </c>
      <c r="GH17" s="19">
        <f>GG17+GH10-GH15</f>
        <v/>
      </c>
      <c r="GI17" s="19">
        <f>GH17+GI10-GI15</f>
        <v/>
      </c>
      <c r="GJ17" s="19">
        <f>GI17+GJ10-GJ15</f>
        <v/>
      </c>
      <c r="GK17" s="19">
        <f>GJ17+GK10-GK15</f>
        <v/>
      </c>
      <c r="GL17" s="19">
        <f>GK17+GL10-GL15</f>
        <v/>
      </c>
      <c r="GM17" s="19">
        <f>GL17+GM10-GM15</f>
        <v/>
      </c>
      <c r="GN17" s="19">
        <f>GM17+GN10-GN15</f>
        <v/>
      </c>
      <c r="GO17" s="19">
        <f>GN17+GO10-GO15</f>
        <v/>
      </c>
      <c r="GP17" s="19">
        <f>GO17+GP10-GP15</f>
        <v/>
      </c>
      <c r="GQ17" s="19">
        <f>GP17+GQ10-GQ15</f>
        <v/>
      </c>
      <c r="GR17" s="19">
        <f>GQ17+GR10-GR15</f>
        <v/>
      </c>
      <c r="GS17" s="19">
        <f>GR17+GS10-GS15</f>
        <v/>
      </c>
      <c r="GT17" s="19">
        <f>GS17+GT10-GT15</f>
        <v/>
      </c>
      <c r="GU17" s="19">
        <f>GT17+GU10-GU15</f>
        <v/>
      </c>
      <c r="GV17" s="19">
        <f>GU17+GV10-GV15</f>
        <v/>
      </c>
      <c r="GW17" s="19">
        <f>GV17+GW10-GW15</f>
        <v/>
      </c>
      <c r="GX17" s="19">
        <f>GW17+GX10-GX15</f>
        <v/>
      </c>
      <c r="GY17" s="19">
        <f>GX17+GY10-GY15</f>
        <v/>
      </c>
      <c r="GZ17" s="19">
        <f>GY17+GZ10-GZ15</f>
        <v/>
      </c>
      <c r="HA17" s="19">
        <f>GZ17+HA10-HA15</f>
        <v/>
      </c>
      <c r="HB17" s="19">
        <f>HA17+HB10-HB15</f>
        <v/>
      </c>
      <c r="HC17" s="19">
        <f>HB17+HC10-HC15</f>
        <v/>
      </c>
      <c r="HD17" s="19">
        <f>HC17+HD10-HD15</f>
        <v/>
      </c>
      <c r="HE17" s="19">
        <f>HD17+HE10-HE15</f>
        <v/>
      </c>
      <c r="HF17" s="19">
        <f>HE17+HF10-HF15</f>
        <v/>
      </c>
      <c r="HG17" s="19">
        <f>HF17+HG10-HG15</f>
        <v/>
      </c>
      <c r="HH17" s="19">
        <f>HG17+HH10-HH15</f>
        <v/>
      </c>
      <c r="HI17" s="19">
        <f>HH17+HI10-HI15</f>
        <v/>
      </c>
      <c r="HJ17" s="19">
        <f>HI17+HJ10-HJ15</f>
        <v/>
      </c>
      <c r="HK17" s="19">
        <f>HJ17+HK10-HK15</f>
        <v/>
      </c>
      <c r="HL17" s="19">
        <f>HK17+HL10-HL15</f>
        <v/>
      </c>
      <c r="HM17" s="19">
        <f>HL17+HM10-HM15</f>
        <v/>
      </c>
      <c r="HN17" s="19">
        <f>HM17+HN10-HN15</f>
        <v/>
      </c>
      <c r="HO17" s="19">
        <f>HN17+HO10-HO15</f>
        <v/>
      </c>
      <c r="HP17" s="19">
        <f>HO17+HP10-HP15</f>
        <v/>
      </c>
      <c r="HQ17" s="19">
        <f>HP17+HQ10-HQ15</f>
        <v/>
      </c>
      <c r="HR17" s="19">
        <f>HQ17+HR10-HR15</f>
        <v/>
      </c>
      <c r="HS17" s="19">
        <f>HR17+HS10-HS15</f>
        <v/>
      </c>
      <c r="HT17" s="19">
        <f>HS17+HT10-HT15</f>
        <v/>
      </c>
      <c r="HU17" s="19">
        <f>HT17+HU10-HU15</f>
        <v/>
      </c>
      <c r="HV17" s="19">
        <f>HU17+HV10-HV15</f>
        <v/>
      </c>
      <c r="HW17" s="19">
        <f>HV17+HW10-HW15</f>
        <v/>
      </c>
      <c r="HX17" s="19">
        <f>HW17+HX10-HX15</f>
        <v/>
      </c>
      <c r="HY17" s="19">
        <f>HX17+HY10-HY15</f>
        <v/>
      </c>
      <c r="HZ17" s="19">
        <f>HY17+HZ10-HZ15</f>
        <v/>
      </c>
      <c r="IA17" s="19">
        <f>HZ17+IA10-IA15</f>
        <v/>
      </c>
      <c r="IB17" s="19">
        <f>IA17+IB10-IB15</f>
        <v/>
      </c>
      <c r="IC17" s="19">
        <f>IB17+IC10-IC15</f>
        <v/>
      </c>
      <c r="ID17" s="19">
        <f>IC17+ID10-ID15</f>
        <v/>
      </c>
      <c r="IE17" s="19">
        <f>ID17+IE10-IE15</f>
        <v/>
      </c>
      <c r="IF17" s="19">
        <f>IE17+IF10-IF15</f>
        <v/>
      </c>
      <c r="IG17" s="19">
        <f>IF17+IG10-IG15</f>
        <v/>
      </c>
      <c r="IH17" s="19">
        <f>IG17+IH10-IH15</f>
        <v/>
      </c>
      <c r="II17" s="19">
        <f>IH17+II10-II15</f>
        <v/>
      </c>
      <c r="IJ17" s="19">
        <f>II17+IJ10-IJ15</f>
        <v/>
      </c>
      <c r="IK17" s="19">
        <f>IJ17+IK10-IK15</f>
        <v/>
      </c>
      <c r="IL17" s="19">
        <f>IK17+IL10-IL15</f>
        <v/>
      </c>
      <c r="IM17" s="19">
        <f>IL17+IM10-IM15</f>
        <v/>
      </c>
      <c r="IN17" s="19">
        <f>IM17+IN10-IN15</f>
        <v/>
      </c>
      <c r="IO17" s="19">
        <f>IN17+IO10-IO15</f>
        <v/>
      </c>
      <c r="IP17" s="19">
        <f>IO17+IP10-IP15</f>
        <v/>
      </c>
      <c r="IQ17" s="19">
        <f>IP17+IQ10-IQ15</f>
        <v/>
      </c>
      <c r="IR17" s="19">
        <f>IQ17+IR10-IR15</f>
        <v/>
      </c>
      <c r="IS17" s="19">
        <f>IR17+IS10-IS15</f>
        <v/>
      </c>
      <c r="IT17" s="19">
        <f>IS17+IT10-IT15</f>
        <v/>
      </c>
      <c r="IU17" s="19">
        <f>IT17+IU10-IU15</f>
        <v/>
      </c>
      <c r="IV17" s="19">
        <f>IU17+IV10-IV15</f>
        <v/>
      </c>
      <c r="IW17" s="19">
        <f>IV17+IW10-IW15</f>
        <v/>
      </c>
      <c r="IX17" s="19">
        <f>IW17+IX10-IX15</f>
        <v/>
      </c>
      <c r="IY17" s="19">
        <f>IX17+IY10-IY15</f>
        <v/>
      </c>
      <c r="IZ17" s="19">
        <f>IY17+IZ10-IZ15</f>
        <v/>
      </c>
      <c r="JA17" s="19">
        <f>IZ17+JA10-JA15</f>
        <v/>
      </c>
      <c r="JB17" s="19">
        <f>JA17+JB10-JB15</f>
        <v/>
      </c>
      <c r="JC17" s="19">
        <f>JB17+JC10-JC15</f>
        <v/>
      </c>
      <c r="JD17" s="19">
        <f>JC17+JD10-JD15</f>
        <v/>
      </c>
      <c r="JE17" s="19">
        <f>JD17+JE10-JE15</f>
        <v/>
      </c>
      <c r="JF17" s="19">
        <f>JE17+JF10-JF15</f>
        <v/>
      </c>
      <c r="JG17" s="19">
        <f>JF17+JG10-JG15</f>
        <v/>
      </c>
      <c r="JH17" s="19">
        <f>JG17+JH10-JH15</f>
        <v/>
      </c>
      <c r="JI17" s="19">
        <f>JH17+JI10-JI15</f>
        <v/>
      </c>
      <c r="JJ17" s="19">
        <f>JI17+JJ10-JJ15</f>
        <v/>
      </c>
      <c r="JK17" s="19">
        <f>JJ17+JK10-JK15</f>
        <v/>
      </c>
      <c r="JL17" s="19">
        <f>JK17+JL10-JL15</f>
        <v/>
      </c>
      <c r="JM17" s="19">
        <f>JL17+JM10-JM15</f>
        <v/>
      </c>
      <c r="JN17" s="19">
        <f>JM17+JN10-JN15</f>
        <v/>
      </c>
      <c r="JO17" s="19">
        <f>JN17+JO10-JO15</f>
        <v/>
      </c>
      <c r="JP17" s="19">
        <f>JO17+JP10-JP15</f>
        <v/>
      </c>
      <c r="JQ17" s="19">
        <f>JP17+JQ10-JQ15</f>
        <v/>
      </c>
      <c r="JR17" s="19">
        <f>JQ17+JR10-JR15</f>
        <v/>
      </c>
      <c r="JS17" s="19">
        <f>JR17+JS10-JS15</f>
        <v/>
      </c>
      <c r="JT17" s="19">
        <f>JS17+JT10-JT15</f>
        <v/>
      </c>
      <c r="JU17" s="19">
        <f>JT17+JU10-JU15</f>
        <v/>
      </c>
      <c r="JV17" s="19">
        <f>JU17+JV10-JV15</f>
        <v/>
      </c>
      <c r="JW17" s="19">
        <f>JV17+JW10-JW15</f>
        <v/>
      </c>
      <c r="JX17" s="19">
        <f>JW17+JX10-JX15</f>
        <v/>
      </c>
      <c r="JY17" s="19">
        <f>JX17+JY10-JY15</f>
        <v/>
      </c>
      <c r="JZ17" s="19">
        <f>JY17+JZ10-JZ15</f>
        <v/>
      </c>
      <c r="KA17" s="19">
        <f>JZ17+KA10-KA15</f>
        <v/>
      </c>
      <c r="KB17" s="19">
        <f>KA17+KB10-KB15</f>
        <v/>
      </c>
      <c r="KC17" s="19">
        <f>KB17+KC10-KC15</f>
        <v/>
      </c>
      <c r="KD17" s="19">
        <f>KC17+KD10-KD15</f>
        <v/>
      </c>
      <c r="KE17" s="19">
        <f>KD17+KE10-KE15</f>
        <v/>
      </c>
      <c r="KF17" s="19">
        <f>KE17+KF10-KF15</f>
        <v/>
      </c>
      <c r="KG17" s="19">
        <f>KF17+KG10-KG15</f>
        <v/>
      </c>
      <c r="KH17" s="19">
        <f>KG17+KH10-KH15</f>
        <v/>
      </c>
      <c r="KI17" s="19">
        <f>KH17+KI10-KI15</f>
        <v/>
      </c>
      <c r="KJ17" s="19">
        <f>KI17+KJ10-KJ15</f>
        <v/>
      </c>
      <c r="KK17" s="19">
        <f>KJ17+KK10-KK15</f>
        <v/>
      </c>
      <c r="KL17" s="19">
        <f>KK17+KL10-KL15</f>
        <v/>
      </c>
      <c r="KM17" s="19">
        <f>KL17+KM10-KM15</f>
        <v/>
      </c>
      <c r="KN17" s="19">
        <f>KM17+KN10-KN15</f>
        <v/>
      </c>
      <c r="KO17" s="19">
        <f>KN17+KO10-KO15</f>
        <v/>
      </c>
      <c r="KP17" s="19">
        <f>KO17+KP10-KP15</f>
        <v/>
      </c>
      <c r="KQ17" s="19">
        <f>KP17+KQ10-KQ15</f>
        <v/>
      </c>
      <c r="KR17" s="19">
        <f>KQ17+KR10-KR15</f>
        <v/>
      </c>
      <c r="KS17" s="19">
        <f>KR17+KS10-KS15</f>
        <v/>
      </c>
      <c r="KT17" s="19">
        <f>KS17+KT10-KT15</f>
        <v/>
      </c>
      <c r="KU17" s="19">
        <f>KT17+KU10-KU15</f>
        <v/>
      </c>
      <c r="KV17" s="19">
        <f>KU17+KV10-KV15</f>
        <v/>
      </c>
      <c r="KW17" s="19">
        <f>KV17+KW10-KW15</f>
        <v/>
      </c>
      <c r="KX17" s="19">
        <f>KW17+KX10-KX15</f>
        <v/>
      </c>
      <c r="KY17" s="19">
        <f>KX17+KY10-KY15</f>
        <v/>
      </c>
      <c r="KZ17" s="19">
        <f>KY17+KZ10-KZ15</f>
        <v/>
      </c>
      <c r="LA17" s="19">
        <f>KZ17+LA10-LA15</f>
        <v/>
      </c>
      <c r="LB17" s="19">
        <f>LA17+LB10-LB15</f>
        <v/>
      </c>
      <c r="LC17" s="19">
        <f>LB17+LC10-LC15</f>
        <v/>
      </c>
      <c r="LD17" s="19">
        <f>LC17+LD10-LD15</f>
        <v/>
      </c>
      <c r="LE17" s="19">
        <f>LD17+LE10-LE15</f>
        <v/>
      </c>
      <c r="LF17" s="19">
        <f>LE17+LF10-LF15</f>
        <v/>
      </c>
      <c r="LG17" s="19">
        <f>LF17+LG10-LG15</f>
        <v/>
      </c>
      <c r="LH17" s="19">
        <f>LG17+LH10-LH15</f>
        <v/>
      </c>
      <c r="LI17" s="19">
        <f>LH17+LI10-LI15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C22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3" customWidth="1" min="261" max="261"/>
    <col width="13" customWidth="1" min="262" max="262"/>
    <col width="13" customWidth="1" min="263" max="263"/>
    <col width="13" customWidth="1" min="264" max="264"/>
    <col width="13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13" customWidth="1" min="270" max="270"/>
    <col width="13" customWidth="1" min="271" max="271"/>
    <col width="13" customWidth="1" min="272" max="272"/>
    <col width="13" customWidth="1" min="273" max="273"/>
    <col width="13" customWidth="1" min="274" max="274"/>
    <col width="13" customWidth="1" min="275" max="275"/>
    <col width="13" customWidth="1" min="276" max="276"/>
    <col width="13" customWidth="1" min="277" max="277"/>
    <col width="13" customWidth="1" min="278" max="278"/>
    <col width="13" customWidth="1" min="279" max="279"/>
    <col width="13" customWidth="1" min="280" max="280"/>
    <col width="13" customWidth="1" min="281" max="281"/>
    <col width="13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13" customWidth="1" min="287" max="287"/>
    <col width="13" customWidth="1" min="288" max="288"/>
    <col width="13" customWidth="1" min="289" max="289"/>
    <col width="13" customWidth="1" min="290" max="290"/>
    <col width="13" customWidth="1" min="291" max="291"/>
    <col width="13" customWidth="1" min="292" max="292"/>
    <col width="13" customWidth="1" min="293" max="293"/>
    <col width="13" customWidth="1" min="294" max="294"/>
    <col width="13" customWidth="1" min="295" max="295"/>
    <col width="13" customWidth="1" min="296" max="296"/>
    <col width="13" customWidth="1" min="297" max="297"/>
    <col width="13" customWidth="1" min="298" max="298"/>
    <col width="13" customWidth="1" min="299" max="299"/>
    <col width="13" customWidth="1" min="300" max="300"/>
    <col width="13" customWidth="1" min="301" max="301"/>
    <col width="13" customWidth="1" min="302" max="302"/>
    <col width="13" customWidth="1" min="303" max="303"/>
    <col width="13" customWidth="1" min="304" max="304"/>
    <col width="13" customWidth="1" min="305" max="305"/>
    <col width="13" customWidth="1" min="306" max="306"/>
    <col width="13" customWidth="1" min="307" max="307"/>
    <col width="13" customWidth="1" min="308" max="308"/>
    <col width="13" customWidth="1" min="309" max="309"/>
    <col width="13" customWidth="1" min="310" max="310"/>
    <col width="13" customWidth="1" min="311" max="311"/>
    <col width="13" customWidth="1" min="312" max="312"/>
    <col width="13" customWidth="1" min="313" max="313"/>
    <col width="13" customWidth="1" min="314" max="314"/>
    <col width="13" customWidth="1" min="315" max="315"/>
  </cols>
  <sheetData>
    <row r="2">
      <c r="B2" s="1" t="inlineStr">
        <is>
          <t>Activo financiero del PPDI</t>
        </is>
      </c>
    </row>
    <row r="3">
      <c r="B3" s="2" t="inlineStr">
        <is>
          <t>CINIIF 12 p.16: derecho incondicional de cobro, no intangible. Amortizacion = cobro del mes menos ingreso financiero devengado.</t>
        </is>
      </c>
    </row>
    <row r="6">
      <c r="B6" s="15" t="inlineStr">
        <is>
          <t>Mes</t>
        </is>
      </c>
      <c r="D6" s="16" t="inlineStr">
        <is>
          <t>2026-10-31</t>
        </is>
      </c>
      <c r="E6" s="16" t="inlineStr">
        <is>
          <t>2026-11-30</t>
        </is>
      </c>
      <c r="F6" s="16" t="inlineStr">
        <is>
          <t>2026-12-31</t>
        </is>
      </c>
      <c r="G6" s="16" t="inlineStr">
        <is>
          <t>2027-01-31</t>
        </is>
      </c>
      <c r="H6" s="16" t="inlineStr">
        <is>
          <t>2027-02-28</t>
        </is>
      </c>
      <c r="I6" s="16" t="inlineStr">
        <is>
          <t>2027-03-31</t>
        </is>
      </c>
      <c r="J6" s="16" t="inlineStr">
        <is>
          <t>2027-04-30</t>
        </is>
      </c>
      <c r="K6" s="16" t="inlineStr">
        <is>
          <t>2027-05-31</t>
        </is>
      </c>
      <c r="L6" s="16" t="inlineStr">
        <is>
          <t>2027-06-30</t>
        </is>
      </c>
      <c r="M6" s="16" t="inlineStr">
        <is>
          <t>2027-07-31</t>
        </is>
      </c>
      <c r="N6" s="16" t="inlineStr">
        <is>
          <t>2027-08-31</t>
        </is>
      </c>
      <c r="O6" s="16" t="inlineStr">
        <is>
          <t>2027-09-30</t>
        </is>
      </c>
      <c r="P6" s="16" t="inlineStr">
        <is>
          <t>2027-10-31</t>
        </is>
      </c>
      <c r="Q6" s="16" t="inlineStr">
        <is>
          <t>2027-11-30</t>
        </is>
      </c>
      <c r="R6" s="16" t="inlineStr">
        <is>
          <t>2027-12-31</t>
        </is>
      </c>
      <c r="S6" s="16" t="inlineStr">
        <is>
          <t>2028-01-31</t>
        </is>
      </c>
      <c r="T6" s="16" t="inlineStr">
        <is>
          <t>2028-02-29</t>
        </is>
      </c>
      <c r="U6" s="16" t="inlineStr">
        <is>
          <t>2028-03-31</t>
        </is>
      </c>
      <c r="V6" s="16" t="inlineStr">
        <is>
          <t>2028-04-30</t>
        </is>
      </c>
      <c r="W6" s="16" t="inlineStr">
        <is>
          <t>2028-05-31</t>
        </is>
      </c>
      <c r="X6" s="16" t="inlineStr">
        <is>
          <t>2028-06-30</t>
        </is>
      </c>
      <c r="Y6" s="16" t="inlineStr">
        <is>
          <t>2028-07-31</t>
        </is>
      </c>
      <c r="Z6" s="16" t="inlineStr">
        <is>
          <t>2028-08-31</t>
        </is>
      </c>
      <c r="AA6" s="16" t="inlineStr">
        <is>
          <t>2028-09-30</t>
        </is>
      </c>
      <c r="AB6" s="16" t="inlineStr">
        <is>
          <t>2028-10-31</t>
        </is>
      </c>
      <c r="AC6" s="16" t="inlineStr">
        <is>
          <t>2028-11-30</t>
        </is>
      </c>
      <c r="AD6" s="16" t="inlineStr">
        <is>
          <t>2028-12-31</t>
        </is>
      </c>
      <c r="AE6" s="16" t="inlineStr">
        <is>
          <t>2029-01-31</t>
        </is>
      </c>
      <c r="AF6" s="16" t="inlineStr">
        <is>
          <t>2029-02-28</t>
        </is>
      </c>
      <c r="AG6" s="16" t="inlineStr">
        <is>
          <t>2029-03-31</t>
        </is>
      </c>
      <c r="AH6" s="16" t="inlineStr">
        <is>
          <t>2029-04-30</t>
        </is>
      </c>
      <c r="AI6" s="16" t="inlineStr">
        <is>
          <t>2029-05-31</t>
        </is>
      </c>
      <c r="AJ6" s="16" t="inlineStr">
        <is>
          <t>2029-06-30</t>
        </is>
      </c>
      <c r="AK6" s="16" t="inlineStr">
        <is>
          <t>2029-07-31</t>
        </is>
      </c>
      <c r="AL6" s="16" t="inlineStr">
        <is>
          <t>2029-08-31</t>
        </is>
      </c>
      <c r="AM6" s="16" t="inlineStr">
        <is>
          <t>2029-09-30</t>
        </is>
      </c>
      <c r="AN6" s="16" t="inlineStr">
        <is>
          <t>2029-10-31</t>
        </is>
      </c>
      <c r="AO6" s="16" t="inlineStr">
        <is>
          <t>2029-11-30</t>
        </is>
      </c>
      <c r="AP6" s="16" t="inlineStr">
        <is>
          <t>2029-12-31</t>
        </is>
      </c>
      <c r="AQ6" s="16" t="inlineStr">
        <is>
          <t>2030-01-31</t>
        </is>
      </c>
      <c r="AR6" s="16" t="inlineStr">
        <is>
          <t>2030-02-28</t>
        </is>
      </c>
      <c r="AS6" s="16" t="inlineStr">
        <is>
          <t>2030-03-31</t>
        </is>
      </c>
      <c r="AT6" s="16" t="inlineStr">
        <is>
          <t>2030-04-30</t>
        </is>
      </c>
      <c r="AU6" s="16" t="inlineStr">
        <is>
          <t>2030-05-31</t>
        </is>
      </c>
      <c r="AV6" s="16" t="inlineStr">
        <is>
          <t>2030-06-30</t>
        </is>
      </c>
      <c r="AW6" s="16" t="inlineStr">
        <is>
          <t>2030-07-31</t>
        </is>
      </c>
      <c r="AX6" s="16" t="inlineStr">
        <is>
          <t>2030-08-31</t>
        </is>
      </c>
      <c r="AY6" s="16" t="inlineStr">
        <is>
          <t>2030-09-30</t>
        </is>
      </c>
      <c r="AZ6" s="16" t="inlineStr">
        <is>
          <t>2030-10-31</t>
        </is>
      </c>
      <c r="BA6" s="16" t="inlineStr">
        <is>
          <t>2030-11-30</t>
        </is>
      </c>
      <c r="BB6" s="16" t="inlineStr">
        <is>
          <t>2030-12-31</t>
        </is>
      </c>
      <c r="BC6" s="16" t="inlineStr">
        <is>
          <t>2031-01-31</t>
        </is>
      </c>
      <c r="BD6" s="16" t="inlineStr">
        <is>
          <t>2031-02-28</t>
        </is>
      </c>
      <c r="BE6" s="16" t="inlineStr">
        <is>
          <t>2031-03-31</t>
        </is>
      </c>
      <c r="BF6" s="16" t="inlineStr">
        <is>
          <t>2031-04-30</t>
        </is>
      </c>
      <c r="BG6" s="16" t="inlineStr">
        <is>
          <t>2031-05-31</t>
        </is>
      </c>
      <c r="BH6" s="16" t="inlineStr">
        <is>
          <t>2031-06-30</t>
        </is>
      </c>
      <c r="BI6" s="16" t="inlineStr">
        <is>
          <t>2031-07-31</t>
        </is>
      </c>
      <c r="BJ6" s="16" t="inlineStr">
        <is>
          <t>2031-08-31</t>
        </is>
      </c>
      <c r="BK6" s="16" t="inlineStr">
        <is>
          <t>2031-09-30</t>
        </is>
      </c>
      <c r="BL6" s="16" t="inlineStr">
        <is>
          <t>2031-10-31</t>
        </is>
      </c>
      <c r="BM6" s="16" t="inlineStr">
        <is>
          <t>2031-11-30</t>
        </is>
      </c>
      <c r="BN6" s="16" t="inlineStr">
        <is>
          <t>2031-12-31</t>
        </is>
      </c>
      <c r="BO6" s="16" t="inlineStr">
        <is>
          <t>2032-01-31</t>
        </is>
      </c>
      <c r="BP6" s="16" t="inlineStr">
        <is>
          <t>2032-02-29</t>
        </is>
      </c>
      <c r="BQ6" s="16" t="inlineStr">
        <is>
          <t>2032-03-31</t>
        </is>
      </c>
      <c r="BR6" s="16" t="inlineStr">
        <is>
          <t>2032-04-30</t>
        </is>
      </c>
      <c r="BS6" s="16" t="inlineStr">
        <is>
          <t>2032-05-31</t>
        </is>
      </c>
      <c r="BT6" s="16" t="inlineStr">
        <is>
          <t>2032-06-30</t>
        </is>
      </c>
      <c r="BU6" s="16" t="inlineStr">
        <is>
          <t>2032-07-31</t>
        </is>
      </c>
      <c r="BV6" s="16" t="inlineStr">
        <is>
          <t>2032-08-31</t>
        </is>
      </c>
      <c r="BW6" s="16" t="inlineStr">
        <is>
          <t>2032-09-30</t>
        </is>
      </c>
      <c r="BX6" s="16" t="inlineStr">
        <is>
          <t>2032-10-31</t>
        </is>
      </c>
      <c r="BY6" s="16" t="inlineStr">
        <is>
          <t>2032-11-30</t>
        </is>
      </c>
      <c r="BZ6" s="16" t="inlineStr">
        <is>
          <t>2032-12-31</t>
        </is>
      </c>
      <c r="CA6" s="16" t="inlineStr">
        <is>
          <t>2033-01-31</t>
        </is>
      </c>
      <c r="CB6" s="16" t="inlineStr">
        <is>
          <t>2033-02-28</t>
        </is>
      </c>
      <c r="CC6" s="16" t="inlineStr">
        <is>
          <t>2033-03-31</t>
        </is>
      </c>
      <c r="CD6" s="16" t="inlineStr">
        <is>
          <t>2033-04-30</t>
        </is>
      </c>
      <c r="CE6" s="16" t="inlineStr">
        <is>
          <t>2033-05-31</t>
        </is>
      </c>
      <c r="CF6" s="16" t="inlineStr">
        <is>
          <t>2033-06-30</t>
        </is>
      </c>
      <c r="CG6" s="16" t="inlineStr">
        <is>
          <t>2033-07-31</t>
        </is>
      </c>
      <c r="CH6" s="16" t="inlineStr">
        <is>
          <t>2033-08-31</t>
        </is>
      </c>
      <c r="CI6" s="16" t="inlineStr">
        <is>
          <t>2033-09-30</t>
        </is>
      </c>
      <c r="CJ6" s="16" t="inlineStr">
        <is>
          <t>2033-10-31</t>
        </is>
      </c>
      <c r="CK6" s="16" t="inlineStr">
        <is>
          <t>2033-11-30</t>
        </is>
      </c>
      <c r="CL6" s="16" t="inlineStr">
        <is>
          <t>2033-12-31</t>
        </is>
      </c>
      <c r="CM6" s="16" t="inlineStr">
        <is>
          <t>2034-01-31</t>
        </is>
      </c>
      <c r="CN6" s="16" t="inlineStr">
        <is>
          <t>2034-02-28</t>
        </is>
      </c>
      <c r="CO6" s="16" t="inlineStr">
        <is>
          <t>2034-03-31</t>
        </is>
      </c>
      <c r="CP6" s="16" t="inlineStr">
        <is>
          <t>2034-04-30</t>
        </is>
      </c>
      <c r="CQ6" s="16" t="inlineStr">
        <is>
          <t>2034-05-31</t>
        </is>
      </c>
      <c r="CR6" s="16" t="inlineStr">
        <is>
          <t>2034-06-30</t>
        </is>
      </c>
      <c r="CS6" s="16" t="inlineStr">
        <is>
          <t>2034-07-31</t>
        </is>
      </c>
      <c r="CT6" s="16" t="inlineStr">
        <is>
          <t>2034-08-31</t>
        </is>
      </c>
      <c r="CU6" s="16" t="inlineStr">
        <is>
          <t>2034-09-30</t>
        </is>
      </c>
      <c r="CV6" s="16" t="inlineStr">
        <is>
          <t>2034-10-31</t>
        </is>
      </c>
      <c r="CW6" s="16" t="inlineStr">
        <is>
          <t>2034-11-30</t>
        </is>
      </c>
      <c r="CX6" s="16" t="inlineStr">
        <is>
          <t>2034-12-31</t>
        </is>
      </c>
      <c r="CY6" s="16" t="inlineStr">
        <is>
          <t>2035-01-31</t>
        </is>
      </c>
      <c r="CZ6" s="16" t="inlineStr">
        <is>
          <t>2035-02-28</t>
        </is>
      </c>
      <c r="DA6" s="16" t="inlineStr">
        <is>
          <t>2035-03-31</t>
        </is>
      </c>
      <c r="DB6" s="16" t="inlineStr">
        <is>
          <t>2035-04-30</t>
        </is>
      </c>
      <c r="DC6" s="16" t="inlineStr">
        <is>
          <t>2035-05-31</t>
        </is>
      </c>
      <c r="DD6" s="16" t="inlineStr">
        <is>
          <t>2035-06-30</t>
        </is>
      </c>
      <c r="DE6" s="16" t="inlineStr">
        <is>
          <t>2035-07-31</t>
        </is>
      </c>
      <c r="DF6" s="16" t="inlineStr">
        <is>
          <t>2035-08-31</t>
        </is>
      </c>
      <c r="DG6" s="16" t="inlineStr">
        <is>
          <t>2035-09-30</t>
        </is>
      </c>
      <c r="DH6" s="16" t="inlineStr">
        <is>
          <t>2035-10-31</t>
        </is>
      </c>
      <c r="DI6" s="16" t="inlineStr">
        <is>
          <t>2035-11-30</t>
        </is>
      </c>
      <c r="DJ6" s="16" t="inlineStr">
        <is>
          <t>2035-12-31</t>
        </is>
      </c>
      <c r="DK6" s="16" t="inlineStr">
        <is>
          <t>2036-01-31</t>
        </is>
      </c>
      <c r="DL6" s="16" t="inlineStr">
        <is>
          <t>2036-02-29</t>
        </is>
      </c>
      <c r="DM6" s="16" t="inlineStr">
        <is>
          <t>2036-03-31</t>
        </is>
      </c>
      <c r="DN6" s="16" t="inlineStr">
        <is>
          <t>2036-04-30</t>
        </is>
      </c>
      <c r="DO6" s="16" t="inlineStr">
        <is>
          <t>2036-05-31</t>
        </is>
      </c>
      <c r="DP6" s="16" t="inlineStr">
        <is>
          <t>2036-06-30</t>
        </is>
      </c>
      <c r="DQ6" s="16" t="inlineStr">
        <is>
          <t>2036-07-31</t>
        </is>
      </c>
      <c r="DR6" s="16" t="inlineStr">
        <is>
          <t>2036-08-31</t>
        </is>
      </c>
      <c r="DS6" s="16" t="inlineStr">
        <is>
          <t>2036-09-30</t>
        </is>
      </c>
      <c r="DT6" s="16" t="inlineStr">
        <is>
          <t>2036-10-31</t>
        </is>
      </c>
      <c r="DU6" s="16" t="inlineStr">
        <is>
          <t>2036-11-30</t>
        </is>
      </c>
      <c r="DV6" s="16" t="inlineStr">
        <is>
          <t>2036-12-31</t>
        </is>
      </c>
      <c r="DW6" s="16" t="inlineStr">
        <is>
          <t>2037-01-31</t>
        </is>
      </c>
      <c r="DX6" s="16" t="inlineStr">
        <is>
          <t>2037-02-28</t>
        </is>
      </c>
      <c r="DY6" s="16" t="inlineStr">
        <is>
          <t>2037-03-31</t>
        </is>
      </c>
      <c r="DZ6" s="16" t="inlineStr">
        <is>
          <t>2037-04-30</t>
        </is>
      </c>
      <c r="EA6" s="16" t="inlineStr">
        <is>
          <t>2037-05-31</t>
        </is>
      </c>
      <c r="EB6" s="16" t="inlineStr">
        <is>
          <t>2037-06-30</t>
        </is>
      </c>
      <c r="EC6" s="16" t="inlineStr">
        <is>
          <t>2037-07-31</t>
        </is>
      </c>
      <c r="ED6" s="16" t="inlineStr">
        <is>
          <t>2037-08-31</t>
        </is>
      </c>
      <c r="EE6" s="16" t="inlineStr">
        <is>
          <t>2037-09-30</t>
        </is>
      </c>
      <c r="EF6" s="16" t="inlineStr">
        <is>
          <t>2037-10-31</t>
        </is>
      </c>
      <c r="EG6" s="16" t="inlineStr">
        <is>
          <t>2037-11-30</t>
        </is>
      </c>
      <c r="EH6" s="16" t="inlineStr">
        <is>
          <t>2037-12-31</t>
        </is>
      </c>
      <c r="EI6" s="16" t="inlineStr">
        <is>
          <t>2038-01-31</t>
        </is>
      </c>
      <c r="EJ6" s="16" t="inlineStr">
        <is>
          <t>2038-02-28</t>
        </is>
      </c>
      <c r="EK6" s="16" t="inlineStr">
        <is>
          <t>2038-03-31</t>
        </is>
      </c>
      <c r="EL6" s="16" t="inlineStr">
        <is>
          <t>2038-04-30</t>
        </is>
      </c>
      <c r="EM6" s="16" t="inlineStr">
        <is>
          <t>2038-05-31</t>
        </is>
      </c>
      <c r="EN6" s="16" t="inlineStr">
        <is>
          <t>2038-06-30</t>
        </is>
      </c>
      <c r="EO6" s="16" t="inlineStr">
        <is>
          <t>2038-07-31</t>
        </is>
      </c>
      <c r="EP6" s="16" t="inlineStr">
        <is>
          <t>2038-08-31</t>
        </is>
      </c>
      <c r="EQ6" s="16" t="inlineStr">
        <is>
          <t>2038-09-30</t>
        </is>
      </c>
      <c r="ER6" s="16" t="inlineStr">
        <is>
          <t>2038-10-31</t>
        </is>
      </c>
      <c r="ES6" s="16" t="inlineStr">
        <is>
          <t>2038-11-30</t>
        </is>
      </c>
      <c r="ET6" s="16" t="inlineStr">
        <is>
          <t>2038-12-31</t>
        </is>
      </c>
      <c r="EU6" s="16" t="inlineStr">
        <is>
          <t>2039-01-31</t>
        </is>
      </c>
      <c r="EV6" s="16" t="inlineStr">
        <is>
          <t>2039-02-28</t>
        </is>
      </c>
      <c r="EW6" s="16" t="inlineStr">
        <is>
          <t>2039-03-31</t>
        </is>
      </c>
      <c r="EX6" s="16" t="inlineStr">
        <is>
          <t>2039-04-30</t>
        </is>
      </c>
      <c r="EY6" s="16" t="inlineStr">
        <is>
          <t>2039-05-31</t>
        </is>
      </c>
      <c r="EZ6" s="16" t="inlineStr">
        <is>
          <t>2039-06-30</t>
        </is>
      </c>
      <c r="FA6" s="16" t="inlineStr">
        <is>
          <t>2039-07-31</t>
        </is>
      </c>
      <c r="FB6" s="16" t="inlineStr">
        <is>
          <t>2039-08-31</t>
        </is>
      </c>
      <c r="FC6" s="16" t="inlineStr">
        <is>
          <t>2039-09-30</t>
        </is>
      </c>
      <c r="FD6" s="16" t="inlineStr">
        <is>
          <t>2039-10-31</t>
        </is>
      </c>
      <c r="FE6" s="16" t="inlineStr">
        <is>
          <t>2039-11-30</t>
        </is>
      </c>
      <c r="FF6" s="16" t="inlineStr">
        <is>
          <t>2039-12-31</t>
        </is>
      </c>
      <c r="FG6" s="16" t="inlineStr">
        <is>
          <t>2040-01-31</t>
        </is>
      </c>
      <c r="FH6" s="16" t="inlineStr">
        <is>
          <t>2040-02-29</t>
        </is>
      </c>
      <c r="FI6" s="16" t="inlineStr">
        <is>
          <t>2040-03-31</t>
        </is>
      </c>
      <c r="FJ6" s="16" t="inlineStr">
        <is>
          <t>2040-04-30</t>
        </is>
      </c>
      <c r="FK6" s="16" t="inlineStr">
        <is>
          <t>2040-05-31</t>
        </is>
      </c>
      <c r="FL6" s="16" t="inlineStr">
        <is>
          <t>2040-06-30</t>
        </is>
      </c>
      <c r="FM6" s="16" t="inlineStr">
        <is>
          <t>2040-07-31</t>
        </is>
      </c>
      <c r="FN6" s="16" t="inlineStr">
        <is>
          <t>2040-08-31</t>
        </is>
      </c>
      <c r="FO6" s="16" t="inlineStr">
        <is>
          <t>2040-09-30</t>
        </is>
      </c>
      <c r="FP6" s="16" t="inlineStr">
        <is>
          <t>2040-10-31</t>
        </is>
      </c>
      <c r="FQ6" s="16" t="inlineStr">
        <is>
          <t>2040-11-30</t>
        </is>
      </c>
      <c r="FR6" s="16" t="inlineStr">
        <is>
          <t>2040-12-31</t>
        </is>
      </c>
      <c r="FS6" s="16" t="inlineStr">
        <is>
          <t>2041-01-31</t>
        </is>
      </c>
      <c r="FT6" s="16" t="inlineStr">
        <is>
          <t>2041-02-28</t>
        </is>
      </c>
      <c r="FU6" s="16" t="inlineStr">
        <is>
          <t>2041-03-31</t>
        </is>
      </c>
      <c r="FV6" s="16" t="inlineStr">
        <is>
          <t>2041-04-30</t>
        </is>
      </c>
      <c r="FW6" s="16" t="inlineStr">
        <is>
          <t>2041-05-31</t>
        </is>
      </c>
      <c r="FX6" s="16" t="inlineStr">
        <is>
          <t>2041-06-30</t>
        </is>
      </c>
      <c r="FY6" s="16" t="inlineStr">
        <is>
          <t>2041-07-31</t>
        </is>
      </c>
      <c r="FZ6" s="16" t="inlineStr">
        <is>
          <t>2041-08-31</t>
        </is>
      </c>
      <c r="GA6" s="16" t="inlineStr">
        <is>
          <t>2041-09-30</t>
        </is>
      </c>
      <c r="GB6" s="16" t="inlineStr">
        <is>
          <t>2041-10-31</t>
        </is>
      </c>
      <c r="GC6" s="16" t="inlineStr">
        <is>
          <t>2041-11-30</t>
        </is>
      </c>
      <c r="GD6" s="16" t="inlineStr">
        <is>
          <t>2041-12-31</t>
        </is>
      </c>
      <c r="GE6" s="16" t="inlineStr">
        <is>
          <t>2042-01-31</t>
        </is>
      </c>
      <c r="GF6" s="16" t="inlineStr">
        <is>
          <t>2042-02-28</t>
        </is>
      </c>
      <c r="GG6" s="16" t="inlineStr">
        <is>
          <t>2042-03-31</t>
        </is>
      </c>
      <c r="GH6" s="16" t="inlineStr">
        <is>
          <t>2042-04-30</t>
        </is>
      </c>
      <c r="GI6" s="16" t="inlineStr">
        <is>
          <t>2042-05-31</t>
        </is>
      </c>
      <c r="GJ6" s="16" t="inlineStr">
        <is>
          <t>2042-06-30</t>
        </is>
      </c>
      <c r="GK6" s="16" t="inlineStr">
        <is>
          <t>2042-07-31</t>
        </is>
      </c>
      <c r="GL6" s="16" t="inlineStr">
        <is>
          <t>2042-08-31</t>
        </is>
      </c>
      <c r="GM6" s="16" t="inlineStr">
        <is>
          <t>2042-09-30</t>
        </is>
      </c>
      <c r="GN6" s="16" t="inlineStr">
        <is>
          <t>2042-10-31</t>
        </is>
      </c>
      <c r="GO6" s="16" t="inlineStr">
        <is>
          <t>2042-11-30</t>
        </is>
      </c>
      <c r="GP6" s="16" t="inlineStr">
        <is>
          <t>2042-12-31</t>
        </is>
      </c>
      <c r="GQ6" s="16" t="inlineStr">
        <is>
          <t>2043-01-31</t>
        </is>
      </c>
      <c r="GR6" s="16" t="inlineStr">
        <is>
          <t>2043-02-28</t>
        </is>
      </c>
      <c r="GS6" s="16" t="inlineStr">
        <is>
          <t>2043-03-31</t>
        </is>
      </c>
      <c r="GT6" s="16" t="inlineStr">
        <is>
          <t>2043-04-30</t>
        </is>
      </c>
      <c r="GU6" s="16" t="inlineStr">
        <is>
          <t>2043-05-31</t>
        </is>
      </c>
      <c r="GV6" s="16" t="inlineStr">
        <is>
          <t>2043-06-30</t>
        </is>
      </c>
      <c r="GW6" s="16" t="inlineStr">
        <is>
          <t>2043-07-31</t>
        </is>
      </c>
      <c r="GX6" s="16" t="inlineStr">
        <is>
          <t>2043-08-31</t>
        </is>
      </c>
      <c r="GY6" s="16" t="inlineStr">
        <is>
          <t>2043-09-30</t>
        </is>
      </c>
      <c r="GZ6" s="16" t="inlineStr">
        <is>
          <t>2043-10-31</t>
        </is>
      </c>
      <c r="HA6" s="16" t="inlineStr">
        <is>
          <t>2043-11-30</t>
        </is>
      </c>
      <c r="HB6" s="16" t="inlineStr">
        <is>
          <t>2043-12-31</t>
        </is>
      </c>
      <c r="HC6" s="16" t="inlineStr">
        <is>
          <t>2044-01-31</t>
        </is>
      </c>
      <c r="HD6" s="16" t="inlineStr">
        <is>
          <t>2044-02-29</t>
        </is>
      </c>
      <c r="HE6" s="16" t="inlineStr">
        <is>
          <t>2044-03-31</t>
        </is>
      </c>
      <c r="HF6" s="16" t="inlineStr">
        <is>
          <t>2044-04-30</t>
        </is>
      </c>
      <c r="HG6" s="16" t="inlineStr">
        <is>
          <t>2044-05-31</t>
        </is>
      </c>
      <c r="HH6" s="16" t="inlineStr">
        <is>
          <t>2044-06-30</t>
        </is>
      </c>
      <c r="HI6" s="16" t="inlineStr">
        <is>
          <t>2044-07-31</t>
        </is>
      </c>
      <c r="HJ6" s="16" t="inlineStr">
        <is>
          <t>2044-08-31</t>
        </is>
      </c>
      <c r="HK6" s="16" t="inlineStr">
        <is>
          <t>2044-09-30</t>
        </is>
      </c>
      <c r="HL6" s="16" t="inlineStr">
        <is>
          <t>2044-10-31</t>
        </is>
      </c>
      <c r="HM6" s="16" t="inlineStr">
        <is>
          <t>2044-11-30</t>
        </is>
      </c>
      <c r="HN6" s="16" t="inlineStr">
        <is>
          <t>2044-12-31</t>
        </is>
      </c>
      <c r="HO6" s="16" t="inlineStr">
        <is>
          <t>2045-01-31</t>
        </is>
      </c>
      <c r="HP6" s="16" t="inlineStr">
        <is>
          <t>2045-02-28</t>
        </is>
      </c>
      <c r="HQ6" s="16" t="inlineStr">
        <is>
          <t>2045-03-31</t>
        </is>
      </c>
      <c r="HR6" s="16" t="inlineStr">
        <is>
          <t>2045-04-30</t>
        </is>
      </c>
      <c r="HS6" s="16" t="inlineStr">
        <is>
          <t>2045-05-31</t>
        </is>
      </c>
      <c r="HT6" s="16" t="inlineStr">
        <is>
          <t>2045-06-30</t>
        </is>
      </c>
      <c r="HU6" s="16" t="inlineStr">
        <is>
          <t>2045-07-31</t>
        </is>
      </c>
      <c r="HV6" s="16" t="inlineStr">
        <is>
          <t>2045-08-31</t>
        </is>
      </c>
      <c r="HW6" s="16" t="inlineStr">
        <is>
          <t>2045-09-30</t>
        </is>
      </c>
      <c r="HX6" s="16" t="inlineStr">
        <is>
          <t>2045-10-31</t>
        </is>
      </c>
      <c r="HY6" s="16" t="inlineStr">
        <is>
          <t>2045-11-30</t>
        </is>
      </c>
      <c r="HZ6" s="16" t="inlineStr">
        <is>
          <t>2045-12-31</t>
        </is>
      </c>
      <c r="IA6" s="16" t="inlineStr">
        <is>
          <t>2046-01-31</t>
        </is>
      </c>
      <c r="IB6" s="16" t="inlineStr">
        <is>
          <t>2046-02-28</t>
        </is>
      </c>
      <c r="IC6" s="16" t="inlineStr">
        <is>
          <t>2046-03-31</t>
        </is>
      </c>
      <c r="ID6" s="16" t="inlineStr">
        <is>
          <t>2046-04-30</t>
        </is>
      </c>
      <c r="IE6" s="16" t="inlineStr">
        <is>
          <t>2046-05-31</t>
        </is>
      </c>
      <c r="IF6" s="16" t="inlineStr">
        <is>
          <t>2046-06-30</t>
        </is>
      </c>
      <c r="IG6" s="16" t="inlineStr">
        <is>
          <t>2046-07-31</t>
        </is>
      </c>
      <c r="IH6" s="16" t="inlineStr">
        <is>
          <t>2046-08-31</t>
        </is>
      </c>
      <c r="II6" s="16" t="inlineStr">
        <is>
          <t>2046-09-30</t>
        </is>
      </c>
      <c r="IJ6" s="16" t="inlineStr">
        <is>
          <t>2046-10-31</t>
        </is>
      </c>
      <c r="IK6" s="16" t="inlineStr">
        <is>
          <t>2046-11-30</t>
        </is>
      </c>
      <c r="IL6" s="16" t="inlineStr">
        <is>
          <t>2046-12-31</t>
        </is>
      </c>
      <c r="IM6" s="16" t="inlineStr">
        <is>
          <t>2047-01-31</t>
        </is>
      </c>
      <c r="IN6" s="16" t="inlineStr">
        <is>
          <t>2047-02-28</t>
        </is>
      </c>
      <c r="IO6" s="16" t="inlineStr">
        <is>
          <t>2047-03-31</t>
        </is>
      </c>
      <c r="IP6" s="16" t="inlineStr">
        <is>
          <t>2047-04-30</t>
        </is>
      </c>
      <c r="IQ6" s="16" t="inlineStr">
        <is>
          <t>2047-05-31</t>
        </is>
      </c>
      <c r="IR6" s="16" t="inlineStr">
        <is>
          <t>2047-06-30</t>
        </is>
      </c>
      <c r="IS6" s="16" t="inlineStr">
        <is>
          <t>2047-07-31</t>
        </is>
      </c>
      <c r="IT6" s="16" t="inlineStr">
        <is>
          <t>2047-08-31</t>
        </is>
      </c>
      <c r="IU6" s="16" t="inlineStr">
        <is>
          <t>2047-09-30</t>
        </is>
      </c>
      <c r="IV6" s="16" t="inlineStr">
        <is>
          <t>2047-10-31</t>
        </is>
      </c>
      <c r="IW6" s="16" t="inlineStr">
        <is>
          <t>2047-11-30</t>
        </is>
      </c>
      <c r="IX6" s="16" t="inlineStr">
        <is>
          <t>2047-12-31</t>
        </is>
      </c>
      <c r="IY6" s="16" t="inlineStr">
        <is>
          <t>2048-01-31</t>
        </is>
      </c>
      <c r="IZ6" s="16" t="inlineStr">
        <is>
          <t>2048-02-29</t>
        </is>
      </c>
      <c r="JA6" s="16" t="inlineStr">
        <is>
          <t>2048-03-31</t>
        </is>
      </c>
      <c r="JB6" s="16" t="inlineStr">
        <is>
          <t>2048-04-30</t>
        </is>
      </c>
      <c r="JC6" s="16" t="inlineStr">
        <is>
          <t>2048-05-31</t>
        </is>
      </c>
      <c r="JD6" s="16" t="inlineStr">
        <is>
          <t>2048-06-30</t>
        </is>
      </c>
      <c r="JE6" s="16" t="inlineStr">
        <is>
          <t>2048-07-31</t>
        </is>
      </c>
      <c r="JF6" s="16" t="inlineStr">
        <is>
          <t>2048-08-31</t>
        </is>
      </c>
      <c r="JG6" s="16" t="inlineStr">
        <is>
          <t>2048-09-30</t>
        </is>
      </c>
      <c r="JH6" s="16" t="inlineStr">
        <is>
          <t>2048-10-31</t>
        </is>
      </c>
      <c r="JI6" s="16" t="inlineStr">
        <is>
          <t>2048-11-30</t>
        </is>
      </c>
      <c r="JJ6" s="16" t="inlineStr">
        <is>
          <t>2048-12-31</t>
        </is>
      </c>
      <c r="JK6" s="16" t="inlineStr">
        <is>
          <t>2049-01-31</t>
        </is>
      </c>
      <c r="JL6" s="16" t="inlineStr">
        <is>
          <t>2049-02-28</t>
        </is>
      </c>
      <c r="JM6" s="16" t="inlineStr">
        <is>
          <t>2049-03-31</t>
        </is>
      </c>
      <c r="JN6" s="16" t="inlineStr">
        <is>
          <t>2049-04-30</t>
        </is>
      </c>
      <c r="JO6" s="16" t="inlineStr">
        <is>
          <t>2049-05-31</t>
        </is>
      </c>
      <c r="JP6" s="16" t="inlineStr">
        <is>
          <t>2049-06-30</t>
        </is>
      </c>
      <c r="JQ6" s="16" t="inlineStr">
        <is>
          <t>2049-07-31</t>
        </is>
      </c>
      <c r="JR6" s="16" t="inlineStr">
        <is>
          <t>2049-08-31</t>
        </is>
      </c>
      <c r="JS6" s="16" t="inlineStr">
        <is>
          <t>2049-09-30</t>
        </is>
      </c>
      <c r="JT6" s="16" t="inlineStr">
        <is>
          <t>2049-10-31</t>
        </is>
      </c>
      <c r="JU6" s="16" t="inlineStr">
        <is>
          <t>2049-11-30</t>
        </is>
      </c>
      <c r="JV6" s="16" t="inlineStr">
        <is>
          <t>2049-12-31</t>
        </is>
      </c>
      <c r="JW6" s="16" t="inlineStr">
        <is>
          <t>2050-01-31</t>
        </is>
      </c>
      <c r="JX6" s="16" t="inlineStr">
        <is>
          <t>2050-02-28</t>
        </is>
      </c>
      <c r="JY6" s="16" t="inlineStr">
        <is>
          <t>2050-03-31</t>
        </is>
      </c>
      <c r="JZ6" s="16" t="inlineStr">
        <is>
          <t>2050-04-30</t>
        </is>
      </c>
      <c r="KA6" s="16" t="inlineStr">
        <is>
          <t>2050-05-31</t>
        </is>
      </c>
      <c r="KB6" s="16" t="inlineStr">
        <is>
          <t>2050-06-30</t>
        </is>
      </c>
      <c r="KC6" s="16" t="inlineStr">
        <is>
          <t>2050-07-31</t>
        </is>
      </c>
      <c r="KD6" s="16" t="inlineStr">
        <is>
          <t>2050-08-31</t>
        </is>
      </c>
      <c r="KE6" s="16" t="inlineStr">
        <is>
          <t>2050-09-30</t>
        </is>
      </c>
      <c r="KF6" s="16" t="inlineStr">
        <is>
          <t>2050-10-31</t>
        </is>
      </c>
      <c r="KG6" s="16" t="inlineStr">
        <is>
          <t>2050-11-30</t>
        </is>
      </c>
      <c r="KH6" s="16" t="inlineStr">
        <is>
          <t>2050-12-31</t>
        </is>
      </c>
      <c r="KI6" s="16" t="inlineStr">
        <is>
          <t>2051-01-31</t>
        </is>
      </c>
      <c r="KJ6" s="16" t="inlineStr">
        <is>
          <t>2051-02-28</t>
        </is>
      </c>
      <c r="KK6" s="16" t="inlineStr">
        <is>
          <t>2051-03-31</t>
        </is>
      </c>
      <c r="KL6" s="16" t="inlineStr">
        <is>
          <t>2051-04-30</t>
        </is>
      </c>
      <c r="KM6" s="16" t="inlineStr">
        <is>
          <t>2051-05-31</t>
        </is>
      </c>
      <c r="KN6" s="16" t="inlineStr">
        <is>
          <t>2051-06-30</t>
        </is>
      </c>
      <c r="KO6" s="16" t="inlineStr">
        <is>
          <t>2051-07-31</t>
        </is>
      </c>
      <c r="KP6" s="16" t="inlineStr">
        <is>
          <t>2051-08-31</t>
        </is>
      </c>
      <c r="KQ6" s="16" t="inlineStr">
        <is>
          <t>2051-09-30</t>
        </is>
      </c>
      <c r="KR6" s="16" t="inlineStr">
        <is>
          <t>2051-10-31</t>
        </is>
      </c>
      <c r="KS6" s="16" t="inlineStr">
        <is>
          <t>2051-11-30</t>
        </is>
      </c>
      <c r="KT6" s="16" t="inlineStr">
        <is>
          <t>2051-12-31</t>
        </is>
      </c>
      <c r="KU6" s="16" t="inlineStr">
        <is>
          <t>2052-01-31</t>
        </is>
      </c>
      <c r="KV6" s="16" t="inlineStr">
        <is>
          <t>2052-02-29</t>
        </is>
      </c>
      <c r="KW6" s="16" t="inlineStr">
        <is>
          <t>2052-03-31</t>
        </is>
      </c>
      <c r="KX6" s="16" t="inlineStr">
        <is>
          <t>2052-04-30</t>
        </is>
      </c>
      <c r="KY6" s="16" t="inlineStr">
        <is>
          <t>2052-05-31</t>
        </is>
      </c>
      <c r="KZ6" s="16" t="inlineStr">
        <is>
          <t>2052-06-30</t>
        </is>
      </c>
      <c r="LA6" s="16" t="inlineStr">
        <is>
          <t>2052-07-31</t>
        </is>
      </c>
      <c r="LB6" s="16" t="inlineStr">
        <is>
          <t>2052-08-31</t>
        </is>
      </c>
      <c r="LC6" s="16" t="inlineStr">
        <is>
          <t>2052-09-30</t>
        </is>
      </c>
    </row>
    <row r="7">
      <c r="B7" s="21" t="inlineStr">
        <is>
          <t>Tasa implicita mensual</t>
        </is>
      </c>
      <c r="C7" s="23" t="inlineStr">
        <is>
          <t>TIR del activo</t>
        </is>
      </c>
      <c r="D7" s="24" t="n">
        <v>0.008669496654035824</v>
      </c>
    </row>
    <row r="8">
      <c r="B8" s="17" t="inlineStr">
        <is>
          <t>Flag de devengo del PPDI</t>
        </is>
      </c>
      <c r="D8" s="18" t="n">
        <v>0</v>
      </c>
      <c r="E8" s="18" t="n">
        <v>0</v>
      </c>
      <c r="F8" s="18" t="n">
        <v>0</v>
      </c>
      <c r="G8" s="18" t="n">
        <v>0</v>
      </c>
      <c r="H8" s="18" t="n">
        <v>0</v>
      </c>
      <c r="I8" s="18" t="n">
        <v>0</v>
      </c>
      <c r="J8" s="18" t="n">
        <v>0</v>
      </c>
      <c r="K8" s="18" t="n">
        <v>0</v>
      </c>
      <c r="L8" s="18" t="n">
        <v>0</v>
      </c>
      <c r="M8" s="18" t="n">
        <v>0</v>
      </c>
      <c r="N8" s="18" t="n">
        <v>0</v>
      </c>
      <c r="O8" s="18" t="n">
        <v>0</v>
      </c>
      <c r="P8" s="18" t="n">
        <v>0</v>
      </c>
      <c r="Q8" s="18" t="n">
        <v>0</v>
      </c>
      <c r="R8" s="18" t="n">
        <v>0</v>
      </c>
      <c r="S8" s="18" t="n">
        <v>0</v>
      </c>
      <c r="T8" s="18" t="n">
        <v>0</v>
      </c>
      <c r="U8" s="18" t="n">
        <v>0</v>
      </c>
      <c r="V8" s="18" t="n">
        <v>0</v>
      </c>
      <c r="W8" s="18" t="n">
        <v>0</v>
      </c>
      <c r="X8" s="18" t="n">
        <v>0</v>
      </c>
      <c r="Y8" s="18" t="n">
        <v>0</v>
      </c>
      <c r="Z8" s="18" t="n">
        <v>0</v>
      </c>
      <c r="AA8" s="18" t="n">
        <v>0</v>
      </c>
      <c r="AB8" s="18" t="n">
        <v>0</v>
      </c>
      <c r="AC8" s="18" t="n">
        <v>0</v>
      </c>
      <c r="AD8" s="18" t="n">
        <v>0</v>
      </c>
      <c r="AE8" s="18" t="n">
        <v>0</v>
      </c>
      <c r="AF8" s="18" t="n">
        <v>0</v>
      </c>
      <c r="AG8" s="18" t="n">
        <v>0</v>
      </c>
      <c r="AH8" s="18" t="n">
        <v>0</v>
      </c>
      <c r="AI8" s="18" t="n">
        <v>0</v>
      </c>
      <c r="AJ8" s="18" t="n">
        <v>0</v>
      </c>
      <c r="AK8" s="18" t="n">
        <v>0</v>
      </c>
      <c r="AL8" s="18" t="n">
        <v>0</v>
      </c>
      <c r="AM8" s="18" t="n">
        <v>0</v>
      </c>
      <c r="AN8" s="18" t="n">
        <v>0</v>
      </c>
      <c r="AO8" s="18" t="n">
        <v>0</v>
      </c>
      <c r="AP8" s="18" t="n">
        <v>0</v>
      </c>
      <c r="AQ8" s="18" t="n">
        <v>0</v>
      </c>
      <c r="AR8" s="18" t="n">
        <v>0</v>
      </c>
      <c r="AS8" s="18" t="n">
        <v>0</v>
      </c>
      <c r="AT8" s="18" t="n">
        <v>0</v>
      </c>
      <c r="AU8" s="18" t="n">
        <v>0</v>
      </c>
      <c r="AV8" s="18" t="n">
        <v>0</v>
      </c>
      <c r="AW8" s="18" t="n">
        <v>0</v>
      </c>
      <c r="AX8" s="18" t="n">
        <v>0</v>
      </c>
      <c r="AY8" s="18" t="n">
        <v>0</v>
      </c>
      <c r="AZ8" s="18" t="n">
        <v>1</v>
      </c>
      <c r="BA8" s="18" t="n">
        <v>1</v>
      </c>
      <c r="BB8" s="18" t="n">
        <v>1</v>
      </c>
      <c r="BC8" s="18" t="n">
        <v>1</v>
      </c>
      <c r="BD8" s="18" t="n">
        <v>1</v>
      </c>
      <c r="BE8" s="18" t="n">
        <v>1</v>
      </c>
      <c r="BF8" s="18" t="n">
        <v>1</v>
      </c>
      <c r="BG8" s="18" t="n">
        <v>1</v>
      </c>
      <c r="BH8" s="18" t="n">
        <v>1</v>
      </c>
      <c r="BI8" s="18" t="n">
        <v>1</v>
      </c>
      <c r="BJ8" s="18" t="n">
        <v>1</v>
      </c>
      <c r="BK8" s="18" t="n">
        <v>1</v>
      </c>
      <c r="BL8" s="18" t="n">
        <v>1</v>
      </c>
      <c r="BM8" s="18" t="n">
        <v>1</v>
      </c>
      <c r="BN8" s="18" t="n">
        <v>1</v>
      </c>
      <c r="BO8" s="18" t="n">
        <v>1</v>
      </c>
      <c r="BP8" s="18" t="n">
        <v>1</v>
      </c>
      <c r="BQ8" s="18" t="n">
        <v>1</v>
      </c>
      <c r="BR8" s="18" t="n">
        <v>1</v>
      </c>
      <c r="BS8" s="18" t="n">
        <v>1</v>
      </c>
      <c r="BT8" s="18" t="n">
        <v>1</v>
      </c>
      <c r="BU8" s="18" t="n">
        <v>1</v>
      </c>
      <c r="BV8" s="18" t="n">
        <v>1</v>
      </c>
      <c r="BW8" s="18" t="n">
        <v>1</v>
      </c>
      <c r="BX8" s="18" t="n">
        <v>1</v>
      </c>
      <c r="BY8" s="18" t="n">
        <v>1</v>
      </c>
      <c r="BZ8" s="18" t="n">
        <v>1</v>
      </c>
      <c r="CA8" s="18" t="n">
        <v>1</v>
      </c>
      <c r="CB8" s="18" t="n">
        <v>1</v>
      </c>
      <c r="CC8" s="18" t="n">
        <v>1</v>
      </c>
      <c r="CD8" s="18" t="n">
        <v>1</v>
      </c>
      <c r="CE8" s="18" t="n">
        <v>1</v>
      </c>
      <c r="CF8" s="18" t="n">
        <v>1</v>
      </c>
      <c r="CG8" s="18" t="n">
        <v>1</v>
      </c>
      <c r="CH8" s="18" t="n">
        <v>1</v>
      </c>
      <c r="CI8" s="18" t="n">
        <v>1</v>
      </c>
      <c r="CJ8" s="18" t="n">
        <v>1</v>
      </c>
      <c r="CK8" s="18" t="n">
        <v>1</v>
      </c>
      <c r="CL8" s="18" t="n">
        <v>1</v>
      </c>
      <c r="CM8" s="18" t="n">
        <v>1</v>
      </c>
      <c r="CN8" s="18" t="n">
        <v>1</v>
      </c>
      <c r="CO8" s="18" t="n">
        <v>1</v>
      </c>
      <c r="CP8" s="18" t="n">
        <v>1</v>
      </c>
      <c r="CQ8" s="18" t="n">
        <v>1</v>
      </c>
      <c r="CR8" s="18" t="n">
        <v>1</v>
      </c>
      <c r="CS8" s="18" t="n">
        <v>1</v>
      </c>
      <c r="CT8" s="18" t="n">
        <v>1</v>
      </c>
      <c r="CU8" s="18" t="n">
        <v>1</v>
      </c>
      <c r="CV8" s="18" t="n">
        <v>1</v>
      </c>
      <c r="CW8" s="18" t="n">
        <v>1</v>
      </c>
      <c r="CX8" s="18" t="n">
        <v>1</v>
      </c>
      <c r="CY8" s="18" t="n">
        <v>1</v>
      </c>
      <c r="CZ8" s="18" t="n">
        <v>1</v>
      </c>
      <c r="DA8" s="18" t="n">
        <v>1</v>
      </c>
      <c r="DB8" s="18" t="n">
        <v>1</v>
      </c>
      <c r="DC8" s="18" t="n">
        <v>1</v>
      </c>
      <c r="DD8" s="18" t="n">
        <v>1</v>
      </c>
      <c r="DE8" s="18" t="n">
        <v>1</v>
      </c>
      <c r="DF8" s="18" t="n">
        <v>1</v>
      </c>
      <c r="DG8" s="18" t="n">
        <v>1</v>
      </c>
      <c r="DH8" s="18" t="n">
        <v>1</v>
      </c>
      <c r="DI8" s="18" t="n">
        <v>1</v>
      </c>
      <c r="DJ8" s="18" t="n">
        <v>1</v>
      </c>
      <c r="DK8" s="18" t="n">
        <v>1</v>
      </c>
      <c r="DL8" s="18" t="n">
        <v>1</v>
      </c>
      <c r="DM8" s="18" t="n">
        <v>1</v>
      </c>
      <c r="DN8" s="18" t="n">
        <v>1</v>
      </c>
      <c r="DO8" s="18" t="n">
        <v>1</v>
      </c>
      <c r="DP8" s="18" t="n">
        <v>1</v>
      </c>
      <c r="DQ8" s="18" t="n">
        <v>1</v>
      </c>
      <c r="DR8" s="18" t="n">
        <v>1</v>
      </c>
      <c r="DS8" s="18" t="n">
        <v>1</v>
      </c>
      <c r="DT8" s="18" t="n">
        <v>1</v>
      </c>
      <c r="DU8" s="18" t="n">
        <v>1</v>
      </c>
      <c r="DV8" s="18" t="n">
        <v>1</v>
      </c>
      <c r="DW8" s="18" t="n">
        <v>1</v>
      </c>
      <c r="DX8" s="18" t="n">
        <v>1</v>
      </c>
      <c r="DY8" s="18" t="n">
        <v>1</v>
      </c>
      <c r="DZ8" s="18" t="n">
        <v>1</v>
      </c>
      <c r="EA8" s="18" t="n">
        <v>1</v>
      </c>
      <c r="EB8" s="18" t="n">
        <v>1</v>
      </c>
      <c r="EC8" s="18" t="n">
        <v>1</v>
      </c>
      <c r="ED8" s="18" t="n">
        <v>1</v>
      </c>
      <c r="EE8" s="18" t="n">
        <v>1</v>
      </c>
      <c r="EF8" s="18" t="n">
        <v>1</v>
      </c>
      <c r="EG8" s="18" t="n">
        <v>1</v>
      </c>
      <c r="EH8" s="18" t="n">
        <v>1</v>
      </c>
      <c r="EI8" s="18" t="n">
        <v>1</v>
      </c>
      <c r="EJ8" s="18" t="n">
        <v>1</v>
      </c>
      <c r="EK8" s="18" t="n">
        <v>1</v>
      </c>
      <c r="EL8" s="18" t="n">
        <v>1</v>
      </c>
      <c r="EM8" s="18" t="n">
        <v>1</v>
      </c>
      <c r="EN8" s="18" t="n">
        <v>1</v>
      </c>
      <c r="EO8" s="18" t="n">
        <v>1</v>
      </c>
      <c r="EP8" s="18" t="n">
        <v>1</v>
      </c>
      <c r="EQ8" s="18" t="n">
        <v>1</v>
      </c>
      <c r="ER8" s="18" t="n">
        <v>1</v>
      </c>
      <c r="ES8" s="18" t="n">
        <v>1</v>
      </c>
      <c r="ET8" s="18" t="n">
        <v>1</v>
      </c>
      <c r="EU8" s="18" t="n">
        <v>1</v>
      </c>
      <c r="EV8" s="18" t="n">
        <v>1</v>
      </c>
      <c r="EW8" s="18" t="n">
        <v>1</v>
      </c>
      <c r="EX8" s="18" t="n">
        <v>1</v>
      </c>
      <c r="EY8" s="18" t="n">
        <v>1</v>
      </c>
      <c r="EZ8" s="18" t="n">
        <v>1</v>
      </c>
      <c r="FA8" s="18" t="n">
        <v>1</v>
      </c>
      <c r="FB8" s="18" t="n">
        <v>1</v>
      </c>
      <c r="FC8" s="18" t="n">
        <v>1</v>
      </c>
      <c r="FD8" s="18" t="n">
        <v>1</v>
      </c>
      <c r="FE8" s="18" t="n">
        <v>1</v>
      </c>
      <c r="FF8" s="18" t="n">
        <v>1</v>
      </c>
      <c r="FG8" s="18" t="n">
        <v>1</v>
      </c>
      <c r="FH8" s="18" t="n">
        <v>1</v>
      </c>
      <c r="FI8" s="18" t="n">
        <v>1</v>
      </c>
      <c r="FJ8" s="18" t="n">
        <v>1</v>
      </c>
      <c r="FK8" s="18" t="n">
        <v>1</v>
      </c>
      <c r="FL8" s="18" t="n">
        <v>1</v>
      </c>
      <c r="FM8" s="18" t="n">
        <v>1</v>
      </c>
      <c r="FN8" s="18" t="n">
        <v>1</v>
      </c>
      <c r="FO8" s="18" t="n">
        <v>1</v>
      </c>
      <c r="FP8" s="18" t="n">
        <v>1</v>
      </c>
      <c r="FQ8" s="18" t="n">
        <v>1</v>
      </c>
      <c r="FR8" s="18" t="n">
        <v>1</v>
      </c>
      <c r="FS8" s="18" t="n">
        <v>1</v>
      </c>
      <c r="FT8" s="18" t="n">
        <v>1</v>
      </c>
      <c r="FU8" s="18" t="n">
        <v>1</v>
      </c>
      <c r="FV8" s="18" t="n">
        <v>1</v>
      </c>
      <c r="FW8" s="18" t="n">
        <v>1</v>
      </c>
      <c r="FX8" s="18" t="n">
        <v>1</v>
      </c>
      <c r="FY8" s="18" t="n">
        <v>1</v>
      </c>
      <c r="FZ8" s="18" t="n">
        <v>1</v>
      </c>
      <c r="GA8" s="18" t="n">
        <v>1</v>
      </c>
      <c r="GB8" s="18" t="n">
        <v>1</v>
      </c>
      <c r="GC8" s="18" t="n">
        <v>1</v>
      </c>
      <c r="GD8" s="18" t="n">
        <v>1</v>
      </c>
      <c r="GE8" s="18" t="n">
        <v>1</v>
      </c>
      <c r="GF8" s="18" t="n">
        <v>1</v>
      </c>
      <c r="GG8" s="18" t="n">
        <v>1</v>
      </c>
      <c r="GH8" s="18" t="n">
        <v>1</v>
      </c>
      <c r="GI8" s="18" t="n">
        <v>1</v>
      </c>
      <c r="GJ8" s="18" t="n">
        <v>1</v>
      </c>
      <c r="GK8" s="18" t="n">
        <v>1</v>
      </c>
      <c r="GL8" s="18" t="n">
        <v>1</v>
      </c>
      <c r="GM8" s="18" t="n">
        <v>1</v>
      </c>
      <c r="GN8" s="18" t="n">
        <v>1</v>
      </c>
      <c r="GO8" s="18" t="n">
        <v>1</v>
      </c>
      <c r="GP8" s="18" t="n">
        <v>1</v>
      </c>
      <c r="GQ8" s="18" t="n">
        <v>1</v>
      </c>
      <c r="GR8" s="18" t="n">
        <v>1</v>
      </c>
      <c r="GS8" s="18" t="n">
        <v>1</v>
      </c>
      <c r="GT8" s="18" t="n">
        <v>1</v>
      </c>
      <c r="GU8" s="18" t="n">
        <v>1</v>
      </c>
      <c r="GV8" s="18" t="n">
        <v>1</v>
      </c>
      <c r="GW8" s="18" t="n">
        <v>1</v>
      </c>
      <c r="GX8" s="18" t="n">
        <v>1</v>
      </c>
      <c r="GY8" s="18" t="n">
        <v>1</v>
      </c>
      <c r="GZ8" s="18" t="n">
        <v>1</v>
      </c>
      <c r="HA8" s="18" t="n">
        <v>1</v>
      </c>
      <c r="HB8" s="18" t="n">
        <v>1</v>
      </c>
      <c r="HC8" s="18" t="n">
        <v>1</v>
      </c>
      <c r="HD8" s="18" t="n">
        <v>1</v>
      </c>
      <c r="HE8" s="18" t="n">
        <v>1</v>
      </c>
      <c r="HF8" s="18" t="n">
        <v>1</v>
      </c>
      <c r="HG8" s="18" t="n">
        <v>1</v>
      </c>
      <c r="HH8" s="18" t="n">
        <v>1</v>
      </c>
      <c r="HI8" s="18" t="n">
        <v>1</v>
      </c>
      <c r="HJ8" s="18" t="n">
        <v>1</v>
      </c>
      <c r="HK8" s="18" t="n">
        <v>1</v>
      </c>
      <c r="HL8" s="18" t="n">
        <v>1</v>
      </c>
      <c r="HM8" s="18" t="n">
        <v>1</v>
      </c>
      <c r="HN8" s="18" t="n">
        <v>1</v>
      </c>
      <c r="HO8" s="18" t="n">
        <v>1</v>
      </c>
      <c r="HP8" s="18" t="n">
        <v>1</v>
      </c>
      <c r="HQ8" s="18" t="n">
        <v>1</v>
      </c>
      <c r="HR8" s="18" t="n">
        <v>1</v>
      </c>
      <c r="HS8" s="18" t="n">
        <v>1</v>
      </c>
      <c r="HT8" s="18" t="n">
        <v>1</v>
      </c>
      <c r="HU8" s="18" t="n">
        <v>1</v>
      </c>
      <c r="HV8" s="18" t="n">
        <v>1</v>
      </c>
      <c r="HW8" s="18" t="n">
        <v>1</v>
      </c>
      <c r="HX8" s="18" t="n">
        <v>0</v>
      </c>
      <c r="HY8" s="18" t="n">
        <v>0</v>
      </c>
      <c r="HZ8" s="18" t="n">
        <v>0</v>
      </c>
      <c r="IA8" s="18" t="n">
        <v>0</v>
      </c>
      <c r="IB8" s="18" t="n">
        <v>0</v>
      </c>
      <c r="IC8" s="18" t="n">
        <v>0</v>
      </c>
      <c r="ID8" s="18" t="n">
        <v>0</v>
      </c>
      <c r="IE8" s="18" t="n">
        <v>0</v>
      </c>
      <c r="IF8" s="18" t="n">
        <v>0</v>
      </c>
      <c r="IG8" s="18" t="n">
        <v>0</v>
      </c>
      <c r="IH8" s="18" t="n">
        <v>0</v>
      </c>
      <c r="II8" s="18" t="n">
        <v>0</v>
      </c>
      <c r="IJ8" s="18" t="n">
        <v>0</v>
      </c>
      <c r="IK8" s="18" t="n">
        <v>0</v>
      </c>
      <c r="IL8" s="18" t="n">
        <v>0</v>
      </c>
      <c r="IM8" s="18" t="n">
        <v>0</v>
      </c>
      <c r="IN8" s="18" t="n">
        <v>0</v>
      </c>
      <c r="IO8" s="18" t="n">
        <v>0</v>
      </c>
      <c r="IP8" s="18" t="n">
        <v>0</v>
      </c>
      <c r="IQ8" s="18" t="n">
        <v>0</v>
      </c>
      <c r="IR8" s="18" t="n">
        <v>0</v>
      </c>
      <c r="IS8" s="18" t="n">
        <v>0</v>
      </c>
      <c r="IT8" s="18" t="n">
        <v>0</v>
      </c>
      <c r="IU8" s="18" t="n">
        <v>0</v>
      </c>
      <c r="IV8" s="18" t="n">
        <v>0</v>
      </c>
      <c r="IW8" s="18" t="n">
        <v>0</v>
      </c>
      <c r="IX8" s="18" t="n">
        <v>0</v>
      </c>
      <c r="IY8" s="18" t="n">
        <v>0</v>
      </c>
      <c r="IZ8" s="18" t="n">
        <v>0</v>
      </c>
      <c r="JA8" s="18" t="n">
        <v>0</v>
      </c>
      <c r="JB8" s="18" t="n">
        <v>0</v>
      </c>
      <c r="JC8" s="18" t="n">
        <v>0</v>
      </c>
      <c r="JD8" s="18" t="n">
        <v>0</v>
      </c>
      <c r="JE8" s="18" t="n">
        <v>0</v>
      </c>
      <c r="JF8" s="18" t="n">
        <v>0</v>
      </c>
      <c r="JG8" s="18" t="n">
        <v>0</v>
      </c>
      <c r="JH8" s="18" t="n">
        <v>0</v>
      </c>
      <c r="JI8" s="18" t="n">
        <v>0</v>
      </c>
      <c r="JJ8" s="18" t="n">
        <v>0</v>
      </c>
      <c r="JK8" s="18" t="n">
        <v>0</v>
      </c>
      <c r="JL8" s="18" t="n">
        <v>0</v>
      </c>
      <c r="JM8" s="18" t="n">
        <v>0</v>
      </c>
      <c r="JN8" s="18" t="n">
        <v>0</v>
      </c>
      <c r="JO8" s="18" t="n">
        <v>0</v>
      </c>
      <c r="JP8" s="18" t="n">
        <v>0</v>
      </c>
      <c r="JQ8" s="18" t="n">
        <v>0</v>
      </c>
      <c r="JR8" s="18" t="n">
        <v>0</v>
      </c>
      <c r="JS8" s="18" t="n">
        <v>0</v>
      </c>
      <c r="JT8" s="18" t="n">
        <v>0</v>
      </c>
      <c r="JU8" s="18" t="n">
        <v>0</v>
      </c>
      <c r="JV8" s="18" t="n">
        <v>0</v>
      </c>
      <c r="JW8" s="18" t="n">
        <v>0</v>
      </c>
      <c r="JX8" s="18" t="n">
        <v>0</v>
      </c>
      <c r="JY8" s="18" t="n">
        <v>0</v>
      </c>
      <c r="JZ8" s="18" t="n">
        <v>0</v>
      </c>
      <c r="KA8" s="18" t="n">
        <v>0</v>
      </c>
      <c r="KB8" s="18" t="n">
        <v>0</v>
      </c>
      <c r="KC8" s="18" t="n">
        <v>0</v>
      </c>
      <c r="KD8" s="18" t="n">
        <v>0</v>
      </c>
      <c r="KE8" s="18" t="n">
        <v>0</v>
      </c>
      <c r="KF8" s="18" t="n">
        <v>0</v>
      </c>
      <c r="KG8" s="18" t="n">
        <v>0</v>
      </c>
      <c r="KH8" s="18" t="n">
        <v>0</v>
      </c>
      <c r="KI8" s="18" t="n">
        <v>0</v>
      </c>
      <c r="KJ8" s="18" t="n">
        <v>0</v>
      </c>
      <c r="KK8" s="18" t="n">
        <v>0</v>
      </c>
      <c r="KL8" s="18" t="n">
        <v>0</v>
      </c>
      <c r="KM8" s="18" t="n">
        <v>0</v>
      </c>
      <c r="KN8" s="18" t="n">
        <v>0</v>
      </c>
      <c r="KO8" s="18" t="n">
        <v>0</v>
      </c>
      <c r="KP8" s="18" t="n">
        <v>0</v>
      </c>
      <c r="KQ8" s="18" t="n">
        <v>0</v>
      </c>
      <c r="KR8" s="18" t="n">
        <v>0</v>
      </c>
      <c r="KS8" s="18" t="n">
        <v>0</v>
      </c>
      <c r="KT8" s="18" t="n">
        <v>0</v>
      </c>
      <c r="KU8" s="18" t="n">
        <v>0</v>
      </c>
      <c r="KV8" s="18" t="n">
        <v>0</v>
      </c>
      <c r="KW8" s="18" t="n">
        <v>0</v>
      </c>
      <c r="KX8" s="18" t="n">
        <v>0</v>
      </c>
      <c r="KY8" s="18" t="n">
        <v>0</v>
      </c>
      <c r="KZ8" s="18" t="n">
        <v>0</v>
      </c>
      <c r="LA8" s="18" t="n">
        <v>0</v>
      </c>
      <c r="LB8" s="18" t="n">
        <v>0</v>
      </c>
      <c r="LC8" s="18" t="n">
        <v>0</v>
      </c>
    </row>
    <row r="9">
      <c r="B9" s="17" t="inlineStr">
        <is>
          <t>Flag de cobro (cierre de trimestre)</t>
        </is>
      </c>
      <c r="D9" s="18" t="n">
        <v>0</v>
      </c>
      <c r="E9" s="18" t="n">
        <v>0</v>
      </c>
      <c r="F9" s="18" t="n">
        <v>0</v>
      </c>
      <c r="G9" s="18" t="n">
        <v>0</v>
      </c>
      <c r="H9" s="18" t="n">
        <v>0</v>
      </c>
      <c r="I9" s="18" t="n">
        <v>0</v>
      </c>
      <c r="J9" s="18" t="n">
        <v>0</v>
      </c>
      <c r="K9" s="18" t="n">
        <v>0</v>
      </c>
      <c r="L9" s="18" t="n">
        <v>0</v>
      </c>
      <c r="M9" s="18" t="n">
        <v>0</v>
      </c>
      <c r="N9" s="18" t="n">
        <v>0</v>
      </c>
      <c r="O9" s="18" t="n">
        <v>0</v>
      </c>
      <c r="P9" s="18" t="n">
        <v>0</v>
      </c>
      <c r="Q9" s="18" t="n">
        <v>0</v>
      </c>
      <c r="R9" s="18" t="n">
        <v>0</v>
      </c>
      <c r="S9" s="18" t="n">
        <v>0</v>
      </c>
      <c r="T9" s="18" t="n">
        <v>0</v>
      </c>
      <c r="U9" s="18" t="n">
        <v>0</v>
      </c>
      <c r="V9" s="18" t="n">
        <v>0</v>
      </c>
      <c r="W9" s="18" t="n">
        <v>0</v>
      </c>
      <c r="X9" s="18" t="n">
        <v>0</v>
      </c>
      <c r="Y9" s="18" t="n">
        <v>0</v>
      </c>
      <c r="Z9" s="18" t="n">
        <v>0</v>
      </c>
      <c r="AA9" s="18" t="n">
        <v>0</v>
      </c>
      <c r="AB9" s="18" t="n">
        <v>0</v>
      </c>
      <c r="AC9" s="18" t="n">
        <v>0</v>
      </c>
      <c r="AD9" s="18" t="n">
        <v>0</v>
      </c>
      <c r="AE9" s="18" t="n">
        <v>0</v>
      </c>
      <c r="AF9" s="18" t="n">
        <v>0</v>
      </c>
      <c r="AG9" s="18" t="n">
        <v>0</v>
      </c>
      <c r="AH9" s="18" t="n">
        <v>0</v>
      </c>
      <c r="AI9" s="18" t="n">
        <v>0</v>
      </c>
      <c r="AJ9" s="18" t="n">
        <v>0</v>
      </c>
      <c r="AK9" s="18" t="n">
        <v>0</v>
      </c>
      <c r="AL9" s="18" t="n">
        <v>0</v>
      </c>
      <c r="AM9" s="18" t="n">
        <v>0</v>
      </c>
      <c r="AN9" s="18" t="n">
        <v>0</v>
      </c>
      <c r="AO9" s="18" t="n">
        <v>0</v>
      </c>
      <c r="AP9" s="18" t="n">
        <v>0</v>
      </c>
      <c r="AQ9" s="18" t="n">
        <v>0</v>
      </c>
      <c r="AR9" s="18" t="n">
        <v>0</v>
      </c>
      <c r="AS9" s="18" t="n">
        <v>0</v>
      </c>
      <c r="AT9" s="18" t="n">
        <v>0</v>
      </c>
      <c r="AU9" s="18" t="n">
        <v>0</v>
      </c>
      <c r="AV9" s="18" t="n">
        <v>0</v>
      </c>
      <c r="AW9" s="18" t="n">
        <v>0</v>
      </c>
      <c r="AX9" s="18" t="n">
        <v>0</v>
      </c>
      <c r="AY9" s="18" t="n">
        <v>0</v>
      </c>
      <c r="AZ9" s="18" t="n">
        <v>0</v>
      </c>
      <c r="BA9" s="18" t="n">
        <v>0</v>
      </c>
      <c r="BB9" s="18" t="n">
        <v>1</v>
      </c>
      <c r="BC9" s="18" t="n">
        <v>0</v>
      </c>
      <c r="BD9" s="18" t="n">
        <v>0</v>
      </c>
      <c r="BE9" s="18" t="n">
        <v>1</v>
      </c>
      <c r="BF9" s="18" t="n">
        <v>0</v>
      </c>
      <c r="BG9" s="18" t="n">
        <v>0</v>
      </c>
      <c r="BH9" s="18" t="n">
        <v>1</v>
      </c>
      <c r="BI9" s="18" t="n">
        <v>0</v>
      </c>
      <c r="BJ9" s="18" t="n">
        <v>0</v>
      </c>
      <c r="BK9" s="18" t="n">
        <v>1</v>
      </c>
      <c r="BL9" s="18" t="n">
        <v>0</v>
      </c>
      <c r="BM9" s="18" t="n">
        <v>0</v>
      </c>
      <c r="BN9" s="18" t="n">
        <v>1</v>
      </c>
      <c r="BO9" s="18" t="n">
        <v>0</v>
      </c>
      <c r="BP9" s="18" t="n">
        <v>0</v>
      </c>
      <c r="BQ9" s="18" t="n">
        <v>1</v>
      </c>
      <c r="BR9" s="18" t="n">
        <v>0</v>
      </c>
      <c r="BS9" s="18" t="n">
        <v>0</v>
      </c>
      <c r="BT9" s="18" t="n">
        <v>1</v>
      </c>
      <c r="BU9" s="18" t="n">
        <v>0</v>
      </c>
      <c r="BV9" s="18" t="n">
        <v>0</v>
      </c>
      <c r="BW9" s="18" t="n">
        <v>1</v>
      </c>
      <c r="BX9" s="18" t="n">
        <v>0</v>
      </c>
      <c r="BY9" s="18" t="n">
        <v>0</v>
      </c>
      <c r="BZ9" s="18" t="n">
        <v>1</v>
      </c>
      <c r="CA9" s="18" t="n">
        <v>0</v>
      </c>
      <c r="CB9" s="18" t="n">
        <v>0</v>
      </c>
      <c r="CC9" s="18" t="n">
        <v>1</v>
      </c>
      <c r="CD9" s="18" t="n">
        <v>0</v>
      </c>
      <c r="CE9" s="18" t="n">
        <v>0</v>
      </c>
      <c r="CF9" s="18" t="n">
        <v>1</v>
      </c>
      <c r="CG9" s="18" t="n">
        <v>0</v>
      </c>
      <c r="CH9" s="18" t="n">
        <v>0</v>
      </c>
      <c r="CI9" s="18" t="n">
        <v>1</v>
      </c>
      <c r="CJ9" s="18" t="n">
        <v>0</v>
      </c>
      <c r="CK9" s="18" t="n">
        <v>0</v>
      </c>
      <c r="CL9" s="18" t="n">
        <v>1</v>
      </c>
      <c r="CM9" s="18" t="n">
        <v>0</v>
      </c>
      <c r="CN9" s="18" t="n">
        <v>0</v>
      </c>
      <c r="CO9" s="18" t="n">
        <v>1</v>
      </c>
      <c r="CP9" s="18" t="n">
        <v>0</v>
      </c>
      <c r="CQ9" s="18" t="n">
        <v>0</v>
      </c>
      <c r="CR9" s="18" t="n">
        <v>1</v>
      </c>
      <c r="CS9" s="18" t="n">
        <v>0</v>
      </c>
      <c r="CT9" s="18" t="n">
        <v>0</v>
      </c>
      <c r="CU9" s="18" t="n">
        <v>1</v>
      </c>
      <c r="CV9" s="18" t="n">
        <v>0</v>
      </c>
      <c r="CW9" s="18" t="n">
        <v>0</v>
      </c>
      <c r="CX9" s="18" t="n">
        <v>1</v>
      </c>
      <c r="CY9" s="18" t="n">
        <v>0</v>
      </c>
      <c r="CZ9" s="18" t="n">
        <v>0</v>
      </c>
      <c r="DA9" s="18" t="n">
        <v>1</v>
      </c>
      <c r="DB9" s="18" t="n">
        <v>0</v>
      </c>
      <c r="DC9" s="18" t="n">
        <v>0</v>
      </c>
      <c r="DD9" s="18" t="n">
        <v>1</v>
      </c>
      <c r="DE9" s="18" t="n">
        <v>0</v>
      </c>
      <c r="DF9" s="18" t="n">
        <v>0</v>
      </c>
      <c r="DG9" s="18" t="n">
        <v>1</v>
      </c>
      <c r="DH9" s="18" t="n">
        <v>0</v>
      </c>
      <c r="DI9" s="18" t="n">
        <v>0</v>
      </c>
      <c r="DJ9" s="18" t="n">
        <v>1</v>
      </c>
      <c r="DK9" s="18" t="n">
        <v>0</v>
      </c>
      <c r="DL9" s="18" t="n">
        <v>0</v>
      </c>
      <c r="DM9" s="18" t="n">
        <v>1</v>
      </c>
      <c r="DN9" s="18" t="n">
        <v>0</v>
      </c>
      <c r="DO9" s="18" t="n">
        <v>0</v>
      </c>
      <c r="DP9" s="18" t="n">
        <v>1</v>
      </c>
      <c r="DQ9" s="18" t="n">
        <v>0</v>
      </c>
      <c r="DR9" s="18" t="n">
        <v>0</v>
      </c>
      <c r="DS9" s="18" t="n">
        <v>1</v>
      </c>
      <c r="DT9" s="18" t="n">
        <v>0</v>
      </c>
      <c r="DU9" s="18" t="n">
        <v>0</v>
      </c>
      <c r="DV9" s="18" t="n">
        <v>1</v>
      </c>
      <c r="DW9" s="18" t="n">
        <v>0</v>
      </c>
      <c r="DX9" s="18" t="n">
        <v>0</v>
      </c>
      <c r="DY9" s="18" t="n">
        <v>1</v>
      </c>
      <c r="DZ9" s="18" t="n">
        <v>0</v>
      </c>
      <c r="EA9" s="18" t="n">
        <v>0</v>
      </c>
      <c r="EB9" s="18" t="n">
        <v>1</v>
      </c>
      <c r="EC9" s="18" t="n">
        <v>0</v>
      </c>
      <c r="ED9" s="18" t="n">
        <v>0</v>
      </c>
      <c r="EE9" s="18" t="n">
        <v>1</v>
      </c>
      <c r="EF9" s="18" t="n">
        <v>0</v>
      </c>
      <c r="EG9" s="18" t="n">
        <v>0</v>
      </c>
      <c r="EH9" s="18" t="n">
        <v>1</v>
      </c>
      <c r="EI9" s="18" t="n">
        <v>0</v>
      </c>
      <c r="EJ9" s="18" t="n">
        <v>0</v>
      </c>
      <c r="EK9" s="18" t="n">
        <v>1</v>
      </c>
      <c r="EL9" s="18" t="n">
        <v>0</v>
      </c>
      <c r="EM9" s="18" t="n">
        <v>0</v>
      </c>
      <c r="EN9" s="18" t="n">
        <v>1</v>
      </c>
      <c r="EO9" s="18" t="n">
        <v>0</v>
      </c>
      <c r="EP9" s="18" t="n">
        <v>0</v>
      </c>
      <c r="EQ9" s="18" t="n">
        <v>1</v>
      </c>
      <c r="ER9" s="18" t="n">
        <v>0</v>
      </c>
      <c r="ES9" s="18" t="n">
        <v>0</v>
      </c>
      <c r="ET9" s="18" t="n">
        <v>1</v>
      </c>
      <c r="EU9" s="18" t="n">
        <v>0</v>
      </c>
      <c r="EV9" s="18" t="n">
        <v>0</v>
      </c>
      <c r="EW9" s="18" t="n">
        <v>1</v>
      </c>
      <c r="EX9" s="18" t="n">
        <v>0</v>
      </c>
      <c r="EY9" s="18" t="n">
        <v>0</v>
      </c>
      <c r="EZ9" s="18" t="n">
        <v>1</v>
      </c>
      <c r="FA9" s="18" t="n">
        <v>0</v>
      </c>
      <c r="FB9" s="18" t="n">
        <v>0</v>
      </c>
      <c r="FC9" s="18" t="n">
        <v>1</v>
      </c>
      <c r="FD9" s="18" t="n">
        <v>0</v>
      </c>
      <c r="FE9" s="18" t="n">
        <v>0</v>
      </c>
      <c r="FF9" s="18" t="n">
        <v>1</v>
      </c>
      <c r="FG9" s="18" t="n">
        <v>0</v>
      </c>
      <c r="FH9" s="18" t="n">
        <v>0</v>
      </c>
      <c r="FI9" s="18" t="n">
        <v>1</v>
      </c>
      <c r="FJ9" s="18" t="n">
        <v>0</v>
      </c>
      <c r="FK9" s="18" t="n">
        <v>0</v>
      </c>
      <c r="FL9" s="18" t="n">
        <v>1</v>
      </c>
      <c r="FM9" s="18" t="n">
        <v>0</v>
      </c>
      <c r="FN9" s="18" t="n">
        <v>0</v>
      </c>
      <c r="FO9" s="18" t="n">
        <v>1</v>
      </c>
      <c r="FP9" s="18" t="n">
        <v>0</v>
      </c>
      <c r="FQ9" s="18" t="n">
        <v>0</v>
      </c>
      <c r="FR9" s="18" t="n">
        <v>1</v>
      </c>
      <c r="FS9" s="18" t="n">
        <v>0</v>
      </c>
      <c r="FT9" s="18" t="n">
        <v>0</v>
      </c>
      <c r="FU9" s="18" t="n">
        <v>1</v>
      </c>
      <c r="FV9" s="18" t="n">
        <v>0</v>
      </c>
      <c r="FW9" s="18" t="n">
        <v>0</v>
      </c>
      <c r="FX9" s="18" t="n">
        <v>1</v>
      </c>
      <c r="FY9" s="18" t="n">
        <v>0</v>
      </c>
      <c r="FZ9" s="18" t="n">
        <v>0</v>
      </c>
      <c r="GA9" s="18" t="n">
        <v>1</v>
      </c>
      <c r="GB9" s="18" t="n">
        <v>0</v>
      </c>
      <c r="GC9" s="18" t="n">
        <v>0</v>
      </c>
      <c r="GD9" s="18" t="n">
        <v>1</v>
      </c>
      <c r="GE9" s="18" t="n">
        <v>0</v>
      </c>
      <c r="GF9" s="18" t="n">
        <v>0</v>
      </c>
      <c r="GG9" s="18" t="n">
        <v>1</v>
      </c>
      <c r="GH9" s="18" t="n">
        <v>0</v>
      </c>
      <c r="GI9" s="18" t="n">
        <v>0</v>
      </c>
      <c r="GJ9" s="18" t="n">
        <v>1</v>
      </c>
      <c r="GK9" s="18" t="n">
        <v>0</v>
      </c>
      <c r="GL9" s="18" t="n">
        <v>0</v>
      </c>
      <c r="GM9" s="18" t="n">
        <v>1</v>
      </c>
      <c r="GN9" s="18" t="n">
        <v>0</v>
      </c>
      <c r="GO9" s="18" t="n">
        <v>0</v>
      </c>
      <c r="GP9" s="18" t="n">
        <v>1</v>
      </c>
      <c r="GQ9" s="18" t="n">
        <v>0</v>
      </c>
      <c r="GR9" s="18" t="n">
        <v>0</v>
      </c>
      <c r="GS9" s="18" t="n">
        <v>1</v>
      </c>
      <c r="GT9" s="18" t="n">
        <v>0</v>
      </c>
      <c r="GU9" s="18" t="n">
        <v>0</v>
      </c>
      <c r="GV9" s="18" t="n">
        <v>1</v>
      </c>
      <c r="GW9" s="18" t="n">
        <v>0</v>
      </c>
      <c r="GX9" s="18" t="n">
        <v>0</v>
      </c>
      <c r="GY9" s="18" t="n">
        <v>1</v>
      </c>
      <c r="GZ9" s="18" t="n">
        <v>0</v>
      </c>
      <c r="HA9" s="18" t="n">
        <v>0</v>
      </c>
      <c r="HB9" s="18" t="n">
        <v>1</v>
      </c>
      <c r="HC9" s="18" t="n">
        <v>0</v>
      </c>
      <c r="HD9" s="18" t="n">
        <v>0</v>
      </c>
      <c r="HE9" s="18" t="n">
        <v>1</v>
      </c>
      <c r="HF9" s="18" t="n">
        <v>0</v>
      </c>
      <c r="HG9" s="18" t="n">
        <v>0</v>
      </c>
      <c r="HH9" s="18" t="n">
        <v>1</v>
      </c>
      <c r="HI9" s="18" t="n">
        <v>0</v>
      </c>
      <c r="HJ9" s="18" t="n">
        <v>0</v>
      </c>
      <c r="HK9" s="18" t="n">
        <v>1</v>
      </c>
      <c r="HL9" s="18" t="n">
        <v>0</v>
      </c>
      <c r="HM9" s="18" t="n">
        <v>0</v>
      </c>
      <c r="HN9" s="18" t="n">
        <v>1</v>
      </c>
      <c r="HO9" s="18" t="n">
        <v>0</v>
      </c>
      <c r="HP9" s="18" t="n">
        <v>0</v>
      </c>
      <c r="HQ9" s="18" t="n">
        <v>1</v>
      </c>
      <c r="HR9" s="18" t="n">
        <v>0</v>
      </c>
      <c r="HS9" s="18" t="n">
        <v>0</v>
      </c>
      <c r="HT9" s="18" t="n">
        <v>1</v>
      </c>
      <c r="HU9" s="18" t="n">
        <v>0</v>
      </c>
      <c r="HV9" s="18" t="n">
        <v>0</v>
      </c>
      <c r="HW9" s="18" t="n">
        <v>1</v>
      </c>
      <c r="HX9" s="18" t="n">
        <v>0</v>
      </c>
      <c r="HY9" s="18" t="n">
        <v>0</v>
      </c>
      <c r="HZ9" s="18" t="n">
        <v>0</v>
      </c>
      <c r="IA9" s="18" t="n">
        <v>0</v>
      </c>
      <c r="IB9" s="18" t="n">
        <v>0</v>
      </c>
      <c r="IC9" s="18" t="n">
        <v>0</v>
      </c>
      <c r="ID9" s="18" t="n">
        <v>0</v>
      </c>
      <c r="IE9" s="18" t="n">
        <v>0</v>
      </c>
      <c r="IF9" s="18" t="n">
        <v>0</v>
      </c>
      <c r="IG9" s="18" t="n">
        <v>0</v>
      </c>
      <c r="IH9" s="18" t="n">
        <v>0</v>
      </c>
      <c r="II9" s="18" t="n">
        <v>0</v>
      </c>
      <c r="IJ9" s="18" t="n">
        <v>0</v>
      </c>
      <c r="IK9" s="18" t="n">
        <v>0</v>
      </c>
      <c r="IL9" s="18" t="n">
        <v>0</v>
      </c>
      <c r="IM9" s="18" t="n">
        <v>0</v>
      </c>
      <c r="IN9" s="18" t="n">
        <v>0</v>
      </c>
      <c r="IO9" s="18" t="n">
        <v>0</v>
      </c>
      <c r="IP9" s="18" t="n">
        <v>0</v>
      </c>
      <c r="IQ9" s="18" t="n">
        <v>0</v>
      </c>
      <c r="IR9" s="18" t="n">
        <v>0</v>
      </c>
      <c r="IS9" s="18" t="n">
        <v>0</v>
      </c>
      <c r="IT9" s="18" t="n">
        <v>0</v>
      </c>
      <c r="IU9" s="18" t="n">
        <v>0</v>
      </c>
      <c r="IV9" s="18" t="n">
        <v>0</v>
      </c>
      <c r="IW9" s="18" t="n">
        <v>0</v>
      </c>
      <c r="IX9" s="18" t="n">
        <v>0</v>
      </c>
      <c r="IY9" s="18" t="n">
        <v>0</v>
      </c>
      <c r="IZ9" s="18" t="n">
        <v>0</v>
      </c>
      <c r="JA9" s="18" t="n">
        <v>0</v>
      </c>
      <c r="JB9" s="18" t="n">
        <v>0</v>
      </c>
      <c r="JC9" s="18" t="n">
        <v>0</v>
      </c>
      <c r="JD9" s="18" t="n">
        <v>0</v>
      </c>
      <c r="JE9" s="18" t="n">
        <v>0</v>
      </c>
      <c r="JF9" s="18" t="n">
        <v>0</v>
      </c>
      <c r="JG9" s="18" t="n">
        <v>0</v>
      </c>
      <c r="JH9" s="18" t="n">
        <v>0</v>
      </c>
      <c r="JI9" s="18" t="n">
        <v>0</v>
      </c>
      <c r="JJ9" s="18" t="n">
        <v>0</v>
      </c>
      <c r="JK9" s="18" t="n">
        <v>0</v>
      </c>
      <c r="JL9" s="18" t="n">
        <v>0</v>
      </c>
      <c r="JM9" s="18" t="n">
        <v>0</v>
      </c>
      <c r="JN9" s="18" t="n">
        <v>0</v>
      </c>
      <c r="JO9" s="18" t="n">
        <v>0</v>
      </c>
      <c r="JP9" s="18" t="n">
        <v>0</v>
      </c>
      <c r="JQ9" s="18" t="n">
        <v>0</v>
      </c>
      <c r="JR9" s="18" t="n">
        <v>0</v>
      </c>
      <c r="JS9" s="18" t="n">
        <v>0</v>
      </c>
      <c r="JT9" s="18" t="n">
        <v>0</v>
      </c>
      <c r="JU9" s="18" t="n">
        <v>0</v>
      </c>
      <c r="JV9" s="18" t="n">
        <v>0</v>
      </c>
      <c r="JW9" s="18" t="n">
        <v>0</v>
      </c>
      <c r="JX9" s="18" t="n">
        <v>0</v>
      </c>
      <c r="JY9" s="18" t="n">
        <v>0</v>
      </c>
      <c r="JZ9" s="18" t="n">
        <v>0</v>
      </c>
      <c r="KA9" s="18" t="n">
        <v>0</v>
      </c>
      <c r="KB9" s="18" t="n">
        <v>0</v>
      </c>
      <c r="KC9" s="18" t="n">
        <v>0</v>
      </c>
      <c r="KD9" s="18" t="n">
        <v>0</v>
      </c>
      <c r="KE9" s="18" t="n">
        <v>0</v>
      </c>
      <c r="KF9" s="18" t="n">
        <v>0</v>
      </c>
      <c r="KG9" s="18" t="n">
        <v>0</v>
      </c>
      <c r="KH9" s="18" t="n">
        <v>0</v>
      </c>
      <c r="KI9" s="18" t="n">
        <v>0</v>
      </c>
      <c r="KJ9" s="18" t="n">
        <v>0</v>
      </c>
      <c r="KK9" s="18" t="n">
        <v>0</v>
      </c>
      <c r="KL9" s="18" t="n">
        <v>0</v>
      </c>
      <c r="KM9" s="18" t="n">
        <v>0</v>
      </c>
      <c r="KN9" s="18" t="n">
        <v>0</v>
      </c>
      <c r="KO9" s="18" t="n">
        <v>0</v>
      </c>
      <c r="KP9" s="18" t="n">
        <v>0</v>
      </c>
      <c r="KQ9" s="18" t="n">
        <v>0</v>
      </c>
      <c r="KR9" s="18" t="n">
        <v>0</v>
      </c>
      <c r="KS9" s="18" t="n">
        <v>0</v>
      </c>
      <c r="KT9" s="18" t="n">
        <v>0</v>
      </c>
      <c r="KU9" s="18" t="n">
        <v>0</v>
      </c>
      <c r="KV9" s="18" t="n">
        <v>0</v>
      </c>
      <c r="KW9" s="18" t="n">
        <v>0</v>
      </c>
      <c r="KX9" s="18" t="n">
        <v>0</v>
      </c>
      <c r="KY9" s="18" t="n">
        <v>0</v>
      </c>
      <c r="KZ9" s="18" t="n">
        <v>0</v>
      </c>
      <c r="LA9" s="18" t="n">
        <v>0</v>
      </c>
      <c r="LB9" s="18" t="n">
        <v>0</v>
      </c>
      <c r="LC9" s="18" t="n">
        <v>0</v>
      </c>
    </row>
    <row r="10">
      <c r="B10" s="17" t="inlineStr">
        <is>
          <t>PPDI devengado</t>
        </is>
      </c>
      <c r="D10" s="19">
        <f>D8*p_ppdi_anual/12</f>
        <v/>
      </c>
      <c r="E10" s="19">
        <f>E8*p_ppdi_anual/12</f>
        <v/>
      </c>
      <c r="F10" s="19">
        <f>F8*p_ppdi_anual/12</f>
        <v/>
      </c>
      <c r="G10" s="19">
        <f>G8*p_ppdi_anual/12</f>
        <v/>
      </c>
      <c r="H10" s="19">
        <f>H8*p_ppdi_anual/12</f>
        <v/>
      </c>
      <c r="I10" s="19">
        <f>I8*p_ppdi_anual/12</f>
        <v/>
      </c>
      <c r="J10" s="19">
        <f>J8*p_ppdi_anual/12</f>
        <v/>
      </c>
      <c r="K10" s="19">
        <f>K8*p_ppdi_anual/12</f>
        <v/>
      </c>
      <c r="L10" s="19">
        <f>L8*p_ppdi_anual/12</f>
        <v/>
      </c>
      <c r="M10" s="19">
        <f>M8*p_ppdi_anual/12</f>
        <v/>
      </c>
      <c r="N10" s="19">
        <f>N8*p_ppdi_anual/12</f>
        <v/>
      </c>
      <c r="O10" s="19">
        <f>O8*p_ppdi_anual/12</f>
        <v/>
      </c>
      <c r="P10" s="19">
        <f>P8*p_ppdi_anual/12</f>
        <v/>
      </c>
      <c r="Q10" s="19">
        <f>Q8*p_ppdi_anual/12</f>
        <v/>
      </c>
      <c r="R10" s="19">
        <f>R8*p_ppdi_anual/12</f>
        <v/>
      </c>
      <c r="S10" s="19">
        <f>S8*p_ppdi_anual/12</f>
        <v/>
      </c>
      <c r="T10" s="19">
        <f>T8*p_ppdi_anual/12</f>
        <v/>
      </c>
      <c r="U10" s="19">
        <f>U8*p_ppdi_anual/12</f>
        <v/>
      </c>
      <c r="V10" s="19">
        <f>V8*p_ppdi_anual/12</f>
        <v/>
      </c>
      <c r="W10" s="19">
        <f>W8*p_ppdi_anual/12</f>
        <v/>
      </c>
      <c r="X10" s="19">
        <f>X8*p_ppdi_anual/12</f>
        <v/>
      </c>
      <c r="Y10" s="19">
        <f>Y8*p_ppdi_anual/12</f>
        <v/>
      </c>
      <c r="Z10" s="19">
        <f>Z8*p_ppdi_anual/12</f>
        <v/>
      </c>
      <c r="AA10" s="19">
        <f>AA8*p_ppdi_anual/12</f>
        <v/>
      </c>
      <c r="AB10" s="19">
        <f>AB8*p_ppdi_anual/12</f>
        <v/>
      </c>
      <c r="AC10" s="19">
        <f>AC8*p_ppdi_anual/12</f>
        <v/>
      </c>
      <c r="AD10" s="19">
        <f>AD8*p_ppdi_anual/12</f>
        <v/>
      </c>
      <c r="AE10" s="19">
        <f>AE8*p_ppdi_anual/12</f>
        <v/>
      </c>
      <c r="AF10" s="19">
        <f>AF8*p_ppdi_anual/12</f>
        <v/>
      </c>
      <c r="AG10" s="19">
        <f>AG8*p_ppdi_anual/12</f>
        <v/>
      </c>
      <c r="AH10" s="19">
        <f>AH8*p_ppdi_anual/12</f>
        <v/>
      </c>
      <c r="AI10" s="19">
        <f>AI8*p_ppdi_anual/12</f>
        <v/>
      </c>
      <c r="AJ10" s="19">
        <f>AJ8*p_ppdi_anual/12</f>
        <v/>
      </c>
      <c r="AK10" s="19">
        <f>AK8*p_ppdi_anual/12</f>
        <v/>
      </c>
      <c r="AL10" s="19">
        <f>AL8*p_ppdi_anual/12</f>
        <v/>
      </c>
      <c r="AM10" s="19">
        <f>AM8*p_ppdi_anual/12</f>
        <v/>
      </c>
      <c r="AN10" s="19">
        <f>AN8*p_ppdi_anual/12</f>
        <v/>
      </c>
      <c r="AO10" s="19">
        <f>AO8*p_ppdi_anual/12</f>
        <v/>
      </c>
      <c r="AP10" s="19">
        <f>AP8*p_ppdi_anual/12</f>
        <v/>
      </c>
      <c r="AQ10" s="19">
        <f>AQ8*p_ppdi_anual/12</f>
        <v/>
      </c>
      <c r="AR10" s="19">
        <f>AR8*p_ppdi_anual/12</f>
        <v/>
      </c>
      <c r="AS10" s="19">
        <f>AS8*p_ppdi_anual/12</f>
        <v/>
      </c>
      <c r="AT10" s="19">
        <f>AT8*p_ppdi_anual/12</f>
        <v/>
      </c>
      <c r="AU10" s="19">
        <f>AU8*p_ppdi_anual/12</f>
        <v/>
      </c>
      <c r="AV10" s="19">
        <f>AV8*p_ppdi_anual/12</f>
        <v/>
      </c>
      <c r="AW10" s="19">
        <f>AW8*p_ppdi_anual/12</f>
        <v/>
      </c>
      <c r="AX10" s="19">
        <f>AX8*p_ppdi_anual/12</f>
        <v/>
      </c>
      <c r="AY10" s="19">
        <f>AY8*p_ppdi_anual/12</f>
        <v/>
      </c>
      <c r="AZ10" s="19">
        <f>AZ8*p_ppdi_anual/12</f>
        <v/>
      </c>
      <c r="BA10" s="19">
        <f>BA8*p_ppdi_anual/12</f>
        <v/>
      </c>
      <c r="BB10" s="19">
        <f>BB8*p_ppdi_anual/12</f>
        <v/>
      </c>
      <c r="BC10" s="19">
        <f>BC8*p_ppdi_anual/12</f>
        <v/>
      </c>
      <c r="BD10" s="19">
        <f>BD8*p_ppdi_anual/12</f>
        <v/>
      </c>
      <c r="BE10" s="19">
        <f>BE8*p_ppdi_anual/12</f>
        <v/>
      </c>
      <c r="BF10" s="19">
        <f>BF8*p_ppdi_anual/12</f>
        <v/>
      </c>
      <c r="BG10" s="19">
        <f>BG8*p_ppdi_anual/12</f>
        <v/>
      </c>
      <c r="BH10" s="19">
        <f>BH8*p_ppdi_anual/12</f>
        <v/>
      </c>
      <c r="BI10" s="19">
        <f>BI8*p_ppdi_anual/12</f>
        <v/>
      </c>
      <c r="BJ10" s="19">
        <f>BJ8*p_ppdi_anual/12</f>
        <v/>
      </c>
      <c r="BK10" s="19">
        <f>BK8*p_ppdi_anual/12</f>
        <v/>
      </c>
      <c r="BL10" s="19">
        <f>BL8*p_ppdi_anual/12</f>
        <v/>
      </c>
      <c r="BM10" s="19">
        <f>BM8*p_ppdi_anual/12</f>
        <v/>
      </c>
      <c r="BN10" s="19">
        <f>BN8*p_ppdi_anual/12</f>
        <v/>
      </c>
      <c r="BO10" s="19">
        <f>BO8*p_ppdi_anual/12</f>
        <v/>
      </c>
      <c r="BP10" s="19">
        <f>BP8*p_ppdi_anual/12</f>
        <v/>
      </c>
      <c r="BQ10" s="19">
        <f>BQ8*p_ppdi_anual/12</f>
        <v/>
      </c>
      <c r="BR10" s="19">
        <f>BR8*p_ppdi_anual/12</f>
        <v/>
      </c>
      <c r="BS10" s="19">
        <f>BS8*p_ppdi_anual/12</f>
        <v/>
      </c>
      <c r="BT10" s="19">
        <f>BT8*p_ppdi_anual/12</f>
        <v/>
      </c>
      <c r="BU10" s="19">
        <f>BU8*p_ppdi_anual/12</f>
        <v/>
      </c>
      <c r="BV10" s="19">
        <f>BV8*p_ppdi_anual/12</f>
        <v/>
      </c>
      <c r="BW10" s="19">
        <f>BW8*p_ppdi_anual/12</f>
        <v/>
      </c>
      <c r="BX10" s="19">
        <f>BX8*p_ppdi_anual/12</f>
        <v/>
      </c>
      <c r="BY10" s="19">
        <f>BY8*p_ppdi_anual/12</f>
        <v/>
      </c>
      <c r="BZ10" s="19">
        <f>BZ8*p_ppdi_anual/12</f>
        <v/>
      </c>
      <c r="CA10" s="19">
        <f>CA8*p_ppdi_anual/12</f>
        <v/>
      </c>
      <c r="CB10" s="19">
        <f>CB8*p_ppdi_anual/12</f>
        <v/>
      </c>
      <c r="CC10" s="19">
        <f>CC8*p_ppdi_anual/12</f>
        <v/>
      </c>
      <c r="CD10" s="19">
        <f>CD8*p_ppdi_anual/12</f>
        <v/>
      </c>
      <c r="CE10" s="19">
        <f>CE8*p_ppdi_anual/12</f>
        <v/>
      </c>
      <c r="CF10" s="19">
        <f>CF8*p_ppdi_anual/12</f>
        <v/>
      </c>
      <c r="CG10" s="19">
        <f>CG8*p_ppdi_anual/12</f>
        <v/>
      </c>
      <c r="CH10" s="19">
        <f>CH8*p_ppdi_anual/12</f>
        <v/>
      </c>
      <c r="CI10" s="19">
        <f>CI8*p_ppdi_anual/12</f>
        <v/>
      </c>
      <c r="CJ10" s="19">
        <f>CJ8*p_ppdi_anual/12</f>
        <v/>
      </c>
      <c r="CK10" s="19">
        <f>CK8*p_ppdi_anual/12</f>
        <v/>
      </c>
      <c r="CL10" s="19">
        <f>CL8*p_ppdi_anual/12</f>
        <v/>
      </c>
      <c r="CM10" s="19">
        <f>CM8*p_ppdi_anual/12</f>
        <v/>
      </c>
      <c r="CN10" s="19">
        <f>CN8*p_ppdi_anual/12</f>
        <v/>
      </c>
      <c r="CO10" s="19">
        <f>CO8*p_ppdi_anual/12</f>
        <v/>
      </c>
      <c r="CP10" s="19">
        <f>CP8*p_ppdi_anual/12</f>
        <v/>
      </c>
      <c r="CQ10" s="19">
        <f>CQ8*p_ppdi_anual/12</f>
        <v/>
      </c>
      <c r="CR10" s="19">
        <f>CR8*p_ppdi_anual/12</f>
        <v/>
      </c>
      <c r="CS10" s="19">
        <f>CS8*p_ppdi_anual/12</f>
        <v/>
      </c>
      <c r="CT10" s="19">
        <f>CT8*p_ppdi_anual/12</f>
        <v/>
      </c>
      <c r="CU10" s="19">
        <f>CU8*p_ppdi_anual/12</f>
        <v/>
      </c>
      <c r="CV10" s="19">
        <f>CV8*p_ppdi_anual/12</f>
        <v/>
      </c>
      <c r="CW10" s="19">
        <f>CW8*p_ppdi_anual/12</f>
        <v/>
      </c>
      <c r="CX10" s="19">
        <f>CX8*p_ppdi_anual/12</f>
        <v/>
      </c>
      <c r="CY10" s="19">
        <f>CY8*p_ppdi_anual/12</f>
        <v/>
      </c>
      <c r="CZ10" s="19">
        <f>CZ8*p_ppdi_anual/12</f>
        <v/>
      </c>
      <c r="DA10" s="19">
        <f>DA8*p_ppdi_anual/12</f>
        <v/>
      </c>
      <c r="DB10" s="19">
        <f>DB8*p_ppdi_anual/12</f>
        <v/>
      </c>
      <c r="DC10" s="19">
        <f>DC8*p_ppdi_anual/12</f>
        <v/>
      </c>
      <c r="DD10" s="19">
        <f>DD8*p_ppdi_anual/12</f>
        <v/>
      </c>
      <c r="DE10" s="19">
        <f>DE8*p_ppdi_anual/12</f>
        <v/>
      </c>
      <c r="DF10" s="19">
        <f>DF8*p_ppdi_anual/12</f>
        <v/>
      </c>
      <c r="DG10" s="19">
        <f>DG8*p_ppdi_anual/12</f>
        <v/>
      </c>
      <c r="DH10" s="19">
        <f>DH8*p_ppdi_anual/12</f>
        <v/>
      </c>
      <c r="DI10" s="19">
        <f>DI8*p_ppdi_anual/12</f>
        <v/>
      </c>
      <c r="DJ10" s="19">
        <f>DJ8*p_ppdi_anual/12</f>
        <v/>
      </c>
      <c r="DK10" s="19">
        <f>DK8*p_ppdi_anual/12</f>
        <v/>
      </c>
      <c r="DL10" s="19">
        <f>DL8*p_ppdi_anual/12</f>
        <v/>
      </c>
      <c r="DM10" s="19">
        <f>DM8*p_ppdi_anual/12</f>
        <v/>
      </c>
      <c r="DN10" s="19">
        <f>DN8*p_ppdi_anual/12</f>
        <v/>
      </c>
      <c r="DO10" s="19">
        <f>DO8*p_ppdi_anual/12</f>
        <v/>
      </c>
      <c r="DP10" s="19">
        <f>DP8*p_ppdi_anual/12</f>
        <v/>
      </c>
      <c r="DQ10" s="19">
        <f>DQ8*p_ppdi_anual/12</f>
        <v/>
      </c>
      <c r="DR10" s="19">
        <f>DR8*p_ppdi_anual/12</f>
        <v/>
      </c>
      <c r="DS10" s="19">
        <f>DS8*p_ppdi_anual/12</f>
        <v/>
      </c>
      <c r="DT10" s="19">
        <f>DT8*p_ppdi_anual/12</f>
        <v/>
      </c>
      <c r="DU10" s="19">
        <f>DU8*p_ppdi_anual/12</f>
        <v/>
      </c>
      <c r="DV10" s="19">
        <f>DV8*p_ppdi_anual/12</f>
        <v/>
      </c>
      <c r="DW10" s="19">
        <f>DW8*p_ppdi_anual/12</f>
        <v/>
      </c>
      <c r="DX10" s="19">
        <f>DX8*p_ppdi_anual/12</f>
        <v/>
      </c>
      <c r="DY10" s="19">
        <f>DY8*p_ppdi_anual/12</f>
        <v/>
      </c>
      <c r="DZ10" s="19">
        <f>DZ8*p_ppdi_anual/12</f>
        <v/>
      </c>
      <c r="EA10" s="19">
        <f>EA8*p_ppdi_anual/12</f>
        <v/>
      </c>
      <c r="EB10" s="19">
        <f>EB8*p_ppdi_anual/12</f>
        <v/>
      </c>
      <c r="EC10" s="19">
        <f>EC8*p_ppdi_anual/12</f>
        <v/>
      </c>
      <c r="ED10" s="19">
        <f>ED8*p_ppdi_anual/12</f>
        <v/>
      </c>
      <c r="EE10" s="19">
        <f>EE8*p_ppdi_anual/12</f>
        <v/>
      </c>
      <c r="EF10" s="19">
        <f>EF8*p_ppdi_anual/12</f>
        <v/>
      </c>
      <c r="EG10" s="19">
        <f>EG8*p_ppdi_anual/12</f>
        <v/>
      </c>
      <c r="EH10" s="19">
        <f>EH8*p_ppdi_anual/12</f>
        <v/>
      </c>
      <c r="EI10" s="19">
        <f>EI8*p_ppdi_anual/12</f>
        <v/>
      </c>
      <c r="EJ10" s="19">
        <f>EJ8*p_ppdi_anual/12</f>
        <v/>
      </c>
      <c r="EK10" s="19">
        <f>EK8*p_ppdi_anual/12</f>
        <v/>
      </c>
      <c r="EL10" s="19">
        <f>EL8*p_ppdi_anual/12</f>
        <v/>
      </c>
      <c r="EM10" s="19">
        <f>EM8*p_ppdi_anual/12</f>
        <v/>
      </c>
      <c r="EN10" s="19">
        <f>EN8*p_ppdi_anual/12</f>
        <v/>
      </c>
      <c r="EO10" s="19">
        <f>EO8*p_ppdi_anual/12</f>
        <v/>
      </c>
      <c r="EP10" s="19">
        <f>EP8*p_ppdi_anual/12</f>
        <v/>
      </c>
      <c r="EQ10" s="19">
        <f>EQ8*p_ppdi_anual/12</f>
        <v/>
      </c>
      <c r="ER10" s="19">
        <f>ER8*p_ppdi_anual/12</f>
        <v/>
      </c>
      <c r="ES10" s="19">
        <f>ES8*p_ppdi_anual/12</f>
        <v/>
      </c>
      <c r="ET10" s="19">
        <f>ET8*p_ppdi_anual/12</f>
        <v/>
      </c>
      <c r="EU10" s="19">
        <f>EU8*p_ppdi_anual/12</f>
        <v/>
      </c>
      <c r="EV10" s="19">
        <f>EV8*p_ppdi_anual/12</f>
        <v/>
      </c>
      <c r="EW10" s="19">
        <f>EW8*p_ppdi_anual/12</f>
        <v/>
      </c>
      <c r="EX10" s="19">
        <f>EX8*p_ppdi_anual/12</f>
        <v/>
      </c>
      <c r="EY10" s="19">
        <f>EY8*p_ppdi_anual/12</f>
        <v/>
      </c>
      <c r="EZ10" s="19">
        <f>EZ8*p_ppdi_anual/12</f>
        <v/>
      </c>
      <c r="FA10" s="19">
        <f>FA8*p_ppdi_anual/12</f>
        <v/>
      </c>
      <c r="FB10" s="19">
        <f>FB8*p_ppdi_anual/12</f>
        <v/>
      </c>
      <c r="FC10" s="19">
        <f>FC8*p_ppdi_anual/12</f>
        <v/>
      </c>
      <c r="FD10" s="19">
        <f>FD8*p_ppdi_anual/12</f>
        <v/>
      </c>
      <c r="FE10" s="19">
        <f>FE8*p_ppdi_anual/12</f>
        <v/>
      </c>
      <c r="FF10" s="19">
        <f>FF8*p_ppdi_anual/12</f>
        <v/>
      </c>
      <c r="FG10" s="19">
        <f>FG8*p_ppdi_anual/12</f>
        <v/>
      </c>
      <c r="FH10" s="19">
        <f>FH8*p_ppdi_anual/12</f>
        <v/>
      </c>
      <c r="FI10" s="19">
        <f>FI8*p_ppdi_anual/12</f>
        <v/>
      </c>
      <c r="FJ10" s="19">
        <f>FJ8*p_ppdi_anual/12</f>
        <v/>
      </c>
      <c r="FK10" s="19">
        <f>FK8*p_ppdi_anual/12</f>
        <v/>
      </c>
      <c r="FL10" s="19">
        <f>FL8*p_ppdi_anual/12</f>
        <v/>
      </c>
      <c r="FM10" s="19">
        <f>FM8*p_ppdi_anual/12</f>
        <v/>
      </c>
      <c r="FN10" s="19">
        <f>FN8*p_ppdi_anual/12</f>
        <v/>
      </c>
      <c r="FO10" s="19">
        <f>FO8*p_ppdi_anual/12</f>
        <v/>
      </c>
      <c r="FP10" s="19">
        <f>FP8*p_ppdi_anual/12</f>
        <v/>
      </c>
      <c r="FQ10" s="19">
        <f>FQ8*p_ppdi_anual/12</f>
        <v/>
      </c>
      <c r="FR10" s="19">
        <f>FR8*p_ppdi_anual/12</f>
        <v/>
      </c>
      <c r="FS10" s="19">
        <f>FS8*p_ppdi_anual/12</f>
        <v/>
      </c>
      <c r="FT10" s="19">
        <f>FT8*p_ppdi_anual/12</f>
        <v/>
      </c>
      <c r="FU10" s="19">
        <f>FU8*p_ppdi_anual/12</f>
        <v/>
      </c>
      <c r="FV10" s="19">
        <f>FV8*p_ppdi_anual/12</f>
        <v/>
      </c>
      <c r="FW10" s="19">
        <f>FW8*p_ppdi_anual/12</f>
        <v/>
      </c>
      <c r="FX10" s="19">
        <f>FX8*p_ppdi_anual/12</f>
        <v/>
      </c>
      <c r="FY10" s="19">
        <f>FY8*p_ppdi_anual/12</f>
        <v/>
      </c>
      <c r="FZ10" s="19">
        <f>FZ8*p_ppdi_anual/12</f>
        <v/>
      </c>
      <c r="GA10" s="19">
        <f>GA8*p_ppdi_anual/12</f>
        <v/>
      </c>
      <c r="GB10" s="19">
        <f>GB8*p_ppdi_anual/12</f>
        <v/>
      </c>
      <c r="GC10" s="19">
        <f>GC8*p_ppdi_anual/12</f>
        <v/>
      </c>
      <c r="GD10" s="19">
        <f>GD8*p_ppdi_anual/12</f>
        <v/>
      </c>
      <c r="GE10" s="19">
        <f>GE8*p_ppdi_anual/12</f>
        <v/>
      </c>
      <c r="GF10" s="19">
        <f>GF8*p_ppdi_anual/12</f>
        <v/>
      </c>
      <c r="GG10" s="19">
        <f>GG8*p_ppdi_anual/12</f>
        <v/>
      </c>
      <c r="GH10" s="19">
        <f>GH8*p_ppdi_anual/12</f>
        <v/>
      </c>
      <c r="GI10" s="19">
        <f>GI8*p_ppdi_anual/12</f>
        <v/>
      </c>
      <c r="GJ10" s="19">
        <f>GJ8*p_ppdi_anual/12</f>
        <v/>
      </c>
      <c r="GK10" s="19">
        <f>GK8*p_ppdi_anual/12</f>
        <v/>
      </c>
      <c r="GL10" s="19">
        <f>GL8*p_ppdi_anual/12</f>
        <v/>
      </c>
      <c r="GM10" s="19">
        <f>GM8*p_ppdi_anual/12</f>
        <v/>
      </c>
      <c r="GN10" s="19">
        <f>GN8*p_ppdi_anual/12</f>
        <v/>
      </c>
      <c r="GO10" s="19">
        <f>GO8*p_ppdi_anual/12</f>
        <v/>
      </c>
      <c r="GP10" s="19">
        <f>GP8*p_ppdi_anual/12</f>
        <v/>
      </c>
      <c r="GQ10" s="19">
        <f>GQ8*p_ppdi_anual/12</f>
        <v/>
      </c>
      <c r="GR10" s="19">
        <f>GR8*p_ppdi_anual/12</f>
        <v/>
      </c>
      <c r="GS10" s="19">
        <f>GS8*p_ppdi_anual/12</f>
        <v/>
      </c>
      <c r="GT10" s="19">
        <f>GT8*p_ppdi_anual/12</f>
        <v/>
      </c>
      <c r="GU10" s="19">
        <f>GU8*p_ppdi_anual/12</f>
        <v/>
      </c>
      <c r="GV10" s="19">
        <f>GV8*p_ppdi_anual/12</f>
        <v/>
      </c>
      <c r="GW10" s="19">
        <f>GW8*p_ppdi_anual/12</f>
        <v/>
      </c>
      <c r="GX10" s="19">
        <f>GX8*p_ppdi_anual/12</f>
        <v/>
      </c>
      <c r="GY10" s="19">
        <f>GY8*p_ppdi_anual/12</f>
        <v/>
      </c>
      <c r="GZ10" s="19">
        <f>GZ8*p_ppdi_anual/12</f>
        <v/>
      </c>
      <c r="HA10" s="19">
        <f>HA8*p_ppdi_anual/12</f>
        <v/>
      </c>
      <c r="HB10" s="19">
        <f>HB8*p_ppdi_anual/12</f>
        <v/>
      </c>
      <c r="HC10" s="19">
        <f>HC8*p_ppdi_anual/12</f>
        <v/>
      </c>
      <c r="HD10" s="19">
        <f>HD8*p_ppdi_anual/12</f>
        <v/>
      </c>
      <c r="HE10" s="19">
        <f>HE8*p_ppdi_anual/12</f>
        <v/>
      </c>
      <c r="HF10" s="19">
        <f>HF8*p_ppdi_anual/12</f>
        <v/>
      </c>
      <c r="HG10" s="19">
        <f>HG8*p_ppdi_anual/12</f>
        <v/>
      </c>
      <c r="HH10" s="19">
        <f>HH8*p_ppdi_anual/12</f>
        <v/>
      </c>
      <c r="HI10" s="19">
        <f>HI8*p_ppdi_anual/12</f>
        <v/>
      </c>
      <c r="HJ10" s="19">
        <f>HJ8*p_ppdi_anual/12</f>
        <v/>
      </c>
      <c r="HK10" s="19">
        <f>HK8*p_ppdi_anual/12</f>
        <v/>
      </c>
      <c r="HL10" s="19">
        <f>HL8*p_ppdi_anual/12</f>
        <v/>
      </c>
      <c r="HM10" s="19">
        <f>HM8*p_ppdi_anual/12</f>
        <v/>
      </c>
      <c r="HN10" s="19">
        <f>HN8*p_ppdi_anual/12</f>
        <v/>
      </c>
      <c r="HO10" s="19">
        <f>HO8*p_ppdi_anual/12</f>
        <v/>
      </c>
      <c r="HP10" s="19">
        <f>HP8*p_ppdi_anual/12</f>
        <v/>
      </c>
      <c r="HQ10" s="19">
        <f>HQ8*p_ppdi_anual/12</f>
        <v/>
      </c>
      <c r="HR10" s="19">
        <f>HR8*p_ppdi_anual/12</f>
        <v/>
      </c>
      <c r="HS10" s="19">
        <f>HS8*p_ppdi_anual/12</f>
        <v/>
      </c>
      <c r="HT10" s="19">
        <f>HT8*p_ppdi_anual/12</f>
        <v/>
      </c>
      <c r="HU10" s="19">
        <f>HU8*p_ppdi_anual/12</f>
        <v/>
      </c>
      <c r="HV10" s="19">
        <f>HV8*p_ppdi_anual/12</f>
        <v/>
      </c>
      <c r="HW10" s="19">
        <f>HW8*p_ppdi_anual/12</f>
        <v/>
      </c>
      <c r="HX10" s="19">
        <f>HX8*p_ppdi_anual/12</f>
        <v/>
      </c>
      <c r="HY10" s="19">
        <f>HY8*p_ppdi_anual/12</f>
        <v/>
      </c>
      <c r="HZ10" s="19">
        <f>HZ8*p_ppdi_anual/12</f>
        <v/>
      </c>
      <c r="IA10" s="19">
        <f>IA8*p_ppdi_anual/12</f>
        <v/>
      </c>
      <c r="IB10" s="19">
        <f>IB8*p_ppdi_anual/12</f>
        <v/>
      </c>
      <c r="IC10" s="19">
        <f>IC8*p_ppdi_anual/12</f>
        <v/>
      </c>
      <c r="ID10" s="19">
        <f>ID8*p_ppdi_anual/12</f>
        <v/>
      </c>
      <c r="IE10" s="19">
        <f>IE8*p_ppdi_anual/12</f>
        <v/>
      </c>
      <c r="IF10" s="19">
        <f>IF8*p_ppdi_anual/12</f>
        <v/>
      </c>
      <c r="IG10" s="19">
        <f>IG8*p_ppdi_anual/12</f>
        <v/>
      </c>
      <c r="IH10" s="19">
        <f>IH8*p_ppdi_anual/12</f>
        <v/>
      </c>
      <c r="II10" s="19">
        <f>II8*p_ppdi_anual/12</f>
        <v/>
      </c>
      <c r="IJ10" s="19">
        <f>IJ8*p_ppdi_anual/12</f>
        <v/>
      </c>
      <c r="IK10" s="19">
        <f>IK8*p_ppdi_anual/12</f>
        <v/>
      </c>
      <c r="IL10" s="19">
        <f>IL8*p_ppdi_anual/12</f>
        <v/>
      </c>
      <c r="IM10" s="19">
        <f>IM8*p_ppdi_anual/12</f>
        <v/>
      </c>
      <c r="IN10" s="19">
        <f>IN8*p_ppdi_anual/12</f>
        <v/>
      </c>
      <c r="IO10" s="19">
        <f>IO8*p_ppdi_anual/12</f>
        <v/>
      </c>
      <c r="IP10" s="19">
        <f>IP8*p_ppdi_anual/12</f>
        <v/>
      </c>
      <c r="IQ10" s="19">
        <f>IQ8*p_ppdi_anual/12</f>
        <v/>
      </c>
      <c r="IR10" s="19">
        <f>IR8*p_ppdi_anual/12</f>
        <v/>
      </c>
      <c r="IS10" s="19">
        <f>IS8*p_ppdi_anual/12</f>
        <v/>
      </c>
      <c r="IT10" s="19">
        <f>IT8*p_ppdi_anual/12</f>
        <v/>
      </c>
      <c r="IU10" s="19">
        <f>IU8*p_ppdi_anual/12</f>
        <v/>
      </c>
      <c r="IV10" s="19">
        <f>IV8*p_ppdi_anual/12</f>
        <v/>
      </c>
      <c r="IW10" s="19">
        <f>IW8*p_ppdi_anual/12</f>
        <v/>
      </c>
      <c r="IX10" s="19">
        <f>IX8*p_ppdi_anual/12</f>
        <v/>
      </c>
      <c r="IY10" s="19">
        <f>IY8*p_ppdi_anual/12</f>
        <v/>
      </c>
      <c r="IZ10" s="19">
        <f>IZ8*p_ppdi_anual/12</f>
        <v/>
      </c>
      <c r="JA10" s="19">
        <f>JA8*p_ppdi_anual/12</f>
        <v/>
      </c>
      <c r="JB10" s="19">
        <f>JB8*p_ppdi_anual/12</f>
        <v/>
      </c>
      <c r="JC10" s="19">
        <f>JC8*p_ppdi_anual/12</f>
        <v/>
      </c>
      <c r="JD10" s="19">
        <f>JD8*p_ppdi_anual/12</f>
        <v/>
      </c>
      <c r="JE10" s="19">
        <f>JE8*p_ppdi_anual/12</f>
        <v/>
      </c>
      <c r="JF10" s="19">
        <f>JF8*p_ppdi_anual/12</f>
        <v/>
      </c>
      <c r="JG10" s="19">
        <f>JG8*p_ppdi_anual/12</f>
        <v/>
      </c>
      <c r="JH10" s="19">
        <f>JH8*p_ppdi_anual/12</f>
        <v/>
      </c>
      <c r="JI10" s="19">
        <f>JI8*p_ppdi_anual/12</f>
        <v/>
      </c>
      <c r="JJ10" s="19">
        <f>JJ8*p_ppdi_anual/12</f>
        <v/>
      </c>
      <c r="JK10" s="19">
        <f>JK8*p_ppdi_anual/12</f>
        <v/>
      </c>
      <c r="JL10" s="19">
        <f>JL8*p_ppdi_anual/12</f>
        <v/>
      </c>
      <c r="JM10" s="19">
        <f>JM8*p_ppdi_anual/12</f>
        <v/>
      </c>
      <c r="JN10" s="19">
        <f>JN8*p_ppdi_anual/12</f>
        <v/>
      </c>
      <c r="JO10" s="19">
        <f>JO8*p_ppdi_anual/12</f>
        <v/>
      </c>
      <c r="JP10" s="19">
        <f>JP8*p_ppdi_anual/12</f>
        <v/>
      </c>
      <c r="JQ10" s="19">
        <f>JQ8*p_ppdi_anual/12</f>
        <v/>
      </c>
      <c r="JR10" s="19">
        <f>JR8*p_ppdi_anual/12</f>
        <v/>
      </c>
      <c r="JS10" s="19">
        <f>JS8*p_ppdi_anual/12</f>
        <v/>
      </c>
      <c r="JT10" s="19">
        <f>JT8*p_ppdi_anual/12</f>
        <v/>
      </c>
      <c r="JU10" s="19">
        <f>JU8*p_ppdi_anual/12</f>
        <v/>
      </c>
      <c r="JV10" s="19">
        <f>JV8*p_ppdi_anual/12</f>
        <v/>
      </c>
      <c r="JW10" s="19">
        <f>JW8*p_ppdi_anual/12</f>
        <v/>
      </c>
      <c r="JX10" s="19">
        <f>JX8*p_ppdi_anual/12</f>
        <v/>
      </c>
      <c r="JY10" s="19">
        <f>JY8*p_ppdi_anual/12</f>
        <v/>
      </c>
      <c r="JZ10" s="19">
        <f>JZ8*p_ppdi_anual/12</f>
        <v/>
      </c>
      <c r="KA10" s="19">
        <f>KA8*p_ppdi_anual/12</f>
        <v/>
      </c>
      <c r="KB10" s="19">
        <f>KB8*p_ppdi_anual/12</f>
        <v/>
      </c>
      <c r="KC10" s="19">
        <f>KC8*p_ppdi_anual/12</f>
        <v/>
      </c>
      <c r="KD10" s="19">
        <f>KD8*p_ppdi_anual/12</f>
        <v/>
      </c>
      <c r="KE10" s="19">
        <f>KE8*p_ppdi_anual/12</f>
        <v/>
      </c>
      <c r="KF10" s="19">
        <f>KF8*p_ppdi_anual/12</f>
        <v/>
      </c>
      <c r="KG10" s="19">
        <f>KG8*p_ppdi_anual/12</f>
        <v/>
      </c>
      <c r="KH10" s="19">
        <f>KH8*p_ppdi_anual/12</f>
        <v/>
      </c>
      <c r="KI10" s="19">
        <f>KI8*p_ppdi_anual/12</f>
        <v/>
      </c>
      <c r="KJ10" s="19">
        <f>KJ8*p_ppdi_anual/12</f>
        <v/>
      </c>
      <c r="KK10" s="19">
        <f>KK8*p_ppdi_anual/12</f>
        <v/>
      </c>
      <c r="KL10" s="19">
        <f>KL8*p_ppdi_anual/12</f>
        <v/>
      </c>
      <c r="KM10" s="19">
        <f>KM8*p_ppdi_anual/12</f>
        <v/>
      </c>
      <c r="KN10" s="19">
        <f>KN8*p_ppdi_anual/12</f>
        <v/>
      </c>
      <c r="KO10" s="19">
        <f>KO8*p_ppdi_anual/12</f>
        <v/>
      </c>
      <c r="KP10" s="19">
        <f>KP8*p_ppdi_anual/12</f>
        <v/>
      </c>
      <c r="KQ10" s="19">
        <f>KQ8*p_ppdi_anual/12</f>
        <v/>
      </c>
      <c r="KR10" s="19">
        <f>KR8*p_ppdi_anual/12</f>
        <v/>
      </c>
      <c r="KS10" s="19">
        <f>KS8*p_ppdi_anual/12</f>
        <v/>
      </c>
      <c r="KT10" s="19">
        <f>KT8*p_ppdi_anual/12</f>
        <v/>
      </c>
      <c r="KU10" s="19">
        <f>KU8*p_ppdi_anual/12</f>
        <v/>
      </c>
      <c r="KV10" s="19">
        <f>KV8*p_ppdi_anual/12</f>
        <v/>
      </c>
      <c r="KW10" s="19">
        <f>KW8*p_ppdi_anual/12</f>
        <v/>
      </c>
      <c r="KX10" s="19">
        <f>KX8*p_ppdi_anual/12</f>
        <v/>
      </c>
      <c r="KY10" s="19">
        <f>KY8*p_ppdi_anual/12</f>
        <v/>
      </c>
      <c r="KZ10" s="19">
        <f>KZ8*p_ppdi_anual/12</f>
        <v/>
      </c>
      <c r="LA10" s="19">
        <f>LA8*p_ppdi_anual/12</f>
        <v/>
      </c>
      <c r="LB10" s="19">
        <f>LB8*p_ppdi_anual/12</f>
        <v/>
      </c>
      <c r="LC10" s="19">
        <f>LC8*p_ppdi_anual/12</f>
        <v/>
      </c>
    </row>
    <row r="11">
      <c r="B11" s="17" t="inlineStr">
        <is>
          <t>PPDI cobrado</t>
        </is>
      </c>
      <c r="D11" s="19">
        <f>IF(D9=1,0+D10,0)</f>
        <v/>
      </c>
      <c r="E11" s="19">
        <f>IF(E9=1,D12+E10,0)</f>
        <v/>
      </c>
      <c r="F11" s="19">
        <f>IF(F9=1,E12+F10,0)</f>
        <v/>
      </c>
      <c r="G11" s="19">
        <f>IF(G9=1,F12+G10,0)</f>
        <v/>
      </c>
      <c r="H11" s="19">
        <f>IF(H9=1,G12+H10,0)</f>
        <v/>
      </c>
      <c r="I11" s="19">
        <f>IF(I9=1,H12+I10,0)</f>
        <v/>
      </c>
      <c r="J11" s="19">
        <f>IF(J9=1,I12+J10,0)</f>
        <v/>
      </c>
      <c r="K11" s="19">
        <f>IF(K9=1,J12+K10,0)</f>
        <v/>
      </c>
      <c r="L11" s="19">
        <f>IF(L9=1,K12+L10,0)</f>
        <v/>
      </c>
      <c r="M11" s="19">
        <f>IF(M9=1,L12+M10,0)</f>
        <v/>
      </c>
      <c r="N11" s="19">
        <f>IF(N9=1,M12+N10,0)</f>
        <v/>
      </c>
      <c r="O11" s="19">
        <f>IF(O9=1,N12+O10,0)</f>
        <v/>
      </c>
      <c r="P11" s="19">
        <f>IF(P9=1,O12+P10,0)</f>
        <v/>
      </c>
      <c r="Q11" s="19">
        <f>IF(Q9=1,P12+Q10,0)</f>
        <v/>
      </c>
      <c r="R11" s="19">
        <f>IF(R9=1,Q12+R10,0)</f>
        <v/>
      </c>
      <c r="S11" s="19">
        <f>IF(S9=1,R12+S10,0)</f>
        <v/>
      </c>
      <c r="T11" s="19">
        <f>IF(T9=1,S12+T10,0)</f>
        <v/>
      </c>
      <c r="U11" s="19">
        <f>IF(U9=1,T12+U10,0)</f>
        <v/>
      </c>
      <c r="V11" s="19">
        <f>IF(V9=1,U12+V10,0)</f>
        <v/>
      </c>
      <c r="W11" s="19">
        <f>IF(W9=1,V12+W10,0)</f>
        <v/>
      </c>
      <c r="X11" s="19">
        <f>IF(X9=1,W12+X10,0)</f>
        <v/>
      </c>
      <c r="Y11" s="19">
        <f>IF(Y9=1,X12+Y10,0)</f>
        <v/>
      </c>
      <c r="Z11" s="19">
        <f>IF(Z9=1,Y12+Z10,0)</f>
        <v/>
      </c>
      <c r="AA11" s="19">
        <f>IF(AA9=1,Z12+AA10,0)</f>
        <v/>
      </c>
      <c r="AB11" s="19">
        <f>IF(AB9=1,AA12+AB10,0)</f>
        <v/>
      </c>
      <c r="AC11" s="19">
        <f>IF(AC9=1,AB12+AC10,0)</f>
        <v/>
      </c>
      <c r="AD11" s="19">
        <f>IF(AD9=1,AC12+AD10,0)</f>
        <v/>
      </c>
      <c r="AE11" s="19">
        <f>IF(AE9=1,AD12+AE10,0)</f>
        <v/>
      </c>
      <c r="AF11" s="19">
        <f>IF(AF9=1,AE12+AF10,0)</f>
        <v/>
      </c>
      <c r="AG11" s="19">
        <f>IF(AG9=1,AF12+AG10,0)</f>
        <v/>
      </c>
      <c r="AH11" s="19">
        <f>IF(AH9=1,AG12+AH10,0)</f>
        <v/>
      </c>
      <c r="AI11" s="19">
        <f>IF(AI9=1,AH12+AI10,0)</f>
        <v/>
      </c>
      <c r="AJ11" s="19">
        <f>IF(AJ9=1,AI12+AJ10,0)</f>
        <v/>
      </c>
      <c r="AK11" s="19">
        <f>IF(AK9=1,AJ12+AK10,0)</f>
        <v/>
      </c>
      <c r="AL11" s="19">
        <f>IF(AL9=1,AK12+AL10,0)</f>
        <v/>
      </c>
      <c r="AM11" s="19">
        <f>IF(AM9=1,AL12+AM10,0)</f>
        <v/>
      </c>
      <c r="AN11" s="19">
        <f>IF(AN9=1,AM12+AN10,0)</f>
        <v/>
      </c>
      <c r="AO11" s="19">
        <f>IF(AO9=1,AN12+AO10,0)</f>
        <v/>
      </c>
      <c r="AP11" s="19">
        <f>IF(AP9=1,AO12+AP10,0)</f>
        <v/>
      </c>
      <c r="AQ11" s="19">
        <f>IF(AQ9=1,AP12+AQ10,0)</f>
        <v/>
      </c>
      <c r="AR11" s="19">
        <f>IF(AR9=1,AQ12+AR10,0)</f>
        <v/>
      </c>
      <c r="AS11" s="19">
        <f>IF(AS9=1,AR12+AS10,0)</f>
        <v/>
      </c>
      <c r="AT11" s="19">
        <f>IF(AT9=1,AS12+AT10,0)</f>
        <v/>
      </c>
      <c r="AU11" s="19">
        <f>IF(AU9=1,AT12+AU10,0)</f>
        <v/>
      </c>
      <c r="AV11" s="19">
        <f>IF(AV9=1,AU12+AV10,0)</f>
        <v/>
      </c>
      <c r="AW11" s="19">
        <f>IF(AW9=1,AV12+AW10,0)</f>
        <v/>
      </c>
      <c r="AX11" s="19">
        <f>IF(AX9=1,AW12+AX10,0)</f>
        <v/>
      </c>
      <c r="AY11" s="19">
        <f>IF(AY9=1,AX12+AY10,0)</f>
        <v/>
      </c>
      <c r="AZ11" s="19">
        <f>IF(AZ9=1,AY12+AZ10,0)</f>
        <v/>
      </c>
      <c r="BA11" s="19">
        <f>IF(BA9=1,AZ12+BA10,0)</f>
        <v/>
      </c>
      <c r="BB11" s="19">
        <f>IF(BB9=1,BA12+BB10,0)</f>
        <v/>
      </c>
      <c r="BC11" s="19">
        <f>IF(BC9=1,BB12+BC10,0)</f>
        <v/>
      </c>
      <c r="BD11" s="19">
        <f>IF(BD9=1,BC12+BD10,0)</f>
        <v/>
      </c>
      <c r="BE11" s="19">
        <f>IF(BE9=1,BD12+BE10,0)</f>
        <v/>
      </c>
      <c r="BF11" s="19">
        <f>IF(BF9=1,BE12+BF10,0)</f>
        <v/>
      </c>
      <c r="BG11" s="19">
        <f>IF(BG9=1,BF12+BG10,0)</f>
        <v/>
      </c>
      <c r="BH11" s="19">
        <f>IF(BH9=1,BG12+BH10,0)</f>
        <v/>
      </c>
      <c r="BI11" s="19">
        <f>IF(BI9=1,BH12+BI10,0)</f>
        <v/>
      </c>
      <c r="BJ11" s="19">
        <f>IF(BJ9=1,BI12+BJ10,0)</f>
        <v/>
      </c>
      <c r="BK11" s="19">
        <f>IF(BK9=1,BJ12+BK10,0)</f>
        <v/>
      </c>
      <c r="BL11" s="19">
        <f>IF(BL9=1,BK12+BL10,0)</f>
        <v/>
      </c>
      <c r="BM11" s="19">
        <f>IF(BM9=1,BL12+BM10,0)</f>
        <v/>
      </c>
      <c r="BN11" s="19">
        <f>IF(BN9=1,BM12+BN10,0)</f>
        <v/>
      </c>
      <c r="BO11" s="19">
        <f>IF(BO9=1,BN12+BO10,0)</f>
        <v/>
      </c>
      <c r="BP11" s="19">
        <f>IF(BP9=1,BO12+BP10,0)</f>
        <v/>
      </c>
      <c r="BQ11" s="19">
        <f>IF(BQ9=1,BP12+BQ10,0)</f>
        <v/>
      </c>
      <c r="BR11" s="19">
        <f>IF(BR9=1,BQ12+BR10,0)</f>
        <v/>
      </c>
      <c r="BS11" s="19">
        <f>IF(BS9=1,BR12+BS10,0)</f>
        <v/>
      </c>
      <c r="BT11" s="19">
        <f>IF(BT9=1,BS12+BT10,0)</f>
        <v/>
      </c>
      <c r="BU11" s="19">
        <f>IF(BU9=1,BT12+BU10,0)</f>
        <v/>
      </c>
      <c r="BV11" s="19">
        <f>IF(BV9=1,BU12+BV10,0)</f>
        <v/>
      </c>
      <c r="BW11" s="19">
        <f>IF(BW9=1,BV12+BW10,0)</f>
        <v/>
      </c>
      <c r="BX11" s="19">
        <f>IF(BX9=1,BW12+BX10,0)</f>
        <v/>
      </c>
      <c r="BY11" s="19">
        <f>IF(BY9=1,BX12+BY10,0)</f>
        <v/>
      </c>
      <c r="BZ11" s="19">
        <f>IF(BZ9=1,BY12+BZ10,0)</f>
        <v/>
      </c>
      <c r="CA11" s="19">
        <f>IF(CA9=1,BZ12+CA10,0)</f>
        <v/>
      </c>
      <c r="CB11" s="19">
        <f>IF(CB9=1,CA12+CB10,0)</f>
        <v/>
      </c>
      <c r="CC11" s="19">
        <f>IF(CC9=1,CB12+CC10,0)</f>
        <v/>
      </c>
      <c r="CD11" s="19">
        <f>IF(CD9=1,CC12+CD10,0)</f>
        <v/>
      </c>
      <c r="CE11" s="19">
        <f>IF(CE9=1,CD12+CE10,0)</f>
        <v/>
      </c>
      <c r="CF11" s="19">
        <f>IF(CF9=1,CE12+CF10,0)</f>
        <v/>
      </c>
      <c r="CG11" s="19">
        <f>IF(CG9=1,CF12+CG10,0)</f>
        <v/>
      </c>
      <c r="CH11" s="19">
        <f>IF(CH9=1,CG12+CH10,0)</f>
        <v/>
      </c>
      <c r="CI11" s="19">
        <f>IF(CI9=1,CH12+CI10,0)</f>
        <v/>
      </c>
      <c r="CJ11" s="19">
        <f>IF(CJ9=1,CI12+CJ10,0)</f>
        <v/>
      </c>
      <c r="CK11" s="19">
        <f>IF(CK9=1,CJ12+CK10,0)</f>
        <v/>
      </c>
      <c r="CL11" s="19">
        <f>IF(CL9=1,CK12+CL10,0)</f>
        <v/>
      </c>
      <c r="CM11" s="19">
        <f>IF(CM9=1,CL12+CM10,0)</f>
        <v/>
      </c>
      <c r="CN11" s="19">
        <f>IF(CN9=1,CM12+CN10,0)</f>
        <v/>
      </c>
      <c r="CO11" s="19">
        <f>IF(CO9=1,CN12+CO10,0)</f>
        <v/>
      </c>
      <c r="CP11" s="19">
        <f>IF(CP9=1,CO12+CP10,0)</f>
        <v/>
      </c>
      <c r="CQ11" s="19">
        <f>IF(CQ9=1,CP12+CQ10,0)</f>
        <v/>
      </c>
      <c r="CR11" s="19">
        <f>IF(CR9=1,CQ12+CR10,0)</f>
        <v/>
      </c>
      <c r="CS11" s="19">
        <f>IF(CS9=1,CR12+CS10,0)</f>
        <v/>
      </c>
      <c r="CT11" s="19">
        <f>IF(CT9=1,CS12+CT10,0)</f>
        <v/>
      </c>
      <c r="CU11" s="19">
        <f>IF(CU9=1,CT12+CU10,0)</f>
        <v/>
      </c>
      <c r="CV11" s="19">
        <f>IF(CV9=1,CU12+CV10,0)</f>
        <v/>
      </c>
      <c r="CW11" s="19">
        <f>IF(CW9=1,CV12+CW10,0)</f>
        <v/>
      </c>
      <c r="CX11" s="19">
        <f>IF(CX9=1,CW12+CX10,0)</f>
        <v/>
      </c>
      <c r="CY11" s="19">
        <f>IF(CY9=1,CX12+CY10,0)</f>
        <v/>
      </c>
      <c r="CZ11" s="19">
        <f>IF(CZ9=1,CY12+CZ10,0)</f>
        <v/>
      </c>
      <c r="DA11" s="19">
        <f>IF(DA9=1,CZ12+DA10,0)</f>
        <v/>
      </c>
      <c r="DB11" s="19">
        <f>IF(DB9=1,DA12+DB10,0)</f>
        <v/>
      </c>
      <c r="DC11" s="19">
        <f>IF(DC9=1,DB12+DC10,0)</f>
        <v/>
      </c>
      <c r="DD11" s="19">
        <f>IF(DD9=1,DC12+DD10,0)</f>
        <v/>
      </c>
      <c r="DE11" s="19">
        <f>IF(DE9=1,DD12+DE10,0)</f>
        <v/>
      </c>
      <c r="DF11" s="19">
        <f>IF(DF9=1,DE12+DF10,0)</f>
        <v/>
      </c>
      <c r="DG11" s="19">
        <f>IF(DG9=1,DF12+DG10,0)</f>
        <v/>
      </c>
      <c r="DH11" s="19">
        <f>IF(DH9=1,DG12+DH10,0)</f>
        <v/>
      </c>
      <c r="DI11" s="19">
        <f>IF(DI9=1,DH12+DI10,0)</f>
        <v/>
      </c>
      <c r="DJ11" s="19">
        <f>IF(DJ9=1,DI12+DJ10,0)</f>
        <v/>
      </c>
      <c r="DK11" s="19">
        <f>IF(DK9=1,DJ12+DK10,0)</f>
        <v/>
      </c>
      <c r="DL11" s="19">
        <f>IF(DL9=1,DK12+DL10,0)</f>
        <v/>
      </c>
      <c r="DM11" s="19">
        <f>IF(DM9=1,DL12+DM10,0)</f>
        <v/>
      </c>
      <c r="DN11" s="19">
        <f>IF(DN9=1,DM12+DN10,0)</f>
        <v/>
      </c>
      <c r="DO11" s="19">
        <f>IF(DO9=1,DN12+DO10,0)</f>
        <v/>
      </c>
      <c r="DP11" s="19">
        <f>IF(DP9=1,DO12+DP10,0)</f>
        <v/>
      </c>
      <c r="DQ11" s="19">
        <f>IF(DQ9=1,DP12+DQ10,0)</f>
        <v/>
      </c>
      <c r="DR11" s="19">
        <f>IF(DR9=1,DQ12+DR10,0)</f>
        <v/>
      </c>
      <c r="DS11" s="19">
        <f>IF(DS9=1,DR12+DS10,0)</f>
        <v/>
      </c>
      <c r="DT11" s="19">
        <f>IF(DT9=1,DS12+DT10,0)</f>
        <v/>
      </c>
      <c r="DU11" s="19">
        <f>IF(DU9=1,DT12+DU10,0)</f>
        <v/>
      </c>
      <c r="DV11" s="19">
        <f>IF(DV9=1,DU12+DV10,0)</f>
        <v/>
      </c>
      <c r="DW11" s="19">
        <f>IF(DW9=1,DV12+DW10,0)</f>
        <v/>
      </c>
      <c r="DX11" s="19">
        <f>IF(DX9=1,DW12+DX10,0)</f>
        <v/>
      </c>
      <c r="DY11" s="19">
        <f>IF(DY9=1,DX12+DY10,0)</f>
        <v/>
      </c>
      <c r="DZ11" s="19">
        <f>IF(DZ9=1,DY12+DZ10,0)</f>
        <v/>
      </c>
      <c r="EA11" s="19">
        <f>IF(EA9=1,DZ12+EA10,0)</f>
        <v/>
      </c>
      <c r="EB11" s="19">
        <f>IF(EB9=1,EA12+EB10,0)</f>
        <v/>
      </c>
      <c r="EC11" s="19">
        <f>IF(EC9=1,EB12+EC10,0)</f>
        <v/>
      </c>
      <c r="ED11" s="19">
        <f>IF(ED9=1,EC12+ED10,0)</f>
        <v/>
      </c>
      <c r="EE11" s="19">
        <f>IF(EE9=1,ED12+EE10,0)</f>
        <v/>
      </c>
      <c r="EF11" s="19">
        <f>IF(EF9=1,EE12+EF10,0)</f>
        <v/>
      </c>
      <c r="EG11" s="19">
        <f>IF(EG9=1,EF12+EG10,0)</f>
        <v/>
      </c>
      <c r="EH11" s="19">
        <f>IF(EH9=1,EG12+EH10,0)</f>
        <v/>
      </c>
      <c r="EI11" s="19">
        <f>IF(EI9=1,EH12+EI10,0)</f>
        <v/>
      </c>
      <c r="EJ11" s="19">
        <f>IF(EJ9=1,EI12+EJ10,0)</f>
        <v/>
      </c>
      <c r="EK11" s="19">
        <f>IF(EK9=1,EJ12+EK10,0)</f>
        <v/>
      </c>
      <c r="EL11" s="19">
        <f>IF(EL9=1,EK12+EL10,0)</f>
        <v/>
      </c>
      <c r="EM11" s="19">
        <f>IF(EM9=1,EL12+EM10,0)</f>
        <v/>
      </c>
      <c r="EN11" s="19">
        <f>IF(EN9=1,EM12+EN10,0)</f>
        <v/>
      </c>
      <c r="EO11" s="19">
        <f>IF(EO9=1,EN12+EO10,0)</f>
        <v/>
      </c>
      <c r="EP11" s="19">
        <f>IF(EP9=1,EO12+EP10,0)</f>
        <v/>
      </c>
      <c r="EQ11" s="19">
        <f>IF(EQ9=1,EP12+EQ10,0)</f>
        <v/>
      </c>
      <c r="ER11" s="19">
        <f>IF(ER9=1,EQ12+ER10,0)</f>
        <v/>
      </c>
      <c r="ES11" s="19">
        <f>IF(ES9=1,ER12+ES10,0)</f>
        <v/>
      </c>
      <c r="ET11" s="19">
        <f>IF(ET9=1,ES12+ET10,0)</f>
        <v/>
      </c>
      <c r="EU11" s="19">
        <f>IF(EU9=1,ET12+EU10,0)</f>
        <v/>
      </c>
      <c r="EV11" s="19">
        <f>IF(EV9=1,EU12+EV10,0)</f>
        <v/>
      </c>
      <c r="EW11" s="19">
        <f>IF(EW9=1,EV12+EW10,0)</f>
        <v/>
      </c>
      <c r="EX11" s="19">
        <f>IF(EX9=1,EW12+EX10,0)</f>
        <v/>
      </c>
      <c r="EY11" s="19">
        <f>IF(EY9=1,EX12+EY10,0)</f>
        <v/>
      </c>
      <c r="EZ11" s="19">
        <f>IF(EZ9=1,EY12+EZ10,0)</f>
        <v/>
      </c>
      <c r="FA11" s="19">
        <f>IF(FA9=1,EZ12+FA10,0)</f>
        <v/>
      </c>
      <c r="FB11" s="19">
        <f>IF(FB9=1,FA12+FB10,0)</f>
        <v/>
      </c>
      <c r="FC11" s="19">
        <f>IF(FC9=1,FB12+FC10,0)</f>
        <v/>
      </c>
      <c r="FD11" s="19">
        <f>IF(FD9=1,FC12+FD10,0)</f>
        <v/>
      </c>
      <c r="FE11" s="19">
        <f>IF(FE9=1,FD12+FE10,0)</f>
        <v/>
      </c>
      <c r="FF11" s="19">
        <f>IF(FF9=1,FE12+FF10,0)</f>
        <v/>
      </c>
      <c r="FG11" s="19">
        <f>IF(FG9=1,FF12+FG10,0)</f>
        <v/>
      </c>
      <c r="FH11" s="19">
        <f>IF(FH9=1,FG12+FH10,0)</f>
        <v/>
      </c>
      <c r="FI11" s="19">
        <f>IF(FI9=1,FH12+FI10,0)</f>
        <v/>
      </c>
      <c r="FJ11" s="19">
        <f>IF(FJ9=1,FI12+FJ10,0)</f>
        <v/>
      </c>
      <c r="FK11" s="19">
        <f>IF(FK9=1,FJ12+FK10,0)</f>
        <v/>
      </c>
      <c r="FL11" s="19">
        <f>IF(FL9=1,FK12+FL10,0)</f>
        <v/>
      </c>
      <c r="FM11" s="19">
        <f>IF(FM9=1,FL12+FM10,0)</f>
        <v/>
      </c>
      <c r="FN11" s="19">
        <f>IF(FN9=1,FM12+FN10,0)</f>
        <v/>
      </c>
      <c r="FO11" s="19">
        <f>IF(FO9=1,FN12+FO10,0)</f>
        <v/>
      </c>
      <c r="FP11" s="19">
        <f>IF(FP9=1,FO12+FP10,0)</f>
        <v/>
      </c>
      <c r="FQ11" s="19">
        <f>IF(FQ9=1,FP12+FQ10,0)</f>
        <v/>
      </c>
      <c r="FR11" s="19">
        <f>IF(FR9=1,FQ12+FR10,0)</f>
        <v/>
      </c>
      <c r="FS11" s="19">
        <f>IF(FS9=1,FR12+FS10,0)</f>
        <v/>
      </c>
      <c r="FT11" s="19">
        <f>IF(FT9=1,FS12+FT10,0)</f>
        <v/>
      </c>
      <c r="FU11" s="19">
        <f>IF(FU9=1,FT12+FU10,0)</f>
        <v/>
      </c>
      <c r="FV11" s="19">
        <f>IF(FV9=1,FU12+FV10,0)</f>
        <v/>
      </c>
      <c r="FW11" s="19">
        <f>IF(FW9=1,FV12+FW10,0)</f>
        <v/>
      </c>
      <c r="FX11" s="19">
        <f>IF(FX9=1,FW12+FX10,0)</f>
        <v/>
      </c>
      <c r="FY11" s="19">
        <f>IF(FY9=1,FX12+FY10,0)</f>
        <v/>
      </c>
      <c r="FZ11" s="19">
        <f>IF(FZ9=1,FY12+FZ10,0)</f>
        <v/>
      </c>
      <c r="GA11" s="19">
        <f>IF(GA9=1,FZ12+GA10,0)</f>
        <v/>
      </c>
      <c r="GB11" s="19">
        <f>IF(GB9=1,GA12+GB10,0)</f>
        <v/>
      </c>
      <c r="GC11" s="19">
        <f>IF(GC9=1,GB12+GC10,0)</f>
        <v/>
      </c>
      <c r="GD11" s="19">
        <f>IF(GD9=1,GC12+GD10,0)</f>
        <v/>
      </c>
      <c r="GE11" s="19">
        <f>IF(GE9=1,GD12+GE10,0)</f>
        <v/>
      </c>
      <c r="GF11" s="19">
        <f>IF(GF9=1,GE12+GF10,0)</f>
        <v/>
      </c>
      <c r="GG11" s="19">
        <f>IF(GG9=1,GF12+GG10,0)</f>
        <v/>
      </c>
      <c r="GH11" s="19">
        <f>IF(GH9=1,GG12+GH10,0)</f>
        <v/>
      </c>
      <c r="GI11" s="19">
        <f>IF(GI9=1,GH12+GI10,0)</f>
        <v/>
      </c>
      <c r="GJ11" s="19">
        <f>IF(GJ9=1,GI12+GJ10,0)</f>
        <v/>
      </c>
      <c r="GK11" s="19">
        <f>IF(GK9=1,GJ12+GK10,0)</f>
        <v/>
      </c>
      <c r="GL11" s="19">
        <f>IF(GL9=1,GK12+GL10,0)</f>
        <v/>
      </c>
      <c r="GM11" s="19">
        <f>IF(GM9=1,GL12+GM10,0)</f>
        <v/>
      </c>
      <c r="GN11" s="19">
        <f>IF(GN9=1,GM12+GN10,0)</f>
        <v/>
      </c>
      <c r="GO11" s="19">
        <f>IF(GO9=1,GN12+GO10,0)</f>
        <v/>
      </c>
      <c r="GP11" s="19">
        <f>IF(GP9=1,GO12+GP10,0)</f>
        <v/>
      </c>
      <c r="GQ11" s="19">
        <f>IF(GQ9=1,GP12+GQ10,0)</f>
        <v/>
      </c>
      <c r="GR11" s="19">
        <f>IF(GR9=1,GQ12+GR10,0)</f>
        <v/>
      </c>
      <c r="GS11" s="19">
        <f>IF(GS9=1,GR12+GS10,0)</f>
        <v/>
      </c>
      <c r="GT11" s="19">
        <f>IF(GT9=1,GS12+GT10,0)</f>
        <v/>
      </c>
      <c r="GU11" s="19">
        <f>IF(GU9=1,GT12+GU10,0)</f>
        <v/>
      </c>
      <c r="GV11" s="19">
        <f>IF(GV9=1,GU12+GV10,0)</f>
        <v/>
      </c>
      <c r="GW11" s="19">
        <f>IF(GW9=1,GV12+GW10,0)</f>
        <v/>
      </c>
      <c r="GX11" s="19">
        <f>IF(GX9=1,GW12+GX10,0)</f>
        <v/>
      </c>
      <c r="GY11" s="19">
        <f>IF(GY9=1,GX12+GY10,0)</f>
        <v/>
      </c>
      <c r="GZ11" s="19">
        <f>IF(GZ9=1,GY12+GZ10,0)</f>
        <v/>
      </c>
      <c r="HA11" s="19">
        <f>IF(HA9=1,GZ12+HA10,0)</f>
        <v/>
      </c>
      <c r="HB11" s="19">
        <f>IF(HB9=1,HA12+HB10,0)</f>
        <v/>
      </c>
      <c r="HC11" s="19">
        <f>IF(HC9=1,HB12+HC10,0)</f>
        <v/>
      </c>
      <c r="HD11" s="19">
        <f>IF(HD9=1,HC12+HD10,0)</f>
        <v/>
      </c>
      <c r="HE11" s="19">
        <f>IF(HE9=1,HD12+HE10,0)</f>
        <v/>
      </c>
      <c r="HF11" s="19">
        <f>IF(HF9=1,HE12+HF10,0)</f>
        <v/>
      </c>
      <c r="HG11" s="19">
        <f>IF(HG9=1,HF12+HG10,0)</f>
        <v/>
      </c>
      <c r="HH11" s="19">
        <f>IF(HH9=1,HG12+HH10,0)</f>
        <v/>
      </c>
      <c r="HI11" s="19">
        <f>IF(HI9=1,HH12+HI10,0)</f>
        <v/>
      </c>
      <c r="HJ11" s="19">
        <f>IF(HJ9=1,HI12+HJ10,0)</f>
        <v/>
      </c>
      <c r="HK11" s="19">
        <f>IF(HK9=1,HJ12+HK10,0)</f>
        <v/>
      </c>
      <c r="HL11" s="19">
        <f>IF(HL9=1,HK12+HL10,0)</f>
        <v/>
      </c>
      <c r="HM11" s="19">
        <f>IF(HM9=1,HL12+HM10,0)</f>
        <v/>
      </c>
      <c r="HN11" s="19">
        <f>IF(HN9=1,HM12+HN10,0)</f>
        <v/>
      </c>
      <c r="HO11" s="19">
        <f>IF(HO9=1,HN12+HO10,0)</f>
        <v/>
      </c>
      <c r="HP11" s="19">
        <f>IF(HP9=1,HO12+HP10,0)</f>
        <v/>
      </c>
      <c r="HQ11" s="19">
        <f>IF(HQ9=1,HP12+HQ10,0)</f>
        <v/>
      </c>
      <c r="HR11" s="19">
        <f>IF(HR9=1,HQ12+HR10,0)</f>
        <v/>
      </c>
      <c r="HS11" s="19">
        <f>IF(HS9=1,HR12+HS10,0)</f>
        <v/>
      </c>
      <c r="HT11" s="19">
        <f>IF(HT9=1,HS12+HT10,0)</f>
        <v/>
      </c>
      <c r="HU11" s="19">
        <f>IF(HU9=1,HT12+HU10,0)</f>
        <v/>
      </c>
      <c r="HV11" s="19">
        <f>IF(HV9=1,HU12+HV10,0)</f>
        <v/>
      </c>
      <c r="HW11" s="19">
        <f>IF(HW9=1,HV12+HW10,0)</f>
        <v/>
      </c>
      <c r="HX11" s="19">
        <f>IF(HX9=1,HW12+HX10,0)</f>
        <v/>
      </c>
      <c r="HY11" s="19">
        <f>IF(HY9=1,HX12+HY10,0)</f>
        <v/>
      </c>
      <c r="HZ11" s="19">
        <f>IF(HZ9=1,HY12+HZ10,0)</f>
        <v/>
      </c>
      <c r="IA11" s="19">
        <f>IF(IA9=1,HZ12+IA10,0)</f>
        <v/>
      </c>
      <c r="IB11" s="19">
        <f>IF(IB9=1,IA12+IB10,0)</f>
        <v/>
      </c>
      <c r="IC11" s="19">
        <f>IF(IC9=1,IB12+IC10,0)</f>
        <v/>
      </c>
      <c r="ID11" s="19">
        <f>IF(ID9=1,IC12+ID10,0)</f>
        <v/>
      </c>
      <c r="IE11" s="19">
        <f>IF(IE9=1,ID12+IE10,0)</f>
        <v/>
      </c>
      <c r="IF11" s="19">
        <f>IF(IF9=1,IE12+IF10,0)</f>
        <v/>
      </c>
      <c r="IG11" s="19">
        <f>IF(IG9=1,IF12+IG10,0)</f>
        <v/>
      </c>
      <c r="IH11" s="19">
        <f>IF(IH9=1,IG12+IH10,0)</f>
        <v/>
      </c>
      <c r="II11" s="19">
        <f>IF(II9=1,IH12+II10,0)</f>
        <v/>
      </c>
      <c r="IJ11" s="19">
        <f>IF(IJ9=1,II12+IJ10,0)</f>
        <v/>
      </c>
      <c r="IK11" s="19">
        <f>IF(IK9=1,IJ12+IK10,0)</f>
        <v/>
      </c>
      <c r="IL11" s="19">
        <f>IF(IL9=1,IK12+IL10,0)</f>
        <v/>
      </c>
      <c r="IM11" s="19">
        <f>IF(IM9=1,IL12+IM10,0)</f>
        <v/>
      </c>
      <c r="IN11" s="19">
        <f>IF(IN9=1,IM12+IN10,0)</f>
        <v/>
      </c>
      <c r="IO11" s="19">
        <f>IF(IO9=1,IN12+IO10,0)</f>
        <v/>
      </c>
      <c r="IP11" s="19">
        <f>IF(IP9=1,IO12+IP10,0)</f>
        <v/>
      </c>
      <c r="IQ11" s="19">
        <f>IF(IQ9=1,IP12+IQ10,0)</f>
        <v/>
      </c>
      <c r="IR11" s="19">
        <f>IF(IR9=1,IQ12+IR10,0)</f>
        <v/>
      </c>
      <c r="IS11" s="19">
        <f>IF(IS9=1,IR12+IS10,0)</f>
        <v/>
      </c>
      <c r="IT11" s="19">
        <f>IF(IT9=1,IS12+IT10,0)</f>
        <v/>
      </c>
      <c r="IU11" s="19">
        <f>IF(IU9=1,IT12+IU10,0)</f>
        <v/>
      </c>
      <c r="IV11" s="19">
        <f>IF(IV9=1,IU12+IV10,0)</f>
        <v/>
      </c>
      <c r="IW11" s="19">
        <f>IF(IW9=1,IV12+IW10,0)</f>
        <v/>
      </c>
      <c r="IX11" s="19">
        <f>IF(IX9=1,IW12+IX10,0)</f>
        <v/>
      </c>
      <c r="IY11" s="19">
        <f>IF(IY9=1,IX12+IY10,0)</f>
        <v/>
      </c>
      <c r="IZ11" s="19">
        <f>IF(IZ9=1,IY12+IZ10,0)</f>
        <v/>
      </c>
      <c r="JA11" s="19">
        <f>IF(JA9=1,IZ12+JA10,0)</f>
        <v/>
      </c>
      <c r="JB11" s="19">
        <f>IF(JB9=1,JA12+JB10,0)</f>
        <v/>
      </c>
      <c r="JC11" s="19">
        <f>IF(JC9=1,JB12+JC10,0)</f>
        <v/>
      </c>
      <c r="JD11" s="19">
        <f>IF(JD9=1,JC12+JD10,0)</f>
        <v/>
      </c>
      <c r="JE11" s="19">
        <f>IF(JE9=1,JD12+JE10,0)</f>
        <v/>
      </c>
      <c r="JF11" s="19">
        <f>IF(JF9=1,JE12+JF10,0)</f>
        <v/>
      </c>
      <c r="JG11" s="19">
        <f>IF(JG9=1,JF12+JG10,0)</f>
        <v/>
      </c>
      <c r="JH11" s="19">
        <f>IF(JH9=1,JG12+JH10,0)</f>
        <v/>
      </c>
      <c r="JI11" s="19">
        <f>IF(JI9=1,JH12+JI10,0)</f>
        <v/>
      </c>
      <c r="JJ11" s="19">
        <f>IF(JJ9=1,JI12+JJ10,0)</f>
        <v/>
      </c>
      <c r="JK11" s="19">
        <f>IF(JK9=1,JJ12+JK10,0)</f>
        <v/>
      </c>
      <c r="JL11" s="19">
        <f>IF(JL9=1,JK12+JL10,0)</f>
        <v/>
      </c>
      <c r="JM11" s="19">
        <f>IF(JM9=1,JL12+JM10,0)</f>
        <v/>
      </c>
      <c r="JN11" s="19">
        <f>IF(JN9=1,JM12+JN10,0)</f>
        <v/>
      </c>
      <c r="JO11" s="19">
        <f>IF(JO9=1,JN12+JO10,0)</f>
        <v/>
      </c>
      <c r="JP11" s="19">
        <f>IF(JP9=1,JO12+JP10,0)</f>
        <v/>
      </c>
      <c r="JQ11" s="19">
        <f>IF(JQ9=1,JP12+JQ10,0)</f>
        <v/>
      </c>
      <c r="JR11" s="19">
        <f>IF(JR9=1,JQ12+JR10,0)</f>
        <v/>
      </c>
      <c r="JS11" s="19">
        <f>IF(JS9=1,JR12+JS10,0)</f>
        <v/>
      </c>
      <c r="JT11" s="19">
        <f>IF(JT9=1,JS12+JT10,0)</f>
        <v/>
      </c>
      <c r="JU11" s="19">
        <f>IF(JU9=1,JT12+JU10,0)</f>
        <v/>
      </c>
      <c r="JV11" s="19">
        <f>IF(JV9=1,JU12+JV10,0)</f>
        <v/>
      </c>
      <c r="JW11" s="19">
        <f>IF(JW9=1,JV12+JW10,0)</f>
        <v/>
      </c>
      <c r="JX11" s="19">
        <f>IF(JX9=1,JW12+JX10,0)</f>
        <v/>
      </c>
      <c r="JY11" s="19">
        <f>IF(JY9=1,JX12+JY10,0)</f>
        <v/>
      </c>
      <c r="JZ11" s="19">
        <f>IF(JZ9=1,JY12+JZ10,0)</f>
        <v/>
      </c>
      <c r="KA11" s="19">
        <f>IF(KA9=1,JZ12+KA10,0)</f>
        <v/>
      </c>
      <c r="KB11" s="19">
        <f>IF(KB9=1,KA12+KB10,0)</f>
        <v/>
      </c>
      <c r="KC11" s="19">
        <f>IF(KC9=1,KB12+KC10,0)</f>
        <v/>
      </c>
      <c r="KD11" s="19">
        <f>IF(KD9=1,KC12+KD10,0)</f>
        <v/>
      </c>
      <c r="KE11" s="19">
        <f>IF(KE9=1,KD12+KE10,0)</f>
        <v/>
      </c>
      <c r="KF11" s="19">
        <f>IF(KF9=1,KE12+KF10,0)</f>
        <v/>
      </c>
      <c r="KG11" s="19">
        <f>IF(KG9=1,KF12+KG10,0)</f>
        <v/>
      </c>
      <c r="KH11" s="19">
        <f>IF(KH9=1,KG12+KH10,0)</f>
        <v/>
      </c>
      <c r="KI11" s="19">
        <f>IF(KI9=1,KH12+KI10,0)</f>
        <v/>
      </c>
      <c r="KJ11" s="19">
        <f>IF(KJ9=1,KI12+KJ10,0)</f>
        <v/>
      </c>
      <c r="KK11" s="19">
        <f>IF(KK9=1,KJ12+KK10,0)</f>
        <v/>
      </c>
      <c r="KL11" s="19">
        <f>IF(KL9=1,KK12+KL10,0)</f>
        <v/>
      </c>
      <c r="KM11" s="19">
        <f>IF(KM9=1,KL12+KM10,0)</f>
        <v/>
      </c>
      <c r="KN11" s="19">
        <f>IF(KN9=1,KM12+KN10,0)</f>
        <v/>
      </c>
      <c r="KO11" s="19">
        <f>IF(KO9=1,KN12+KO10,0)</f>
        <v/>
      </c>
      <c r="KP11" s="19">
        <f>IF(KP9=1,KO12+KP10,0)</f>
        <v/>
      </c>
      <c r="KQ11" s="19">
        <f>IF(KQ9=1,KP12+KQ10,0)</f>
        <v/>
      </c>
      <c r="KR11" s="19">
        <f>IF(KR9=1,KQ12+KR10,0)</f>
        <v/>
      </c>
      <c r="KS11" s="19">
        <f>IF(KS9=1,KR12+KS10,0)</f>
        <v/>
      </c>
      <c r="KT11" s="19">
        <f>IF(KT9=1,KS12+KT10,0)</f>
        <v/>
      </c>
      <c r="KU11" s="19">
        <f>IF(KU9=1,KT12+KU10,0)</f>
        <v/>
      </c>
      <c r="KV11" s="19">
        <f>IF(KV9=1,KU12+KV10,0)</f>
        <v/>
      </c>
      <c r="KW11" s="19">
        <f>IF(KW9=1,KV12+KW10,0)</f>
        <v/>
      </c>
      <c r="KX11" s="19">
        <f>IF(KX9=1,KW12+KX10,0)</f>
        <v/>
      </c>
      <c r="KY11" s="19">
        <f>IF(KY9=1,KX12+KY10,0)</f>
        <v/>
      </c>
      <c r="KZ11" s="19">
        <f>IF(KZ9=1,KY12+KZ10,0)</f>
        <v/>
      </c>
      <c r="LA11" s="19">
        <f>IF(LA9=1,KZ12+LA10,0)</f>
        <v/>
      </c>
      <c r="LB11" s="19">
        <f>IF(LB9=1,LA12+LB10,0)</f>
        <v/>
      </c>
      <c r="LC11" s="19">
        <f>IF(LC9=1,LB12+LC10,0)</f>
        <v/>
      </c>
    </row>
    <row r="12">
      <c r="B12" s="17" t="inlineStr">
        <is>
          <t>Devengado pendiente de cobro</t>
        </is>
      </c>
      <c r="D12" s="19">
        <f>0+D10-D11</f>
        <v/>
      </c>
      <c r="E12" s="19">
        <f>D12+E10-E11</f>
        <v/>
      </c>
      <c r="F12" s="19">
        <f>E12+F10-F11</f>
        <v/>
      </c>
      <c r="G12" s="19">
        <f>F12+G10-G11</f>
        <v/>
      </c>
      <c r="H12" s="19">
        <f>G12+H10-H11</f>
        <v/>
      </c>
      <c r="I12" s="19">
        <f>H12+I10-I11</f>
        <v/>
      </c>
      <c r="J12" s="19">
        <f>I12+J10-J11</f>
        <v/>
      </c>
      <c r="K12" s="19">
        <f>J12+K10-K11</f>
        <v/>
      </c>
      <c r="L12" s="19">
        <f>K12+L10-L11</f>
        <v/>
      </c>
      <c r="M12" s="19">
        <f>L12+M10-M11</f>
        <v/>
      </c>
      <c r="N12" s="19">
        <f>M12+N10-N11</f>
        <v/>
      </c>
      <c r="O12" s="19">
        <f>N12+O10-O11</f>
        <v/>
      </c>
      <c r="P12" s="19">
        <f>O12+P10-P11</f>
        <v/>
      </c>
      <c r="Q12" s="19">
        <f>P12+Q10-Q11</f>
        <v/>
      </c>
      <c r="R12" s="19">
        <f>Q12+R10-R11</f>
        <v/>
      </c>
      <c r="S12" s="19">
        <f>R12+S10-S11</f>
        <v/>
      </c>
      <c r="T12" s="19">
        <f>S12+T10-T11</f>
        <v/>
      </c>
      <c r="U12" s="19">
        <f>T12+U10-U11</f>
        <v/>
      </c>
      <c r="V12" s="19">
        <f>U12+V10-V11</f>
        <v/>
      </c>
      <c r="W12" s="19">
        <f>V12+W10-W11</f>
        <v/>
      </c>
      <c r="X12" s="19">
        <f>W12+X10-X11</f>
        <v/>
      </c>
      <c r="Y12" s="19">
        <f>X12+Y10-Y11</f>
        <v/>
      </c>
      <c r="Z12" s="19">
        <f>Y12+Z10-Z11</f>
        <v/>
      </c>
      <c r="AA12" s="19">
        <f>Z12+AA10-AA11</f>
        <v/>
      </c>
      <c r="AB12" s="19">
        <f>AA12+AB10-AB11</f>
        <v/>
      </c>
      <c r="AC12" s="19">
        <f>AB12+AC10-AC11</f>
        <v/>
      </c>
      <c r="AD12" s="19">
        <f>AC12+AD10-AD11</f>
        <v/>
      </c>
      <c r="AE12" s="19">
        <f>AD12+AE10-AE11</f>
        <v/>
      </c>
      <c r="AF12" s="19">
        <f>AE12+AF10-AF11</f>
        <v/>
      </c>
      <c r="AG12" s="19">
        <f>AF12+AG10-AG11</f>
        <v/>
      </c>
      <c r="AH12" s="19">
        <f>AG12+AH10-AH11</f>
        <v/>
      </c>
      <c r="AI12" s="19">
        <f>AH12+AI10-AI11</f>
        <v/>
      </c>
      <c r="AJ12" s="19">
        <f>AI12+AJ10-AJ11</f>
        <v/>
      </c>
      <c r="AK12" s="19">
        <f>AJ12+AK10-AK11</f>
        <v/>
      </c>
      <c r="AL12" s="19">
        <f>AK12+AL10-AL11</f>
        <v/>
      </c>
      <c r="AM12" s="19">
        <f>AL12+AM10-AM11</f>
        <v/>
      </c>
      <c r="AN12" s="19">
        <f>AM12+AN10-AN11</f>
        <v/>
      </c>
      <c r="AO12" s="19">
        <f>AN12+AO10-AO11</f>
        <v/>
      </c>
      <c r="AP12" s="19">
        <f>AO12+AP10-AP11</f>
        <v/>
      </c>
      <c r="AQ12" s="19">
        <f>AP12+AQ10-AQ11</f>
        <v/>
      </c>
      <c r="AR12" s="19">
        <f>AQ12+AR10-AR11</f>
        <v/>
      </c>
      <c r="AS12" s="19">
        <f>AR12+AS10-AS11</f>
        <v/>
      </c>
      <c r="AT12" s="19">
        <f>AS12+AT10-AT11</f>
        <v/>
      </c>
      <c r="AU12" s="19">
        <f>AT12+AU10-AU11</f>
        <v/>
      </c>
      <c r="AV12" s="19">
        <f>AU12+AV10-AV11</f>
        <v/>
      </c>
      <c r="AW12" s="19">
        <f>AV12+AW10-AW11</f>
        <v/>
      </c>
      <c r="AX12" s="19">
        <f>AW12+AX10-AX11</f>
        <v/>
      </c>
      <c r="AY12" s="19">
        <f>AX12+AY10-AY11</f>
        <v/>
      </c>
      <c r="AZ12" s="19">
        <f>AY12+AZ10-AZ11</f>
        <v/>
      </c>
      <c r="BA12" s="19">
        <f>AZ12+BA10-BA11</f>
        <v/>
      </c>
      <c r="BB12" s="19">
        <f>BA12+BB10-BB11</f>
        <v/>
      </c>
      <c r="BC12" s="19">
        <f>BB12+BC10-BC11</f>
        <v/>
      </c>
      <c r="BD12" s="19">
        <f>BC12+BD10-BD11</f>
        <v/>
      </c>
      <c r="BE12" s="19">
        <f>BD12+BE10-BE11</f>
        <v/>
      </c>
      <c r="BF12" s="19">
        <f>BE12+BF10-BF11</f>
        <v/>
      </c>
      <c r="BG12" s="19">
        <f>BF12+BG10-BG11</f>
        <v/>
      </c>
      <c r="BH12" s="19">
        <f>BG12+BH10-BH11</f>
        <v/>
      </c>
      <c r="BI12" s="19">
        <f>BH12+BI10-BI11</f>
        <v/>
      </c>
      <c r="BJ12" s="19">
        <f>BI12+BJ10-BJ11</f>
        <v/>
      </c>
      <c r="BK12" s="19">
        <f>BJ12+BK10-BK11</f>
        <v/>
      </c>
      <c r="BL12" s="19">
        <f>BK12+BL10-BL11</f>
        <v/>
      </c>
      <c r="BM12" s="19">
        <f>BL12+BM10-BM11</f>
        <v/>
      </c>
      <c r="BN12" s="19">
        <f>BM12+BN10-BN11</f>
        <v/>
      </c>
      <c r="BO12" s="19">
        <f>BN12+BO10-BO11</f>
        <v/>
      </c>
      <c r="BP12" s="19">
        <f>BO12+BP10-BP11</f>
        <v/>
      </c>
      <c r="BQ12" s="19">
        <f>BP12+BQ10-BQ11</f>
        <v/>
      </c>
      <c r="BR12" s="19">
        <f>BQ12+BR10-BR11</f>
        <v/>
      </c>
      <c r="BS12" s="19">
        <f>BR12+BS10-BS11</f>
        <v/>
      </c>
      <c r="BT12" s="19">
        <f>BS12+BT10-BT11</f>
        <v/>
      </c>
      <c r="BU12" s="19">
        <f>BT12+BU10-BU11</f>
        <v/>
      </c>
      <c r="BV12" s="19">
        <f>BU12+BV10-BV11</f>
        <v/>
      </c>
      <c r="BW12" s="19">
        <f>BV12+BW10-BW11</f>
        <v/>
      </c>
      <c r="BX12" s="19">
        <f>BW12+BX10-BX11</f>
        <v/>
      </c>
      <c r="BY12" s="19">
        <f>BX12+BY10-BY11</f>
        <v/>
      </c>
      <c r="BZ12" s="19">
        <f>BY12+BZ10-BZ11</f>
        <v/>
      </c>
      <c r="CA12" s="19">
        <f>BZ12+CA10-CA11</f>
        <v/>
      </c>
      <c r="CB12" s="19">
        <f>CA12+CB10-CB11</f>
        <v/>
      </c>
      <c r="CC12" s="19">
        <f>CB12+CC10-CC11</f>
        <v/>
      </c>
      <c r="CD12" s="19">
        <f>CC12+CD10-CD11</f>
        <v/>
      </c>
      <c r="CE12" s="19">
        <f>CD12+CE10-CE11</f>
        <v/>
      </c>
      <c r="CF12" s="19">
        <f>CE12+CF10-CF11</f>
        <v/>
      </c>
      <c r="CG12" s="19">
        <f>CF12+CG10-CG11</f>
        <v/>
      </c>
      <c r="CH12" s="19">
        <f>CG12+CH10-CH11</f>
        <v/>
      </c>
      <c r="CI12" s="19">
        <f>CH12+CI10-CI11</f>
        <v/>
      </c>
      <c r="CJ12" s="19">
        <f>CI12+CJ10-CJ11</f>
        <v/>
      </c>
      <c r="CK12" s="19">
        <f>CJ12+CK10-CK11</f>
        <v/>
      </c>
      <c r="CL12" s="19">
        <f>CK12+CL10-CL11</f>
        <v/>
      </c>
      <c r="CM12" s="19">
        <f>CL12+CM10-CM11</f>
        <v/>
      </c>
      <c r="CN12" s="19">
        <f>CM12+CN10-CN11</f>
        <v/>
      </c>
      <c r="CO12" s="19">
        <f>CN12+CO10-CO11</f>
        <v/>
      </c>
      <c r="CP12" s="19">
        <f>CO12+CP10-CP11</f>
        <v/>
      </c>
      <c r="CQ12" s="19">
        <f>CP12+CQ10-CQ11</f>
        <v/>
      </c>
      <c r="CR12" s="19">
        <f>CQ12+CR10-CR11</f>
        <v/>
      </c>
      <c r="CS12" s="19">
        <f>CR12+CS10-CS11</f>
        <v/>
      </c>
      <c r="CT12" s="19">
        <f>CS12+CT10-CT11</f>
        <v/>
      </c>
      <c r="CU12" s="19">
        <f>CT12+CU10-CU11</f>
        <v/>
      </c>
      <c r="CV12" s="19">
        <f>CU12+CV10-CV11</f>
        <v/>
      </c>
      <c r="CW12" s="19">
        <f>CV12+CW10-CW11</f>
        <v/>
      </c>
      <c r="CX12" s="19">
        <f>CW12+CX10-CX11</f>
        <v/>
      </c>
      <c r="CY12" s="19">
        <f>CX12+CY10-CY11</f>
        <v/>
      </c>
      <c r="CZ12" s="19">
        <f>CY12+CZ10-CZ11</f>
        <v/>
      </c>
      <c r="DA12" s="19">
        <f>CZ12+DA10-DA11</f>
        <v/>
      </c>
      <c r="DB12" s="19">
        <f>DA12+DB10-DB11</f>
        <v/>
      </c>
      <c r="DC12" s="19">
        <f>DB12+DC10-DC11</f>
        <v/>
      </c>
      <c r="DD12" s="19">
        <f>DC12+DD10-DD11</f>
        <v/>
      </c>
      <c r="DE12" s="19">
        <f>DD12+DE10-DE11</f>
        <v/>
      </c>
      <c r="DF12" s="19">
        <f>DE12+DF10-DF11</f>
        <v/>
      </c>
      <c r="DG12" s="19">
        <f>DF12+DG10-DG11</f>
        <v/>
      </c>
      <c r="DH12" s="19">
        <f>DG12+DH10-DH11</f>
        <v/>
      </c>
      <c r="DI12" s="19">
        <f>DH12+DI10-DI11</f>
        <v/>
      </c>
      <c r="DJ12" s="19">
        <f>DI12+DJ10-DJ11</f>
        <v/>
      </c>
      <c r="DK12" s="19">
        <f>DJ12+DK10-DK11</f>
        <v/>
      </c>
      <c r="DL12" s="19">
        <f>DK12+DL10-DL11</f>
        <v/>
      </c>
      <c r="DM12" s="19">
        <f>DL12+DM10-DM11</f>
        <v/>
      </c>
      <c r="DN12" s="19">
        <f>DM12+DN10-DN11</f>
        <v/>
      </c>
      <c r="DO12" s="19">
        <f>DN12+DO10-DO11</f>
        <v/>
      </c>
      <c r="DP12" s="19">
        <f>DO12+DP10-DP11</f>
        <v/>
      </c>
      <c r="DQ12" s="19">
        <f>DP12+DQ10-DQ11</f>
        <v/>
      </c>
      <c r="DR12" s="19">
        <f>DQ12+DR10-DR11</f>
        <v/>
      </c>
      <c r="DS12" s="19">
        <f>DR12+DS10-DS11</f>
        <v/>
      </c>
      <c r="DT12" s="19">
        <f>DS12+DT10-DT11</f>
        <v/>
      </c>
      <c r="DU12" s="19">
        <f>DT12+DU10-DU11</f>
        <v/>
      </c>
      <c r="DV12" s="19">
        <f>DU12+DV10-DV11</f>
        <v/>
      </c>
      <c r="DW12" s="19">
        <f>DV12+DW10-DW11</f>
        <v/>
      </c>
      <c r="DX12" s="19">
        <f>DW12+DX10-DX11</f>
        <v/>
      </c>
      <c r="DY12" s="19">
        <f>DX12+DY10-DY11</f>
        <v/>
      </c>
      <c r="DZ12" s="19">
        <f>DY12+DZ10-DZ11</f>
        <v/>
      </c>
      <c r="EA12" s="19">
        <f>DZ12+EA10-EA11</f>
        <v/>
      </c>
      <c r="EB12" s="19">
        <f>EA12+EB10-EB11</f>
        <v/>
      </c>
      <c r="EC12" s="19">
        <f>EB12+EC10-EC11</f>
        <v/>
      </c>
      <c r="ED12" s="19">
        <f>EC12+ED10-ED11</f>
        <v/>
      </c>
      <c r="EE12" s="19">
        <f>ED12+EE10-EE11</f>
        <v/>
      </c>
      <c r="EF12" s="19">
        <f>EE12+EF10-EF11</f>
        <v/>
      </c>
      <c r="EG12" s="19">
        <f>EF12+EG10-EG11</f>
        <v/>
      </c>
      <c r="EH12" s="19">
        <f>EG12+EH10-EH11</f>
        <v/>
      </c>
      <c r="EI12" s="19">
        <f>EH12+EI10-EI11</f>
        <v/>
      </c>
      <c r="EJ12" s="19">
        <f>EI12+EJ10-EJ11</f>
        <v/>
      </c>
      <c r="EK12" s="19">
        <f>EJ12+EK10-EK11</f>
        <v/>
      </c>
      <c r="EL12" s="19">
        <f>EK12+EL10-EL11</f>
        <v/>
      </c>
      <c r="EM12" s="19">
        <f>EL12+EM10-EM11</f>
        <v/>
      </c>
      <c r="EN12" s="19">
        <f>EM12+EN10-EN11</f>
        <v/>
      </c>
      <c r="EO12" s="19">
        <f>EN12+EO10-EO11</f>
        <v/>
      </c>
      <c r="EP12" s="19">
        <f>EO12+EP10-EP11</f>
        <v/>
      </c>
      <c r="EQ12" s="19">
        <f>EP12+EQ10-EQ11</f>
        <v/>
      </c>
      <c r="ER12" s="19">
        <f>EQ12+ER10-ER11</f>
        <v/>
      </c>
      <c r="ES12" s="19">
        <f>ER12+ES10-ES11</f>
        <v/>
      </c>
      <c r="ET12" s="19">
        <f>ES12+ET10-ET11</f>
        <v/>
      </c>
      <c r="EU12" s="19">
        <f>ET12+EU10-EU11</f>
        <v/>
      </c>
      <c r="EV12" s="19">
        <f>EU12+EV10-EV11</f>
        <v/>
      </c>
      <c r="EW12" s="19">
        <f>EV12+EW10-EW11</f>
        <v/>
      </c>
      <c r="EX12" s="19">
        <f>EW12+EX10-EX11</f>
        <v/>
      </c>
      <c r="EY12" s="19">
        <f>EX12+EY10-EY11</f>
        <v/>
      </c>
      <c r="EZ12" s="19">
        <f>EY12+EZ10-EZ11</f>
        <v/>
      </c>
      <c r="FA12" s="19">
        <f>EZ12+FA10-FA11</f>
        <v/>
      </c>
      <c r="FB12" s="19">
        <f>FA12+FB10-FB11</f>
        <v/>
      </c>
      <c r="FC12" s="19">
        <f>FB12+FC10-FC11</f>
        <v/>
      </c>
      <c r="FD12" s="19">
        <f>FC12+FD10-FD11</f>
        <v/>
      </c>
      <c r="FE12" s="19">
        <f>FD12+FE10-FE11</f>
        <v/>
      </c>
      <c r="FF12" s="19">
        <f>FE12+FF10-FF11</f>
        <v/>
      </c>
      <c r="FG12" s="19">
        <f>FF12+FG10-FG11</f>
        <v/>
      </c>
      <c r="FH12" s="19">
        <f>FG12+FH10-FH11</f>
        <v/>
      </c>
      <c r="FI12" s="19">
        <f>FH12+FI10-FI11</f>
        <v/>
      </c>
      <c r="FJ12" s="19">
        <f>FI12+FJ10-FJ11</f>
        <v/>
      </c>
      <c r="FK12" s="19">
        <f>FJ12+FK10-FK11</f>
        <v/>
      </c>
      <c r="FL12" s="19">
        <f>FK12+FL10-FL11</f>
        <v/>
      </c>
      <c r="FM12" s="19">
        <f>FL12+FM10-FM11</f>
        <v/>
      </c>
      <c r="FN12" s="19">
        <f>FM12+FN10-FN11</f>
        <v/>
      </c>
      <c r="FO12" s="19">
        <f>FN12+FO10-FO11</f>
        <v/>
      </c>
      <c r="FP12" s="19">
        <f>FO12+FP10-FP11</f>
        <v/>
      </c>
      <c r="FQ12" s="19">
        <f>FP12+FQ10-FQ11</f>
        <v/>
      </c>
      <c r="FR12" s="19">
        <f>FQ12+FR10-FR11</f>
        <v/>
      </c>
      <c r="FS12" s="19">
        <f>FR12+FS10-FS11</f>
        <v/>
      </c>
      <c r="FT12" s="19">
        <f>FS12+FT10-FT11</f>
        <v/>
      </c>
      <c r="FU12" s="19">
        <f>FT12+FU10-FU11</f>
        <v/>
      </c>
      <c r="FV12" s="19">
        <f>FU12+FV10-FV11</f>
        <v/>
      </c>
      <c r="FW12" s="19">
        <f>FV12+FW10-FW11</f>
        <v/>
      </c>
      <c r="FX12" s="19">
        <f>FW12+FX10-FX11</f>
        <v/>
      </c>
      <c r="FY12" s="19">
        <f>FX12+FY10-FY11</f>
        <v/>
      </c>
      <c r="FZ12" s="19">
        <f>FY12+FZ10-FZ11</f>
        <v/>
      </c>
      <c r="GA12" s="19">
        <f>FZ12+GA10-GA11</f>
        <v/>
      </c>
      <c r="GB12" s="19">
        <f>GA12+GB10-GB11</f>
        <v/>
      </c>
      <c r="GC12" s="19">
        <f>GB12+GC10-GC11</f>
        <v/>
      </c>
      <c r="GD12" s="19">
        <f>GC12+GD10-GD11</f>
        <v/>
      </c>
      <c r="GE12" s="19">
        <f>GD12+GE10-GE11</f>
        <v/>
      </c>
      <c r="GF12" s="19">
        <f>GE12+GF10-GF11</f>
        <v/>
      </c>
      <c r="GG12" s="19">
        <f>GF12+GG10-GG11</f>
        <v/>
      </c>
      <c r="GH12" s="19">
        <f>GG12+GH10-GH11</f>
        <v/>
      </c>
      <c r="GI12" s="19">
        <f>GH12+GI10-GI11</f>
        <v/>
      </c>
      <c r="GJ12" s="19">
        <f>GI12+GJ10-GJ11</f>
        <v/>
      </c>
      <c r="GK12" s="19">
        <f>GJ12+GK10-GK11</f>
        <v/>
      </c>
      <c r="GL12" s="19">
        <f>GK12+GL10-GL11</f>
        <v/>
      </c>
      <c r="GM12" s="19">
        <f>GL12+GM10-GM11</f>
        <v/>
      </c>
      <c r="GN12" s="19">
        <f>GM12+GN10-GN11</f>
        <v/>
      </c>
      <c r="GO12" s="19">
        <f>GN12+GO10-GO11</f>
        <v/>
      </c>
      <c r="GP12" s="19">
        <f>GO12+GP10-GP11</f>
        <v/>
      </c>
      <c r="GQ12" s="19">
        <f>GP12+GQ10-GQ11</f>
        <v/>
      </c>
      <c r="GR12" s="19">
        <f>GQ12+GR10-GR11</f>
        <v/>
      </c>
      <c r="GS12" s="19">
        <f>GR12+GS10-GS11</f>
        <v/>
      </c>
      <c r="GT12" s="19">
        <f>GS12+GT10-GT11</f>
        <v/>
      </c>
      <c r="GU12" s="19">
        <f>GT12+GU10-GU11</f>
        <v/>
      </c>
      <c r="GV12" s="19">
        <f>GU12+GV10-GV11</f>
        <v/>
      </c>
      <c r="GW12" s="19">
        <f>GV12+GW10-GW11</f>
        <v/>
      </c>
      <c r="GX12" s="19">
        <f>GW12+GX10-GX11</f>
        <v/>
      </c>
      <c r="GY12" s="19">
        <f>GX12+GY10-GY11</f>
        <v/>
      </c>
      <c r="GZ12" s="19">
        <f>GY12+GZ10-GZ11</f>
        <v/>
      </c>
      <c r="HA12" s="19">
        <f>GZ12+HA10-HA11</f>
        <v/>
      </c>
      <c r="HB12" s="19">
        <f>HA12+HB10-HB11</f>
        <v/>
      </c>
      <c r="HC12" s="19">
        <f>HB12+HC10-HC11</f>
        <v/>
      </c>
      <c r="HD12" s="19">
        <f>HC12+HD10-HD11</f>
        <v/>
      </c>
      <c r="HE12" s="19">
        <f>HD12+HE10-HE11</f>
        <v/>
      </c>
      <c r="HF12" s="19">
        <f>HE12+HF10-HF11</f>
        <v/>
      </c>
      <c r="HG12" s="19">
        <f>HF12+HG10-HG11</f>
        <v/>
      </c>
      <c r="HH12" s="19">
        <f>HG12+HH10-HH11</f>
        <v/>
      </c>
      <c r="HI12" s="19">
        <f>HH12+HI10-HI11</f>
        <v/>
      </c>
      <c r="HJ12" s="19">
        <f>HI12+HJ10-HJ11</f>
        <v/>
      </c>
      <c r="HK12" s="19">
        <f>HJ12+HK10-HK11</f>
        <v/>
      </c>
      <c r="HL12" s="19">
        <f>HK12+HL10-HL11</f>
        <v/>
      </c>
      <c r="HM12" s="19">
        <f>HL12+HM10-HM11</f>
        <v/>
      </c>
      <c r="HN12" s="19">
        <f>HM12+HN10-HN11</f>
        <v/>
      </c>
      <c r="HO12" s="19">
        <f>HN12+HO10-HO11</f>
        <v/>
      </c>
      <c r="HP12" s="19">
        <f>HO12+HP10-HP11</f>
        <v/>
      </c>
      <c r="HQ12" s="19">
        <f>HP12+HQ10-HQ11</f>
        <v/>
      </c>
      <c r="HR12" s="19">
        <f>HQ12+HR10-HR11</f>
        <v/>
      </c>
      <c r="HS12" s="19">
        <f>HR12+HS10-HS11</f>
        <v/>
      </c>
      <c r="HT12" s="19">
        <f>HS12+HT10-HT11</f>
        <v/>
      </c>
      <c r="HU12" s="19">
        <f>HT12+HU10-HU11</f>
        <v/>
      </c>
      <c r="HV12" s="19">
        <f>HU12+HV10-HV11</f>
        <v/>
      </c>
      <c r="HW12" s="19">
        <f>HV12+HW10-HW11</f>
        <v/>
      </c>
      <c r="HX12" s="19">
        <f>HW12+HX10-HX11</f>
        <v/>
      </c>
      <c r="HY12" s="19">
        <f>HX12+HY10-HY11</f>
        <v/>
      </c>
      <c r="HZ12" s="19">
        <f>HY12+HZ10-HZ11</f>
        <v/>
      </c>
      <c r="IA12" s="19">
        <f>HZ12+IA10-IA11</f>
        <v/>
      </c>
      <c r="IB12" s="19">
        <f>IA12+IB10-IB11</f>
        <v/>
      </c>
      <c r="IC12" s="19">
        <f>IB12+IC10-IC11</f>
        <v/>
      </c>
      <c r="ID12" s="19">
        <f>IC12+ID10-ID11</f>
        <v/>
      </c>
      <c r="IE12" s="19">
        <f>ID12+IE10-IE11</f>
        <v/>
      </c>
      <c r="IF12" s="19">
        <f>IE12+IF10-IF11</f>
        <v/>
      </c>
      <c r="IG12" s="19">
        <f>IF12+IG10-IG11</f>
        <v/>
      </c>
      <c r="IH12" s="19">
        <f>IG12+IH10-IH11</f>
        <v/>
      </c>
      <c r="II12" s="19">
        <f>IH12+II10-II11</f>
        <v/>
      </c>
      <c r="IJ12" s="19">
        <f>II12+IJ10-IJ11</f>
        <v/>
      </c>
      <c r="IK12" s="19">
        <f>IJ12+IK10-IK11</f>
        <v/>
      </c>
      <c r="IL12" s="19">
        <f>IK12+IL10-IL11</f>
        <v/>
      </c>
      <c r="IM12" s="19">
        <f>IL12+IM10-IM11</f>
        <v/>
      </c>
      <c r="IN12" s="19">
        <f>IM12+IN10-IN11</f>
        <v/>
      </c>
      <c r="IO12" s="19">
        <f>IN12+IO10-IO11</f>
        <v/>
      </c>
      <c r="IP12" s="19">
        <f>IO12+IP10-IP11</f>
        <v/>
      </c>
      <c r="IQ12" s="19">
        <f>IP12+IQ10-IQ11</f>
        <v/>
      </c>
      <c r="IR12" s="19">
        <f>IQ12+IR10-IR11</f>
        <v/>
      </c>
      <c r="IS12" s="19">
        <f>IR12+IS10-IS11</f>
        <v/>
      </c>
      <c r="IT12" s="19">
        <f>IS12+IT10-IT11</f>
        <v/>
      </c>
      <c r="IU12" s="19">
        <f>IT12+IU10-IU11</f>
        <v/>
      </c>
      <c r="IV12" s="19">
        <f>IU12+IV10-IV11</f>
        <v/>
      </c>
      <c r="IW12" s="19">
        <f>IV12+IW10-IW11</f>
        <v/>
      </c>
      <c r="IX12" s="19">
        <f>IW12+IX10-IX11</f>
        <v/>
      </c>
      <c r="IY12" s="19">
        <f>IX12+IY10-IY11</f>
        <v/>
      </c>
      <c r="IZ12" s="19">
        <f>IY12+IZ10-IZ11</f>
        <v/>
      </c>
      <c r="JA12" s="19">
        <f>IZ12+JA10-JA11</f>
        <v/>
      </c>
      <c r="JB12" s="19">
        <f>JA12+JB10-JB11</f>
        <v/>
      </c>
      <c r="JC12" s="19">
        <f>JB12+JC10-JC11</f>
        <v/>
      </c>
      <c r="JD12" s="19">
        <f>JC12+JD10-JD11</f>
        <v/>
      </c>
      <c r="JE12" s="19">
        <f>JD12+JE10-JE11</f>
        <v/>
      </c>
      <c r="JF12" s="19">
        <f>JE12+JF10-JF11</f>
        <v/>
      </c>
      <c r="JG12" s="19">
        <f>JF12+JG10-JG11</f>
        <v/>
      </c>
      <c r="JH12" s="19">
        <f>JG12+JH10-JH11</f>
        <v/>
      </c>
      <c r="JI12" s="19">
        <f>JH12+JI10-JI11</f>
        <v/>
      </c>
      <c r="JJ12" s="19">
        <f>JI12+JJ10-JJ11</f>
        <v/>
      </c>
      <c r="JK12" s="19">
        <f>JJ12+JK10-JK11</f>
        <v/>
      </c>
      <c r="JL12" s="19">
        <f>JK12+JL10-JL11</f>
        <v/>
      </c>
      <c r="JM12" s="19">
        <f>JL12+JM10-JM11</f>
        <v/>
      </c>
      <c r="JN12" s="19">
        <f>JM12+JN10-JN11</f>
        <v/>
      </c>
      <c r="JO12" s="19">
        <f>JN12+JO10-JO11</f>
        <v/>
      </c>
      <c r="JP12" s="19">
        <f>JO12+JP10-JP11</f>
        <v/>
      </c>
      <c r="JQ12" s="19">
        <f>JP12+JQ10-JQ11</f>
        <v/>
      </c>
      <c r="JR12" s="19">
        <f>JQ12+JR10-JR11</f>
        <v/>
      </c>
      <c r="JS12" s="19">
        <f>JR12+JS10-JS11</f>
        <v/>
      </c>
      <c r="JT12" s="19">
        <f>JS12+JT10-JT11</f>
        <v/>
      </c>
      <c r="JU12" s="19">
        <f>JT12+JU10-JU11</f>
        <v/>
      </c>
      <c r="JV12" s="19">
        <f>JU12+JV10-JV11</f>
        <v/>
      </c>
      <c r="JW12" s="19">
        <f>JV12+JW10-JW11</f>
        <v/>
      </c>
      <c r="JX12" s="19">
        <f>JW12+JX10-JX11</f>
        <v/>
      </c>
      <c r="JY12" s="19">
        <f>JX12+JY10-JY11</f>
        <v/>
      </c>
      <c r="JZ12" s="19">
        <f>JY12+JZ10-JZ11</f>
        <v/>
      </c>
      <c r="KA12" s="19">
        <f>JZ12+KA10-KA11</f>
        <v/>
      </c>
      <c r="KB12" s="19">
        <f>KA12+KB10-KB11</f>
        <v/>
      </c>
      <c r="KC12" s="19">
        <f>KB12+KC10-KC11</f>
        <v/>
      </c>
      <c r="KD12" s="19">
        <f>KC12+KD10-KD11</f>
        <v/>
      </c>
      <c r="KE12" s="19">
        <f>KD12+KE10-KE11</f>
        <v/>
      </c>
      <c r="KF12" s="19">
        <f>KE12+KF10-KF11</f>
        <v/>
      </c>
      <c r="KG12" s="19">
        <f>KF12+KG10-KG11</f>
        <v/>
      </c>
      <c r="KH12" s="19">
        <f>KG12+KH10-KH11</f>
        <v/>
      </c>
      <c r="KI12" s="19">
        <f>KH12+KI10-KI11</f>
        <v/>
      </c>
      <c r="KJ12" s="19">
        <f>KI12+KJ10-KJ11</f>
        <v/>
      </c>
      <c r="KK12" s="19">
        <f>KJ12+KK10-KK11</f>
        <v/>
      </c>
      <c r="KL12" s="19">
        <f>KK12+KL10-KL11</f>
        <v/>
      </c>
      <c r="KM12" s="19">
        <f>KL12+KM10-KM11</f>
        <v/>
      </c>
      <c r="KN12" s="19">
        <f>KM12+KN10-KN11</f>
        <v/>
      </c>
      <c r="KO12" s="19">
        <f>KN12+KO10-KO11</f>
        <v/>
      </c>
      <c r="KP12" s="19">
        <f>KO12+KP10-KP11</f>
        <v/>
      </c>
      <c r="KQ12" s="19">
        <f>KP12+KQ10-KQ11</f>
        <v/>
      </c>
      <c r="KR12" s="19">
        <f>KQ12+KR10-KR11</f>
        <v/>
      </c>
      <c r="KS12" s="19">
        <f>KR12+KS10-KS11</f>
        <v/>
      </c>
      <c r="KT12" s="19">
        <f>KS12+KT10-KT11</f>
        <v/>
      </c>
      <c r="KU12" s="19">
        <f>KT12+KU10-KU11</f>
        <v/>
      </c>
      <c r="KV12" s="19">
        <f>KU12+KV10-KV11</f>
        <v/>
      </c>
      <c r="KW12" s="19">
        <f>KV12+KW10-KW11</f>
        <v/>
      </c>
      <c r="KX12" s="19">
        <f>KW12+KX10-KX11</f>
        <v/>
      </c>
      <c r="KY12" s="19">
        <f>KX12+KY10-KY11</f>
        <v/>
      </c>
      <c r="KZ12" s="19">
        <f>KY12+KZ10-KZ11</f>
        <v/>
      </c>
      <c r="LA12" s="19">
        <f>KZ12+LA10-LA11</f>
        <v/>
      </c>
      <c r="LB12" s="19">
        <f>LA12+LB10-LB11</f>
        <v/>
      </c>
      <c r="LC12" s="19">
        <f>LB12+LC10-LC11</f>
        <v/>
      </c>
    </row>
    <row r="13">
      <c r="B13" s="17" t="inlineStr">
        <is>
          <t>Saldo inicial del activo</t>
        </is>
      </c>
      <c r="D13" s="19" t="n">
        <v>0</v>
      </c>
      <c r="E13" s="19">
        <f>D17</f>
        <v/>
      </c>
      <c r="F13" s="19">
        <f>E17</f>
        <v/>
      </c>
      <c r="G13" s="19">
        <f>F17</f>
        <v/>
      </c>
      <c r="H13" s="19">
        <f>G17</f>
        <v/>
      </c>
      <c r="I13" s="19">
        <f>H17</f>
        <v/>
      </c>
      <c r="J13" s="19">
        <f>I17</f>
        <v/>
      </c>
      <c r="K13" s="19">
        <f>J17</f>
        <v/>
      </c>
      <c r="L13" s="19">
        <f>K17</f>
        <v/>
      </c>
      <c r="M13" s="19">
        <f>L17</f>
        <v/>
      </c>
      <c r="N13" s="19">
        <f>M17</f>
        <v/>
      </c>
      <c r="O13" s="19">
        <f>N17</f>
        <v/>
      </c>
      <c r="P13" s="19">
        <f>O17</f>
        <v/>
      </c>
      <c r="Q13" s="19">
        <f>P17</f>
        <v/>
      </c>
      <c r="R13" s="19">
        <f>Q17</f>
        <v/>
      </c>
      <c r="S13" s="19">
        <f>R17</f>
        <v/>
      </c>
      <c r="T13" s="19">
        <f>S17</f>
        <v/>
      </c>
      <c r="U13" s="19">
        <f>T17</f>
        <v/>
      </c>
      <c r="V13" s="19">
        <f>U17</f>
        <v/>
      </c>
      <c r="W13" s="19">
        <f>V17</f>
        <v/>
      </c>
      <c r="X13" s="19">
        <f>W17</f>
        <v/>
      </c>
      <c r="Y13" s="19">
        <f>X17</f>
        <v/>
      </c>
      <c r="Z13" s="19">
        <f>Y17</f>
        <v/>
      </c>
      <c r="AA13" s="19">
        <f>Z17</f>
        <v/>
      </c>
      <c r="AB13" s="19">
        <f>AA17</f>
        <v/>
      </c>
      <c r="AC13" s="19">
        <f>AB17</f>
        <v/>
      </c>
      <c r="AD13" s="19">
        <f>AC17</f>
        <v/>
      </c>
      <c r="AE13" s="19">
        <f>AD17</f>
        <v/>
      </c>
      <c r="AF13" s="19">
        <f>AE17</f>
        <v/>
      </c>
      <c r="AG13" s="19">
        <f>AF17</f>
        <v/>
      </c>
      <c r="AH13" s="19">
        <f>AG17</f>
        <v/>
      </c>
      <c r="AI13" s="19">
        <f>AH17</f>
        <v/>
      </c>
      <c r="AJ13" s="19">
        <f>AI17</f>
        <v/>
      </c>
      <c r="AK13" s="19">
        <f>AJ17</f>
        <v/>
      </c>
      <c r="AL13" s="19">
        <f>AK17</f>
        <v/>
      </c>
      <c r="AM13" s="19">
        <f>AL17</f>
        <v/>
      </c>
      <c r="AN13" s="19">
        <f>AM17</f>
        <v/>
      </c>
      <c r="AO13" s="19">
        <f>AN17</f>
        <v/>
      </c>
      <c r="AP13" s="19">
        <f>AO17</f>
        <v/>
      </c>
      <c r="AQ13" s="19">
        <f>AP17</f>
        <v/>
      </c>
      <c r="AR13" s="19">
        <f>AQ17</f>
        <v/>
      </c>
      <c r="AS13" s="19">
        <f>AR17</f>
        <v/>
      </c>
      <c r="AT13" s="19">
        <f>AS17</f>
        <v/>
      </c>
      <c r="AU13" s="19">
        <f>AT17</f>
        <v/>
      </c>
      <c r="AV13" s="19">
        <f>AU17</f>
        <v/>
      </c>
      <c r="AW13" s="19">
        <f>AV17</f>
        <v/>
      </c>
      <c r="AX13" s="19">
        <f>AW17</f>
        <v/>
      </c>
      <c r="AY13" s="19">
        <f>AX17</f>
        <v/>
      </c>
      <c r="AZ13" s="19">
        <f>AY17</f>
        <v/>
      </c>
      <c r="BA13" s="19">
        <f>AZ17</f>
        <v/>
      </c>
      <c r="BB13" s="19">
        <f>BA17</f>
        <v/>
      </c>
      <c r="BC13" s="19">
        <f>BB17</f>
        <v/>
      </c>
      <c r="BD13" s="19">
        <f>BC17</f>
        <v/>
      </c>
      <c r="BE13" s="19">
        <f>BD17</f>
        <v/>
      </c>
      <c r="BF13" s="19">
        <f>BE17</f>
        <v/>
      </c>
      <c r="BG13" s="19">
        <f>BF17</f>
        <v/>
      </c>
      <c r="BH13" s="19">
        <f>BG17</f>
        <v/>
      </c>
      <c r="BI13" s="19">
        <f>BH17</f>
        <v/>
      </c>
      <c r="BJ13" s="19">
        <f>BI17</f>
        <v/>
      </c>
      <c r="BK13" s="19">
        <f>BJ17</f>
        <v/>
      </c>
      <c r="BL13" s="19">
        <f>BK17</f>
        <v/>
      </c>
      <c r="BM13" s="19">
        <f>BL17</f>
        <v/>
      </c>
      <c r="BN13" s="19">
        <f>BM17</f>
        <v/>
      </c>
      <c r="BO13" s="19">
        <f>BN17</f>
        <v/>
      </c>
      <c r="BP13" s="19">
        <f>BO17</f>
        <v/>
      </c>
      <c r="BQ13" s="19">
        <f>BP17</f>
        <v/>
      </c>
      <c r="BR13" s="19">
        <f>BQ17</f>
        <v/>
      </c>
      <c r="BS13" s="19">
        <f>BR17</f>
        <v/>
      </c>
      <c r="BT13" s="19">
        <f>BS17</f>
        <v/>
      </c>
      <c r="BU13" s="19">
        <f>BT17</f>
        <v/>
      </c>
      <c r="BV13" s="19">
        <f>BU17</f>
        <v/>
      </c>
      <c r="BW13" s="19">
        <f>BV17</f>
        <v/>
      </c>
      <c r="BX13" s="19">
        <f>BW17</f>
        <v/>
      </c>
      <c r="BY13" s="19">
        <f>BX17</f>
        <v/>
      </c>
      <c r="BZ13" s="19">
        <f>BY17</f>
        <v/>
      </c>
      <c r="CA13" s="19">
        <f>BZ17</f>
        <v/>
      </c>
      <c r="CB13" s="19">
        <f>CA17</f>
        <v/>
      </c>
      <c r="CC13" s="19">
        <f>CB17</f>
        <v/>
      </c>
      <c r="CD13" s="19">
        <f>CC17</f>
        <v/>
      </c>
      <c r="CE13" s="19">
        <f>CD17</f>
        <v/>
      </c>
      <c r="CF13" s="19">
        <f>CE17</f>
        <v/>
      </c>
      <c r="CG13" s="19">
        <f>CF17</f>
        <v/>
      </c>
      <c r="CH13" s="19">
        <f>CG17</f>
        <v/>
      </c>
      <c r="CI13" s="19">
        <f>CH17</f>
        <v/>
      </c>
      <c r="CJ13" s="19">
        <f>CI17</f>
        <v/>
      </c>
      <c r="CK13" s="19">
        <f>CJ17</f>
        <v/>
      </c>
      <c r="CL13" s="19">
        <f>CK17</f>
        <v/>
      </c>
      <c r="CM13" s="19">
        <f>CL17</f>
        <v/>
      </c>
      <c r="CN13" s="19">
        <f>CM17</f>
        <v/>
      </c>
      <c r="CO13" s="19">
        <f>CN17</f>
        <v/>
      </c>
      <c r="CP13" s="19">
        <f>CO17</f>
        <v/>
      </c>
      <c r="CQ13" s="19">
        <f>CP17</f>
        <v/>
      </c>
      <c r="CR13" s="19">
        <f>CQ17</f>
        <v/>
      </c>
      <c r="CS13" s="19">
        <f>CR17</f>
        <v/>
      </c>
      <c r="CT13" s="19">
        <f>CS17</f>
        <v/>
      </c>
      <c r="CU13" s="19">
        <f>CT17</f>
        <v/>
      </c>
      <c r="CV13" s="19">
        <f>CU17</f>
        <v/>
      </c>
      <c r="CW13" s="19">
        <f>CV17</f>
        <v/>
      </c>
      <c r="CX13" s="19">
        <f>CW17</f>
        <v/>
      </c>
      <c r="CY13" s="19">
        <f>CX17</f>
        <v/>
      </c>
      <c r="CZ13" s="19">
        <f>CY17</f>
        <v/>
      </c>
      <c r="DA13" s="19">
        <f>CZ17</f>
        <v/>
      </c>
      <c r="DB13" s="19">
        <f>DA17</f>
        <v/>
      </c>
      <c r="DC13" s="19">
        <f>DB17</f>
        <v/>
      </c>
      <c r="DD13" s="19">
        <f>DC17</f>
        <v/>
      </c>
      <c r="DE13" s="19">
        <f>DD17</f>
        <v/>
      </c>
      <c r="DF13" s="19">
        <f>DE17</f>
        <v/>
      </c>
      <c r="DG13" s="19">
        <f>DF17</f>
        <v/>
      </c>
      <c r="DH13" s="19">
        <f>DG17</f>
        <v/>
      </c>
      <c r="DI13" s="19">
        <f>DH17</f>
        <v/>
      </c>
      <c r="DJ13" s="19">
        <f>DI17</f>
        <v/>
      </c>
      <c r="DK13" s="19">
        <f>DJ17</f>
        <v/>
      </c>
      <c r="DL13" s="19">
        <f>DK17</f>
        <v/>
      </c>
      <c r="DM13" s="19">
        <f>DL17</f>
        <v/>
      </c>
      <c r="DN13" s="19">
        <f>DM17</f>
        <v/>
      </c>
      <c r="DO13" s="19">
        <f>DN17</f>
        <v/>
      </c>
      <c r="DP13" s="19">
        <f>DO17</f>
        <v/>
      </c>
      <c r="DQ13" s="19">
        <f>DP17</f>
        <v/>
      </c>
      <c r="DR13" s="19">
        <f>DQ17</f>
        <v/>
      </c>
      <c r="DS13" s="19">
        <f>DR17</f>
        <v/>
      </c>
      <c r="DT13" s="19">
        <f>DS17</f>
        <v/>
      </c>
      <c r="DU13" s="19">
        <f>DT17</f>
        <v/>
      </c>
      <c r="DV13" s="19">
        <f>DU17</f>
        <v/>
      </c>
      <c r="DW13" s="19">
        <f>DV17</f>
        <v/>
      </c>
      <c r="DX13" s="19">
        <f>DW17</f>
        <v/>
      </c>
      <c r="DY13" s="19">
        <f>DX17</f>
        <v/>
      </c>
      <c r="DZ13" s="19">
        <f>DY17</f>
        <v/>
      </c>
      <c r="EA13" s="19">
        <f>DZ17</f>
        <v/>
      </c>
      <c r="EB13" s="19">
        <f>EA17</f>
        <v/>
      </c>
      <c r="EC13" s="19">
        <f>EB17</f>
        <v/>
      </c>
      <c r="ED13" s="19">
        <f>EC17</f>
        <v/>
      </c>
      <c r="EE13" s="19">
        <f>ED17</f>
        <v/>
      </c>
      <c r="EF13" s="19">
        <f>EE17</f>
        <v/>
      </c>
      <c r="EG13" s="19">
        <f>EF17</f>
        <v/>
      </c>
      <c r="EH13" s="19">
        <f>EG17</f>
        <v/>
      </c>
      <c r="EI13" s="19">
        <f>EH17</f>
        <v/>
      </c>
      <c r="EJ13" s="19">
        <f>EI17</f>
        <v/>
      </c>
      <c r="EK13" s="19">
        <f>EJ17</f>
        <v/>
      </c>
      <c r="EL13" s="19">
        <f>EK17</f>
        <v/>
      </c>
      <c r="EM13" s="19">
        <f>EL17</f>
        <v/>
      </c>
      <c r="EN13" s="19">
        <f>EM17</f>
        <v/>
      </c>
      <c r="EO13" s="19">
        <f>EN17</f>
        <v/>
      </c>
      <c r="EP13" s="19">
        <f>EO17</f>
        <v/>
      </c>
      <c r="EQ13" s="19">
        <f>EP17</f>
        <v/>
      </c>
      <c r="ER13" s="19">
        <f>EQ17</f>
        <v/>
      </c>
      <c r="ES13" s="19">
        <f>ER17</f>
        <v/>
      </c>
      <c r="ET13" s="19">
        <f>ES17</f>
        <v/>
      </c>
      <c r="EU13" s="19">
        <f>ET17</f>
        <v/>
      </c>
      <c r="EV13" s="19">
        <f>EU17</f>
        <v/>
      </c>
      <c r="EW13" s="19">
        <f>EV17</f>
        <v/>
      </c>
      <c r="EX13" s="19">
        <f>EW17</f>
        <v/>
      </c>
      <c r="EY13" s="19">
        <f>EX17</f>
        <v/>
      </c>
      <c r="EZ13" s="19">
        <f>EY17</f>
        <v/>
      </c>
      <c r="FA13" s="19">
        <f>EZ17</f>
        <v/>
      </c>
      <c r="FB13" s="19">
        <f>FA17</f>
        <v/>
      </c>
      <c r="FC13" s="19">
        <f>FB17</f>
        <v/>
      </c>
      <c r="FD13" s="19">
        <f>FC17</f>
        <v/>
      </c>
      <c r="FE13" s="19">
        <f>FD17</f>
        <v/>
      </c>
      <c r="FF13" s="19">
        <f>FE17</f>
        <v/>
      </c>
      <c r="FG13" s="19">
        <f>FF17</f>
        <v/>
      </c>
      <c r="FH13" s="19">
        <f>FG17</f>
        <v/>
      </c>
      <c r="FI13" s="19">
        <f>FH17</f>
        <v/>
      </c>
      <c r="FJ13" s="19">
        <f>FI17</f>
        <v/>
      </c>
      <c r="FK13" s="19">
        <f>FJ17</f>
        <v/>
      </c>
      <c r="FL13" s="19">
        <f>FK17</f>
        <v/>
      </c>
      <c r="FM13" s="19">
        <f>FL17</f>
        <v/>
      </c>
      <c r="FN13" s="19">
        <f>FM17</f>
        <v/>
      </c>
      <c r="FO13" s="19">
        <f>FN17</f>
        <v/>
      </c>
      <c r="FP13" s="19">
        <f>FO17</f>
        <v/>
      </c>
      <c r="FQ13" s="19">
        <f>FP17</f>
        <v/>
      </c>
      <c r="FR13" s="19">
        <f>FQ17</f>
        <v/>
      </c>
      <c r="FS13" s="19">
        <f>FR17</f>
        <v/>
      </c>
      <c r="FT13" s="19">
        <f>FS17</f>
        <v/>
      </c>
      <c r="FU13" s="19">
        <f>FT17</f>
        <v/>
      </c>
      <c r="FV13" s="19">
        <f>FU17</f>
        <v/>
      </c>
      <c r="FW13" s="19">
        <f>FV17</f>
        <v/>
      </c>
      <c r="FX13" s="19">
        <f>FW17</f>
        <v/>
      </c>
      <c r="FY13" s="19">
        <f>FX17</f>
        <v/>
      </c>
      <c r="FZ13" s="19">
        <f>FY17</f>
        <v/>
      </c>
      <c r="GA13" s="19">
        <f>FZ17</f>
        <v/>
      </c>
      <c r="GB13" s="19">
        <f>GA17</f>
        <v/>
      </c>
      <c r="GC13" s="19">
        <f>GB17</f>
        <v/>
      </c>
      <c r="GD13" s="19">
        <f>GC17</f>
        <v/>
      </c>
      <c r="GE13" s="19">
        <f>GD17</f>
        <v/>
      </c>
      <c r="GF13" s="19">
        <f>GE17</f>
        <v/>
      </c>
      <c r="GG13" s="19">
        <f>GF17</f>
        <v/>
      </c>
      <c r="GH13" s="19">
        <f>GG17</f>
        <v/>
      </c>
      <c r="GI13" s="19">
        <f>GH17</f>
        <v/>
      </c>
      <c r="GJ13" s="19">
        <f>GI17</f>
        <v/>
      </c>
      <c r="GK13" s="19">
        <f>GJ17</f>
        <v/>
      </c>
      <c r="GL13" s="19">
        <f>GK17</f>
        <v/>
      </c>
      <c r="GM13" s="19">
        <f>GL17</f>
        <v/>
      </c>
      <c r="GN13" s="19">
        <f>GM17</f>
        <v/>
      </c>
      <c r="GO13" s="19">
        <f>GN17</f>
        <v/>
      </c>
      <c r="GP13" s="19">
        <f>GO17</f>
        <v/>
      </c>
      <c r="GQ13" s="19">
        <f>GP17</f>
        <v/>
      </c>
      <c r="GR13" s="19">
        <f>GQ17</f>
        <v/>
      </c>
      <c r="GS13" s="19">
        <f>GR17</f>
        <v/>
      </c>
      <c r="GT13" s="19">
        <f>GS17</f>
        <v/>
      </c>
      <c r="GU13" s="19">
        <f>GT17</f>
        <v/>
      </c>
      <c r="GV13" s="19">
        <f>GU17</f>
        <v/>
      </c>
      <c r="GW13" s="19">
        <f>GV17</f>
        <v/>
      </c>
      <c r="GX13" s="19">
        <f>GW17</f>
        <v/>
      </c>
      <c r="GY13" s="19">
        <f>GX17</f>
        <v/>
      </c>
      <c r="GZ13" s="19">
        <f>GY17</f>
        <v/>
      </c>
      <c r="HA13" s="19">
        <f>GZ17</f>
        <v/>
      </c>
      <c r="HB13" s="19">
        <f>HA17</f>
        <v/>
      </c>
      <c r="HC13" s="19">
        <f>HB17</f>
        <v/>
      </c>
      <c r="HD13" s="19">
        <f>HC17</f>
        <v/>
      </c>
      <c r="HE13" s="19">
        <f>HD17</f>
        <v/>
      </c>
      <c r="HF13" s="19">
        <f>HE17</f>
        <v/>
      </c>
      <c r="HG13" s="19">
        <f>HF17</f>
        <v/>
      </c>
      <c r="HH13" s="19">
        <f>HG17</f>
        <v/>
      </c>
      <c r="HI13" s="19">
        <f>HH17</f>
        <v/>
      </c>
      <c r="HJ13" s="19">
        <f>HI17</f>
        <v/>
      </c>
      <c r="HK13" s="19">
        <f>HJ17</f>
        <v/>
      </c>
      <c r="HL13" s="19">
        <f>HK17</f>
        <v/>
      </c>
      <c r="HM13" s="19">
        <f>HL17</f>
        <v/>
      </c>
      <c r="HN13" s="19">
        <f>HM17</f>
        <v/>
      </c>
      <c r="HO13" s="19">
        <f>HN17</f>
        <v/>
      </c>
      <c r="HP13" s="19">
        <f>HO17</f>
        <v/>
      </c>
      <c r="HQ13" s="19">
        <f>HP17</f>
        <v/>
      </c>
      <c r="HR13" s="19">
        <f>HQ17</f>
        <v/>
      </c>
      <c r="HS13" s="19">
        <f>HR17</f>
        <v/>
      </c>
      <c r="HT13" s="19">
        <f>HS17</f>
        <v/>
      </c>
      <c r="HU13" s="19">
        <f>HT17</f>
        <v/>
      </c>
      <c r="HV13" s="19">
        <f>HU17</f>
        <v/>
      </c>
      <c r="HW13" s="19">
        <f>HV17</f>
        <v/>
      </c>
      <c r="HX13" s="19">
        <f>HW17</f>
        <v/>
      </c>
      <c r="HY13" s="19">
        <f>HX17</f>
        <v/>
      </c>
      <c r="HZ13" s="19">
        <f>HY17</f>
        <v/>
      </c>
      <c r="IA13" s="19">
        <f>HZ17</f>
        <v/>
      </c>
      <c r="IB13" s="19">
        <f>IA17</f>
        <v/>
      </c>
      <c r="IC13" s="19">
        <f>IB17</f>
        <v/>
      </c>
      <c r="ID13" s="19">
        <f>IC17</f>
        <v/>
      </c>
      <c r="IE13" s="19">
        <f>ID17</f>
        <v/>
      </c>
      <c r="IF13" s="19">
        <f>IE17</f>
        <v/>
      </c>
      <c r="IG13" s="19">
        <f>IF17</f>
        <v/>
      </c>
      <c r="IH13" s="19">
        <f>IG17</f>
        <v/>
      </c>
      <c r="II13" s="19">
        <f>IH17</f>
        <v/>
      </c>
      <c r="IJ13" s="19">
        <f>II17</f>
        <v/>
      </c>
      <c r="IK13" s="19">
        <f>IJ17</f>
        <v/>
      </c>
      <c r="IL13" s="19">
        <f>IK17</f>
        <v/>
      </c>
      <c r="IM13" s="19">
        <f>IL17</f>
        <v/>
      </c>
      <c r="IN13" s="19">
        <f>IM17</f>
        <v/>
      </c>
      <c r="IO13" s="19">
        <f>IN17</f>
        <v/>
      </c>
      <c r="IP13" s="19">
        <f>IO17</f>
        <v/>
      </c>
      <c r="IQ13" s="19">
        <f>IP17</f>
        <v/>
      </c>
      <c r="IR13" s="19">
        <f>IQ17</f>
        <v/>
      </c>
      <c r="IS13" s="19">
        <f>IR17</f>
        <v/>
      </c>
      <c r="IT13" s="19">
        <f>IS17</f>
        <v/>
      </c>
      <c r="IU13" s="19">
        <f>IT17</f>
        <v/>
      </c>
      <c r="IV13" s="19">
        <f>IU17</f>
        <v/>
      </c>
      <c r="IW13" s="19">
        <f>IV17</f>
        <v/>
      </c>
      <c r="IX13" s="19">
        <f>IW17</f>
        <v/>
      </c>
      <c r="IY13" s="19">
        <f>IX17</f>
        <v/>
      </c>
      <c r="IZ13" s="19">
        <f>IY17</f>
        <v/>
      </c>
      <c r="JA13" s="19">
        <f>IZ17</f>
        <v/>
      </c>
      <c r="JB13" s="19">
        <f>JA17</f>
        <v/>
      </c>
      <c r="JC13" s="19">
        <f>JB17</f>
        <v/>
      </c>
      <c r="JD13" s="19">
        <f>JC17</f>
        <v/>
      </c>
      <c r="JE13" s="19">
        <f>JD17</f>
        <v/>
      </c>
      <c r="JF13" s="19">
        <f>JE17</f>
        <v/>
      </c>
      <c r="JG13" s="19">
        <f>JF17</f>
        <v/>
      </c>
      <c r="JH13" s="19">
        <f>JG17</f>
        <v/>
      </c>
      <c r="JI13" s="19">
        <f>JH17</f>
        <v/>
      </c>
      <c r="JJ13" s="19">
        <f>JI17</f>
        <v/>
      </c>
      <c r="JK13" s="19">
        <f>JJ17</f>
        <v/>
      </c>
      <c r="JL13" s="19">
        <f>JK17</f>
        <v/>
      </c>
      <c r="JM13" s="19">
        <f>JL17</f>
        <v/>
      </c>
      <c r="JN13" s="19">
        <f>JM17</f>
        <v/>
      </c>
      <c r="JO13" s="19">
        <f>JN17</f>
        <v/>
      </c>
      <c r="JP13" s="19">
        <f>JO17</f>
        <v/>
      </c>
      <c r="JQ13" s="19">
        <f>JP17</f>
        <v/>
      </c>
      <c r="JR13" s="19">
        <f>JQ17</f>
        <v/>
      </c>
      <c r="JS13" s="19">
        <f>JR17</f>
        <v/>
      </c>
      <c r="JT13" s="19">
        <f>JS17</f>
        <v/>
      </c>
      <c r="JU13" s="19">
        <f>JT17</f>
        <v/>
      </c>
      <c r="JV13" s="19">
        <f>JU17</f>
        <v/>
      </c>
      <c r="JW13" s="19">
        <f>JV17</f>
        <v/>
      </c>
      <c r="JX13" s="19">
        <f>JW17</f>
        <v/>
      </c>
      <c r="JY13" s="19">
        <f>JX17</f>
        <v/>
      </c>
      <c r="JZ13" s="19">
        <f>JY17</f>
        <v/>
      </c>
      <c r="KA13" s="19">
        <f>JZ17</f>
        <v/>
      </c>
      <c r="KB13" s="19">
        <f>KA17</f>
        <v/>
      </c>
      <c r="KC13" s="19">
        <f>KB17</f>
        <v/>
      </c>
      <c r="KD13" s="19">
        <f>KC17</f>
        <v/>
      </c>
      <c r="KE13" s="19">
        <f>KD17</f>
        <v/>
      </c>
      <c r="KF13" s="19">
        <f>KE17</f>
        <v/>
      </c>
      <c r="KG13" s="19">
        <f>KF17</f>
        <v/>
      </c>
      <c r="KH13" s="19">
        <f>KG17</f>
        <v/>
      </c>
      <c r="KI13" s="19">
        <f>KH17</f>
        <v/>
      </c>
      <c r="KJ13" s="19">
        <f>KI17</f>
        <v/>
      </c>
      <c r="KK13" s="19">
        <f>KJ17</f>
        <v/>
      </c>
      <c r="KL13" s="19">
        <f>KK17</f>
        <v/>
      </c>
      <c r="KM13" s="19">
        <f>KL17</f>
        <v/>
      </c>
      <c r="KN13" s="19">
        <f>KM17</f>
        <v/>
      </c>
      <c r="KO13" s="19">
        <f>KN17</f>
        <v/>
      </c>
      <c r="KP13" s="19">
        <f>KO17</f>
        <v/>
      </c>
      <c r="KQ13" s="19">
        <f>KP17</f>
        <v/>
      </c>
      <c r="KR13" s="19">
        <f>KQ17</f>
        <v/>
      </c>
      <c r="KS13" s="19">
        <f>KR17</f>
        <v/>
      </c>
      <c r="KT13" s="19">
        <f>KS17</f>
        <v/>
      </c>
      <c r="KU13" s="19">
        <f>KT17</f>
        <v/>
      </c>
      <c r="KV13" s="19">
        <f>KU17</f>
        <v/>
      </c>
      <c r="KW13" s="19">
        <f>KV17</f>
        <v/>
      </c>
      <c r="KX13" s="19">
        <f>KW17</f>
        <v/>
      </c>
      <c r="KY13" s="19">
        <f>KX17</f>
        <v/>
      </c>
      <c r="KZ13" s="19">
        <f>KY17</f>
        <v/>
      </c>
      <c r="LA13" s="19">
        <f>KZ17</f>
        <v/>
      </c>
      <c r="LB13" s="19">
        <f>LA17</f>
        <v/>
      </c>
      <c r="LC13" s="19">
        <f>LB17</f>
        <v/>
      </c>
    </row>
    <row r="14">
      <c r="B14" s="17" t="inlineStr">
        <is>
          <t>Servicio de construccion del periodo</t>
        </is>
      </c>
      <c r="D14" s="19" t="n">
        <v>9871.061053815973</v>
      </c>
      <c r="E14" s="19" t="n">
        <v>1436.319068468077</v>
      </c>
      <c r="F14" s="19" t="n">
        <v>1438.691266185151</v>
      </c>
      <c r="G14" s="19" t="n">
        <v>1441.067381779618</v>
      </c>
      <c r="H14" s="19" t="n">
        <v>1443.447421722173</v>
      </c>
      <c r="I14" s="19" t="n">
        <v>1445.831392494194</v>
      </c>
      <c r="J14" s="19" t="n">
        <v>1456.5526339211</v>
      </c>
      <c r="K14" s="19" t="n">
        <v>1458.94448583903</v>
      </c>
      <c r="L14" s="19" t="n">
        <v>1461.340288094866</v>
      </c>
      <c r="M14" s="19" t="n">
        <v>1381.064947432726</v>
      </c>
      <c r="N14" s="19" t="n">
        <v>1383.332125299127</v>
      </c>
      <c r="O14" s="19" t="n">
        <v>1385.603047594101</v>
      </c>
      <c r="P14" s="19" t="n">
        <v>49.87603865493386</v>
      </c>
      <c r="Q14" s="19" t="n">
        <v>49.9446498102742</v>
      </c>
      <c r="R14" s="19" t="n">
        <v>50.0133742825158</v>
      </c>
      <c r="S14" s="19" t="n">
        <v>133.5799701097656</v>
      </c>
      <c r="T14" s="19" t="n">
        <v>8.333333333333334</v>
      </c>
      <c r="U14" s="19" t="n">
        <v>8.333333333333334</v>
      </c>
      <c r="V14" s="19" t="n">
        <v>8.333333333333334</v>
      </c>
      <c r="W14" s="19" t="n">
        <v>8.333333333333334</v>
      </c>
      <c r="X14" s="19" t="n">
        <v>8.333333333333334</v>
      </c>
      <c r="Y14" s="19" t="n">
        <v>47218.55807480431</v>
      </c>
      <c r="Z14" s="19" t="n">
        <v>6404.7805657171</v>
      </c>
      <c r="AA14" s="19" t="n">
        <v>6410.954088614444</v>
      </c>
      <c r="AB14" s="19" t="n">
        <v>6417.137807586776</v>
      </c>
      <c r="AC14" s="19" t="n">
        <v>6423.331739473739</v>
      </c>
      <c r="AD14" s="19" t="n">
        <v>6429.535901142794</v>
      </c>
      <c r="AE14" s="19" t="n">
        <v>15912.37428631301</v>
      </c>
      <c r="AF14" s="19" t="n">
        <v>15927.95722027007</v>
      </c>
      <c r="AG14" s="19" t="n">
        <v>15943.56589070949</v>
      </c>
      <c r="AH14" s="19" t="n">
        <v>15959.20034013716</v>
      </c>
      <c r="AI14" s="19" t="n">
        <v>15722.7537376416</v>
      </c>
      <c r="AJ14" s="19" t="n">
        <v>15702.76541169011</v>
      </c>
      <c r="AK14" s="19" t="n">
        <v>13733.55457788014</v>
      </c>
      <c r="AL14" s="19" t="n">
        <v>13722.70830280461</v>
      </c>
      <c r="AM14" s="19" t="n">
        <v>13134.64137026406</v>
      </c>
      <c r="AN14" s="19" t="n">
        <v>13147.56117660037</v>
      </c>
      <c r="AO14" s="19" t="n">
        <v>14866.67739108563</v>
      </c>
      <c r="AP14" s="19" t="n">
        <v>14845.546769703</v>
      </c>
      <c r="AQ14" s="19" t="n">
        <v>2463.988239205169</v>
      </c>
      <c r="AR14" s="19" t="n">
        <v>2466.407287591749</v>
      </c>
      <c r="AS14" s="19" t="n">
        <v>1610.093045240443</v>
      </c>
      <c r="AT14" s="19" t="n">
        <v>1611.672078981736</v>
      </c>
      <c r="AU14" s="19" t="n">
        <v>197.8101487364306</v>
      </c>
      <c r="AV14" s="19" t="n">
        <v>197.9966377491016</v>
      </c>
      <c r="AW14" s="19" t="n">
        <v>198.1834347635388</v>
      </c>
      <c r="AX14" s="19" t="n">
        <v>198.3705402884324</v>
      </c>
      <c r="AY14" s="19" t="n">
        <v>198.5579548333123</v>
      </c>
      <c r="AZ14" s="19" t="n">
        <v>0</v>
      </c>
      <c r="BA14" s="19" t="n">
        <v>0</v>
      </c>
      <c r="BB14" s="19" t="n">
        <v>0</v>
      </c>
      <c r="BC14" s="19" t="n">
        <v>0</v>
      </c>
      <c r="BD14" s="19" t="n">
        <v>0</v>
      </c>
      <c r="BE14" s="19" t="n">
        <v>0</v>
      </c>
      <c r="BF14" s="19" t="n">
        <v>0</v>
      </c>
      <c r="BG14" s="19" t="n">
        <v>0</v>
      </c>
      <c r="BH14" s="19" t="n">
        <v>0</v>
      </c>
      <c r="BI14" s="19" t="n">
        <v>0</v>
      </c>
      <c r="BJ14" s="19" t="n">
        <v>0</v>
      </c>
      <c r="BK14" s="19" t="n">
        <v>0</v>
      </c>
      <c r="BL14" s="19" t="n">
        <v>0</v>
      </c>
      <c r="BM14" s="19" t="n">
        <v>0</v>
      </c>
      <c r="BN14" s="19" t="n">
        <v>0</v>
      </c>
      <c r="BO14" s="19" t="n">
        <v>0</v>
      </c>
      <c r="BP14" s="19" t="n">
        <v>0</v>
      </c>
      <c r="BQ14" s="19" t="n">
        <v>0</v>
      </c>
      <c r="BR14" s="19" t="n">
        <v>0</v>
      </c>
      <c r="BS14" s="19" t="n">
        <v>0</v>
      </c>
      <c r="BT14" s="19" t="n">
        <v>0</v>
      </c>
      <c r="BU14" s="19" t="n">
        <v>0</v>
      </c>
      <c r="BV14" s="19" t="n">
        <v>0</v>
      </c>
      <c r="BW14" s="19" t="n">
        <v>0</v>
      </c>
      <c r="BX14" s="19" t="n">
        <v>0</v>
      </c>
      <c r="BY14" s="19" t="n">
        <v>0</v>
      </c>
      <c r="BZ14" s="19" t="n">
        <v>0</v>
      </c>
      <c r="CA14" s="19" t="n">
        <v>0</v>
      </c>
      <c r="CB14" s="19" t="n">
        <v>0</v>
      </c>
      <c r="CC14" s="19" t="n">
        <v>0</v>
      </c>
      <c r="CD14" s="19" t="n">
        <v>0</v>
      </c>
      <c r="CE14" s="19" t="n">
        <v>0</v>
      </c>
      <c r="CF14" s="19" t="n">
        <v>0</v>
      </c>
      <c r="CG14" s="19" t="n">
        <v>0</v>
      </c>
      <c r="CH14" s="19" t="n">
        <v>0</v>
      </c>
      <c r="CI14" s="19" t="n">
        <v>0</v>
      </c>
      <c r="CJ14" s="19" t="n">
        <v>0</v>
      </c>
      <c r="CK14" s="19" t="n">
        <v>0</v>
      </c>
      <c r="CL14" s="19" t="n">
        <v>0</v>
      </c>
      <c r="CM14" s="19" t="n">
        <v>0</v>
      </c>
      <c r="CN14" s="19" t="n">
        <v>0</v>
      </c>
      <c r="CO14" s="19" t="n">
        <v>0</v>
      </c>
      <c r="CP14" s="19" t="n">
        <v>0</v>
      </c>
      <c r="CQ14" s="19" t="n">
        <v>0</v>
      </c>
      <c r="CR14" s="19" t="n">
        <v>0</v>
      </c>
      <c r="CS14" s="19" t="n">
        <v>0</v>
      </c>
      <c r="CT14" s="19" t="n">
        <v>0</v>
      </c>
      <c r="CU14" s="19" t="n">
        <v>0</v>
      </c>
      <c r="CV14" s="19" t="n">
        <v>0</v>
      </c>
      <c r="CW14" s="19" t="n">
        <v>0</v>
      </c>
      <c r="CX14" s="19" t="n">
        <v>0</v>
      </c>
      <c r="CY14" s="19" t="n">
        <v>0</v>
      </c>
      <c r="CZ14" s="19" t="n">
        <v>0</v>
      </c>
      <c r="DA14" s="19" t="n">
        <v>0</v>
      </c>
      <c r="DB14" s="19" t="n">
        <v>0</v>
      </c>
      <c r="DC14" s="19" t="n">
        <v>0</v>
      </c>
      <c r="DD14" s="19" t="n">
        <v>0</v>
      </c>
      <c r="DE14" s="19" t="n">
        <v>0</v>
      </c>
      <c r="DF14" s="19" t="n">
        <v>0</v>
      </c>
      <c r="DG14" s="19" t="n">
        <v>0</v>
      </c>
      <c r="DH14" s="19" t="n">
        <v>0</v>
      </c>
      <c r="DI14" s="19" t="n">
        <v>0</v>
      </c>
      <c r="DJ14" s="19" t="n">
        <v>0</v>
      </c>
      <c r="DK14" s="19" t="n">
        <v>0</v>
      </c>
      <c r="DL14" s="19" t="n">
        <v>0</v>
      </c>
      <c r="DM14" s="19" t="n">
        <v>0</v>
      </c>
      <c r="DN14" s="19" t="n">
        <v>0</v>
      </c>
      <c r="DO14" s="19" t="n">
        <v>0</v>
      </c>
      <c r="DP14" s="19" t="n">
        <v>0</v>
      </c>
      <c r="DQ14" s="19" t="n">
        <v>0</v>
      </c>
      <c r="DR14" s="19" t="n">
        <v>0</v>
      </c>
      <c r="DS14" s="19" t="n">
        <v>0</v>
      </c>
      <c r="DT14" s="19" t="n">
        <v>0</v>
      </c>
      <c r="DU14" s="19" t="n">
        <v>0</v>
      </c>
      <c r="DV14" s="19" t="n">
        <v>0</v>
      </c>
      <c r="DW14" s="19" t="n">
        <v>0</v>
      </c>
      <c r="DX14" s="19" t="n">
        <v>0</v>
      </c>
      <c r="DY14" s="19" t="n">
        <v>0</v>
      </c>
      <c r="DZ14" s="19" t="n">
        <v>0</v>
      </c>
      <c r="EA14" s="19" t="n">
        <v>0</v>
      </c>
      <c r="EB14" s="19" t="n">
        <v>0</v>
      </c>
      <c r="EC14" s="19" t="n">
        <v>0</v>
      </c>
      <c r="ED14" s="19" t="n">
        <v>0</v>
      </c>
      <c r="EE14" s="19" t="n">
        <v>0</v>
      </c>
      <c r="EF14" s="19" t="n">
        <v>0</v>
      </c>
      <c r="EG14" s="19" t="n">
        <v>0</v>
      </c>
      <c r="EH14" s="19" t="n">
        <v>0</v>
      </c>
      <c r="EI14" s="19" t="n">
        <v>0</v>
      </c>
      <c r="EJ14" s="19" t="n">
        <v>0</v>
      </c>
      <c r="EK14" s="19" t="n">
        <v>0</v>
      </c>
      <c r="EL14" s="19" t="n">
        <v>0</v>
      </c>
      <c r="EM14" s="19" t="n">
        <v>0</v>
      </c>
      <c r="EN14" s="19" t="n">
        <v>0</v>
      </c>
      <c r="EO14" s="19" t="n">
        <v>0</v>
      </c>
      <c r="EP14" s="19" t="n">
        <v>0</v>
      </c>
      <c r="EQ14" s="19" t="n">
        <v>0</v>
      </c>
      <c r="ER14" s="19" t="n">
        <v>0</v>
      </c>
      <c r="ES14" s="19" t="n">
        <v>0</v>
      </c>
      <c r="ET14" s="19" t="n">
        <v>0</v>
      </c>
      <c r="EU14" s="19" t="n">
        <v>0</v>
      </c>
      <c r="EV14" s="19" t="n">
        <v>0</v>
      </c>
      <c r="EW14" s="19" t="n">
        <v>0</v>
      </c>
      <c r="EX14" s="19" t="n">
        <v>0</v>
      </c>
      <c r="EY14" s="19" t="n">
        <v>0</v>
      </c>
      <c r="EZ14" s="19" t="n">
        <v>0</v>
      </c>
      <c r="FA14" s="19" t="n">
        <v>0</v>
      </c>
      <c r="FB14" s="19" t="n">
        <v>0</v>
      </c>
      <c r="FC14" s="19" t="n">
        <v>0</v>
      </c>
      <c r="FD14" s="19" t="n">
        <v>0</v>
      </c>
      <c r="FE14" s="19" t="n">
        <v>0</v>
      </c>
      <c r="FF14" s="19" t="n">
        <v>0</v>
      </c>
      <c r="FG14" s="19" t="n">
        <v>0</v>
      </c>
      <c r="FH14" s="19" t="n">
        <v>0</v>
      </c>
      <c r="FI14" s="19" t="n">
        <v>0</v>
      </c>
      <c r="FJ14" s="19" t="n">
        <v>0</v>
      </c>
      <c r="FK14" s="19" t="n">
        <v>0</v>
      </c>
      <c r="FL14" s="19" t="n">
        <v>0</v>
      </c>
      <c r="FM14" s="19" t="n">
        <v>0</v>
      </c>
      <c r="FN14" s="19" t="n">
        <v>0</v>
      </c>
      <c r="FO14" s="19" t="n">
        <v>0</v>
      </c>
      <c r="FP14" s="19" t="n">
        <v>0</v>
      </c>
      <c r="FQ14" s="19" t="n">
        <v>0</v>
      </c>
      <c r="FR14" s="19" t="n">
        <v>0</v>
      </c>
      <c r="FS14" s="19" t="n">
        <v>0</v>
      </c>
      <c r="FT14" s="19" t="n">
        <v>0</v>
      </c>
      <c r="FU14" s="19" t="n">
        <v>0</v>
      </c>
      <c r="FV14" s="19" t="n">
        <v>0</v>
      </c>
      <c r="FW14" s="19" t="n">
        <v>0</v>
      </c>
      <c r="FX14" s="19" t="n">
        <v>0</v>
      </c>
      <c r="FY14" s="19" t="n">
        <v>0</v>
      </c>
      <c r="FZ14" s="19" t="n">
        <v>0</v>
      </c>
      <c r="GA14" s="19" t="n">
        <v>0</v>
      </c>
      <c r="GB14" s="19" t="n">
        <v>0</v>
      </c>
      <c r="GC14" s="19" t="n">
        <v>0</v>
      </c>
      <c r="GD14" s="19" t="n">
        <v>0</v>
      </c>
      <c r="GE14" s="19" t="n">
        <v>0</v>
      </c>
      <c r="GF14" s="19" t="n">
        <v>0</v>
      </c>
      <c r="GG14" s="19" t="n">
        <v>0</v>
      </c>
      <c r="GH14" s="19" t="n">
        <v>0</v>
      </c>
      <c r="GI14" s="19" t="n">
        <v>0</v>
      </c>
      <c r="GJ14" s="19" t="n">
        <v>0</v>
      </c>
      <c r="GK14" s="19" t="n">
        <v>0</v>
      </c>
      <c r="GL14" s="19" t="n">
        <v>0</v>
      </c>
      <c r="GM14" s="19" t="n">
        <v>0</v>
      </c>
      <c r="GN14" s="19" t="n">
        <v>0</v>
      </c>
      <c r="GO14" s="19" t="n">
        <v>0</v>
      </c>
      <c r="GP14" s="19" t="n">
        <v>0</v>
      </c>
      <c r="GQ14" s="19" t="n">
        <v>0</v>
      </c>
      <c r="GR14" s="19" t="n">
        <v>0</v>
      </c>
      <c r="GS14" s="19" t="n">
        <v>0</v>
      </c>
      <c r="GT14" s="19" t="n">
        <v>0</v>
      </c>
      <c r="GU14" s="19" t="n">
        <v>0</v>
      </c>
      <c r="GV14" s="19" t="n">
        <v>0</v>
      </c>
      <c r="GW14" s="19" t="n">
        <v>0</v>
      </c>
      <c r="GX14" s="19" t="n">
        <v>0</v>
      </c>
      <c r="GY14" s="19" t="n">
        <v>0</v>
      </c>
      <c r="GZ14" s="19" t="n">
        <v>0</v>
      </c>
      <c r="HA14" s="19" t="n">
        <v>0</v>
      </c>
      <c r="HB14" s="19" t="n">
        <v>0</v>
      </c>
      <c r="HC14" s="19" t="n">
        <v>0</v>
      </c>
      <c r="HD14" s="19" t="n">
        <v>0</v>
      </c>
      <c r="HE14" s="19" t="n">
        <v>0</v>
      </c>
      <c r="HF14" s="19" t="n">
        <v>0</v>
      </c>
      <c r="HG14" s="19" t="n">
        <v>0</v>
      </c>
      <c r="HH14" s="19" t="n">
        <v>0</v>
      </c>
      <c r="HI14" s="19" t="n">
        <v>0</v>
      </c>
      <c r="HJ14" s="19" t="n">
        <v>0</v>
      </c>
      <c r="HK14" s="19" t="n">
        <v>0</v>
      </c>
      <c r="HL14" s="19" t="n">
        <v>0</v>
      </c>
      <c r="HM14" s="19" t="n">
        <v>0</v>
      </c>
      <c r="HN14" s="19" t="n">
        <v>0</v>
      </c>
      <c r="HO14" s="19" t="n">
        <v>0</v>
      </c>
      <c r="HP14" s="19" t="n">
        <v>0</v>
      </c>
      <c r="HQ14" s="19" t="n">
        <v>0</v>
      </c>
      <c r="HR14" s="19" t="n">
        <v>0</v>
      </c>
      <c r="HS14" s="19" t="n">
        <v>0</v>
      </c>
      <c r="HT14" s="19" t="n">
        <v>0</v>
      </c>
      <c r="HU14" s="19" t="n">
        <v>0</v>
      </c>
      <c r="HV14" s="19" t="n">
        <v>0</v>
      </c>
      <c r="HW14" s="19" t="n">
        <v>0</v>
      </c>
      <c r="HX14" s="19" t="n">
        <v>0</v>
      </c>
      <c r="HY14" s="19" t="n">
        <v>0</v>
      </c>
      <c r="HZ14" s="19" t="n">
        <v>0</v>
      </c>
      <c r="IA14" s="19" t="n">
        <v>0</v>
      </c>
      <c r="IB14" s="19" t="n">
        <v>0</v>
      </c>
      <c r="IC14" s="19" t="n">
        <v>0</v>
      </c>
      <c r="ID14" s="19" t="n">
        <v>0</v>
      </c>
      <c r="IE14" s="19" t="n">
        <v>0</v>
      </c>
      <c r="IF14" s="19" t="n">
        <v>0</v>
      </c>
      <c r="IG14" s="19" t="n">
        <v>0</v>
      </c>
      <c r="IH14" s="19" t="n">
        <v>0</v>
      </c>
      <c r="II14" s="19" t="n">
        <v>0</v>
      </c>
      <c r="IJ14" s="19" t="n">
        <v>0</v>
      </c>
      <c r="IK14" s="19" t="n">
        <v>0</v>
      </c>
      <c r="IL14" s="19" t="n">
        <v>0</v>
      </c>
      <c r="IM14" s="19" t="n">
        <v>0</v>
      </c>
      <c r="IN14" s="19" t="n">
        <v>0</v>
      </c>
      <c r="IO14" s="19" t="n">
        <v>0</v>
      </c>
      <c r="IP14" s="19" t="n">
        <v>0</v>
      </c>
      <c r="IQ14" s="19" t="n">
        <v>0</v>
      </c>
      <c r="IR14" s="19" t="n">
        <v>0</v>
      </c>
      <c r="IS14" s="19" t="n">
        <v>0</v>
      </c>
      <c r="IT14" s="19" t="n">
        <v>0</v>
      </c>
      <c r="IU14" s="19" t="n">
        <v>0</v>
      </c>
      <c r="IV14" s="19" t="n">
        <v>0</v>
      </c>
      <c r="IW14" s="19" t="n">
        <v>0</v>
      </c>
      <c r="IX14" s="19" t="n">
        <v>0</v>
      </c>
      <c r="IY14" s="19" t="n">
        <v>0</v>
      </c>
      <c r="IZ14" s="19" t="n">
        <v>0</v>
      </c>
      <c r="JA14" s="19" t="n">
        <v>0</v>
      </c>
      <c r="JB14" s="19" t="n">
        <v>0</v>
      </c>
      <c r="JC14" s="19" t="n">
        <v>0</v>
      </c>
      <c r="JD14" s="19" t="n">
        <v>0</v>
      </c>
      <c r="JE14" s="19" t="n">
        <v>0</v>
      </c>
      <c r="JF14" s="19" t="n">
        <v>0</v>
      </c>
      <c r="JG14" s="19" t="n">
        <v>0</v>
      </c>
      <c r="JH14" s="19" t="n">
        <v>0</v>
      </c>
      <c r="JI14" s="19" t="n">
        <v>0</v>
      </c>
      <c r="JJ14" s="19" t="n">
        <v>0</v>
      </c>
      <c r="JK14" s="19" t="n">
        <v>0</v>
      </c>
      <c r="JL14" s="19" t="n">
        <v>0</v>
      </c>
      <c r="JM14" s="19" t="n">
        <v>0</v>
      </c>
      <c r="JN14" s="19" t="n">
        <v>0</v>
      </c>
      <c r="JO14" s="19" t="n">
        <v>0</v>
      </c>
      <c r="JP14" s="19" t="n">
        <v>0</v>
      </c>
      <c r="JQ14" s="19" t="n">
        <v>0</v>
      </c>
      <c r="JR14" s="19" t="n">
        <v>0</v>
      </c>
      <c r="JS14" s="19" t="n">
        <v>0</v>
      </c>
      <c r="JT14" s="19" t="n">
        <v>0</v>
      </c>
      <c r="JU14" s="19" t="n">
        <v>0</v>
      </c>
      <c r="JV14" s="19" t="n">
        <v>0</v>
      </c>
      <c r="JW14" s="19" t="n">
        <v>0</v>
      </c>
      <c r="JX14" s="19" t="n">
        <v>0</v>
      </c>
      <c r="JY14" s="19" t="n">
        <v>0</v>
      </c>
      <c r="JZ14" s="19" t="n">
        <v>0</v>
      </c>
      <c r="KA14" s="19" t="n">
        <v>0</v>
      </c>
      <c r="KB14" s="19" t="n">
        <v>0</v>
      </c>
      <c r="KC14" s="19" t="n">
        <v>0</v>
      </c>
      <c r="KD14" s="19" t="n">
        <v>0</v>
      </c>
      <c r="KE14" s="19" t="n">
        <v>0</v>
      </c>
      <c r="KF14" s="19" t="n">
        <v>0</v>
      </c>
      <c r="KG14" s="19" t="n">
        <v>0</v>
      </c>
      <c r="KH14" s="19" t="n">
        <v>0</v>
      </c>
      <c r="KI14" s="19" t="n">
        <v>0</v>
      </c>
      <c r="KJ14" s="19" t="n">
        <v>0</v>
      </c>
      <c r="KK14" s="19" t="n">
        <v>0</v>
      </c>
      <c r="KL14" s="19" t="n">
        <v>0</v>
      </c>
      <c r="KM14" s="19" t="n">
        <v>0</v>
      </c>
      <c r="KN14" s="19" t="n">
        <v>0</v>
      </c>
      <c r="KO14" s="19" t="n">
        <v>0</v>
      </c>
      <c r="KP14" s="19" t="n">
        <v>0</v>
      </c>
      <c r="KQ14" s="19" t="n">
        <v>0</v>
      </c>
      <c r="KR14" s="19" t="n">
        <v>0</v>
      </c>
      <c r="KS14" s="19" t="n">
        <v>0</v>
      </c>
      <c r="KT14" s="19" t="n">
        <v>0</v>
      </c>
      <c r="KU14" s="19" t="n">
        <v>0</v>
      </c>
      <c r="KV14" s="19" t="n">
        <v>0</v>
      </c>
      <c r="KW14" s="19" t="n">
        <v>0</v>
      </c>
      <c r="KX14" s="19" t="n">
        <v>0</v>
      </c>
      <c r="KY14" s="19" t="n">
        <v>0</v>
      </c>
      <c r="KZ14" s="19" t="n">
        <v>0</v>
      </c>
      <c r="LA14" s="19" t="n">
        <v>0</v>
      </c>
      <c r="LB14" s="19" t="n">
        <v>0</v>
      </c>
      <c r="LC14" s="19" t="n">
        <v>0</v>
      </c>
    </row>
    <row r="15">
      <c r="B15" s="17" t="inlineStr">
        <is>
          <t>Ingreso financiero devengado</t>
        </is>
      </c>
      <c r="D15" s="19">
        <f>D13*$D$7</f>
        <v/>
      </c>
      <c r="E15" s="19">
        <f>E13*$D$7</f>
        <v/>
      </c>
      <c r="F15" s="19">
        <f>F13*$D$7</f>
        <v/>
      </c>
      <c r="G15" s="19">
        <f>G13*$D$7</f>
        <v/>
      </c>
      <c r="H15" s="19">
        <f>H13*$D$7</f>
        <v/>
      </c>
      <c r="I15" s="19">
        <f>I13*$D$7</f>
        <v/>
      </c>
      <c r="J15" s="19">
        <f>J13*$D$7</f>
        <v/>
      </c>
      <c r="K15" s="19">
        <f>K13*$D$7</f>
        <v/>
      </c>
      <c r="L15" s="19">
        <f>L13*$D$7</f>
        <v/>
      </c>
      <c r="M15" s="19">
        <f>M13*$D$7</f>
        <v/>
      </c>
      <c r="N15" s="19">
        <f>N13*$D$7</f>
        <v/>
      </c>
      <c r="O15" s="19">
        <f>O13*$D$7</f>
        <v/>
      </c>
      <c r="P15" s="19">
        <f>P13*$D$7</f>
        <v/>
      </c>
      <c r="Q15" s="19">
        <f>Q13*$D$7</f>
        <v/>
      </c>
      <c r="R15" s="19">
        <f>R13*$D$7</f>
        <v/>
      </c>
      <c r="S15" s="19">
        <f>S13*$D$7</f>
        <v/>
      </c>
      <c r="T15" s="19">
        <f>T13*$D$7</f>
        <v/>
      </c>
      <c r="U15" s="19">
        <f>U13*$D$7</f>
        <v/>
      </c>
      <c r="V15" s="19">
        <f>V13*$D$7</f>
        <v/>
      </c>
      <c r="W15" s="19">
        <f>W13*$D$7</f>
        <v/>
      </c>
      <c r="X15" s="19">
        <f>X13*$D$7</f>
        <v/>
      </c>
      <c r="Y15" s="19">
        <f>Y13*$D$7</f>
        <v/>
      </c>
      <c r="Z15" s="19">
        <f>Z13*$D$7</f>
        <v/>
      </c>
      <c r="AA15" s="19">
        <f>AA13*$D$7</f>
        <v/>
      </c>
      <c r="AB15" s="19">
        <f>AB13*$D$7</f>
        <v/>
      </c>
      <c r="AC15" s="19">
        <f>AC13*$D$7</f>
        <v/>
      </c>
      <c r="AD15" s="19">
        <f>AD13*$D$7</f>
        <v/>
      </c>
      <c r="AE15" s="19">
        <f>AE13*$D$7</f>
        <v/>
      </c>
      <c r="AF15" s="19">
        <f>AF13*$D$7</f>
        <v/>
      </c>
      <c r="AG15" s="19">
        <f>AG13*$D$7</f>
        <v/>
      </c>
      <c r="AH15" s="19">
        <f>AH13*$D$7</f>
        <v/>
      </c>
      <c r="AI15" s="19">
        <f>AI13*$D$7</f>
        <v/>
      </c>
      <c r="AJ15" s="19">
        <f>AJ13*$D$7</f>
        <v/>
      </c>
      <c r="AK15" s="19">
        <f>AK13*$D$7</f>
        <v/>
      </c>
      <c r="AL15" s="19">
        <f>AL13*$D$7</f>
        <v/>
      </c>
      <c r="AM15" s="19">
        <f>AM13*$D$7</f>
        <v/>
      </c>
      <c r="AN15" s="19">
        <f>AN13*$D$7</f>
        <v/>
      </c>
      <c r="AO15" s="19">
        <f>AO13*$D$7</f>
        <v/>
      </c>
      <c r="AP15" s="19">
        <f>AP13*$D$7</f>
        <v/>
      </c>
      <c r="AQ15" s="19">
        <f>AQ13*$D$7</f>
        <v/>
      </c>
      <c r="AR15" s="19">
        <f>AR13*$D$7</f>
        <v/>
      </c>
      <c r="AS15" s="19">
        <f>AS13*$D$7</f>
        <v/>
      </c>
      <c r="AT15" s="19">
        <f>AT13*$D$7</f>
        <v/>
      </c>
      <c r="AU15" s="19">
        <f>AU13*$D$7</f>
        <v/>
      </c>
      <c r="AV15" s="19">
        <f>AV13*$D$7</f>
        <v/>
      </c>
      <c r="AW15" s="19">
        <f>AW13*$D$7</f>
        <v/>
      </c>
      <c r="AX15" s="19">
        <f>AX13*$D$7</f>
        <v/>
      </c>
      <c r="AY15" s="19">
        <f>AY13*$D$7</f>
        <v/>
      </c>
      <c r="AZ15" s="19">
        <f>AZ13*$D$7</f>
        <v/>
      </c>
      <c r="BA15" s="19">
        <f>BA13*$D$7</f>
        <v/>
      </c>
      <c r="BB15" s="19">
        <f>BB13*$D$7</f>
        <v/>
      </c>
      <c r="BC15" s="19">
        <f>BC13*$D$7</f>
        <v/>
      </c>
      <c r="BD15" s="19">
        <f>BD13*$D$7</f>
        <v/>
      </c>
      <c r="BE15" s="19">
        <f>BE13*$D$7</f>
        <v/>
      </c>
      <c r="BF15" s="19">
        <f>BF13*$D$7</f>
        <v/>
      </c>
      <c r="BG15" s="19">
        <f>BG13*$D$7</f>
        <v/>
      </c>
      <c r="BH15" s="19">
        <f>BH13*$D$7</f>
        <v/>
      </c>
      <c r="BI15" s="19">
        <f>BI13*$D$7</f>
        <v/>
      </c>
      <c r="BJ15" s="19">
        <f>BJ13*$D$7</f>
        <v/>
      </c>
      <c r="BK15" s="19">
        <f>BK13*$D$7</f>
        <v/>
      </c>
      <c r="BL15" s="19">
        <f>BL13*$D$7</f>
        <v/>
      </c>
      <c r="BM15" s="19">
        <f>BM13*$D$7</f>
        <v/>
      </c>
      <c r="BN15" s="19">
        <f>BN13*$D$7</f>
        <v/>
      </c>
      <c r="BO15" s="19">
        <f>BO13*$D$7</f>
        <v/>
      </c>
      <c r="BP15" s="19">
        <f>BP13*$D$7</f>
        <v/>
      </c>
      <c r="BQ15" s="19">
        <f>BQ13*$D$7</f>
        <v/>
      </c>
      <c r="BR15" s="19">
        <f>BR13*$D$7</f>
        <v/>
      </c>
      <c r="BS15" s="19">
        <f>BS13*$D$7</f>
        <v/>
      </c>
      <c r="BT15" s="19">
        <f>BT13*$D$7</f>
        <v/>
      </c>
      <c r="BU15" s="19">
        <f>BU13*$D$7</f>
        <v/>
      </c>
      <c r="BV15" s="19">
        <f>BV13*$D$7</f>
        <v/>
      </c>
      <c r="BW15" s="19">
        <f>BW13*$D$7</f>
        <v/>
      </c>
      <c r="BX15" s="19">
        <f>BX13*$D$7</f>
        <v/>
      </c>
      <c r="BY15" s="19">
        <f>BY13*$D$7</f>
        <v/>
      </c>
      <c r="BZ15" s="19">
        <f>BZ13*$D$7</f>
        <v/>
      </c>
      <c r="CA15" s="19">
        <f>CA13*$D$7</f>
        <v/>
      </c>
      <c r="CB15" s="19">
        <f>CB13*$D$7</f>
        <v/>
      </c>
      <c r="CC15" s="19">
        <f>CC13*$D$7</f>
        <v/>
      </c>
      <c r="CD15" s="19">
        <f>CD13*$D$7</f>
        <v/>
      </c>
      <c r="CE15" s="19">
        <f>CE13*$D$7</f>
        <v/>
      </c>
      <c r="CF15" s="19">
        <f>CF13*$D$7</f>
        <v/>
      </c>
      <c r="CG15" s="19">
        <f>CG13*$D$7</f>
        <v/>
      </c>
      <c r="CH15" s="19">
        <f>CH13*$D$7</f>
        <v/>
      </c>
      <c r="CI15" s="19">
        <f>CI13*$D$7</f>
        <v/>
      </c>
      <c r="CJ15" s="19">
        <f>CJ13*$D$7</f>
        <v/>
      </c>
      <c r="CK15" s="19">
        <f>CK13*$D$7</f>
        <v/>
      </c>
      <c r="CL15" s="19">
        <f>CL13*$D$7</f>
        <v/>
      </c>
      <c r="CM15" s="19">
        <f>CM13*$D$7</f>
        <v/>
      </c>
      <c r="CN15" s="19">
        <f>CN13*$D$7</f>
        <v/>
      </c>
      <c r="CO15" s="19">
        <f>CO13*$D$7</f>
        <v/>
      </c>
      <c r="CP15" s="19">
        <f>CP13*$D$7</f>
        <v/>
      </c>
      <c r="CQ15" s="19">
        <f>CQ13*$D$7</f>
        <v/>
      </c>
      <c r="CR15" s="19">
        <f>CR13*$D$7</f>
        <v/>
      </c>
      <c r="CS15" s="19">
        <f>CS13*$D$7</f>
        <v/>
      </c>
      <c r="CT15" s="19">
        <f>CT13*$D$7</f>
        <v/>
      </c>
      <c r="CU15" s="19">
        <f>CU13*$D$7</f>
        <v/>
      </c>
      <c r="CV15" s="19">
        <f>CV13*$D$7</f>
        <v/>
      </c>
      <c r="CW15" s="19">
        <f>CW13*$D$7</f>
        <v/>
      </c>
      <c r="CX15" s="19">
        <f>CX13*$D$7</f>
        <v/>
      </c>
      <c r="CY15" s="19">
        <f>CY13*$D$7</f>
        <v/>
      </c>
      <c r="CZ15" s="19">
        <f>CZ13*$D$7</f>
        <v/>
      </c>
      <c r="DA15" s="19">
        <f>DA13*$D$7</f>
        <v/>
      </c>
      <c r="DB15" s="19">
        <f>DB13*$D$7</f>
        <v/>
      </c>
      <c r="DC15" s="19">
        <f>DC13*$D$7</f>
        <v/>
      </c>
      <c r="DD15" s="19">
        <f>DD13*$D$7</f>
        <v/>
      </c>
      <c r="DE15" s="19">
        <f>DE13*$D$7</f>
        <v/>
      </c>
      <c r="DF15" s="19">
        <f>DF13*$D$7</f>
        <v/>
      </c>
      <c r="DG15" s="19">
        <f>DG13*$D$7</f>
        <v/>
      </c>
      <c r="DH15" s="19">
        <f>DH13*$D$7</f>
        <v/>
      </c>
      <c r="DI15" s="19">
        <f>DI13*$D$7</f>
        <v/>
      </c>
      <c r="DJ15" s="19">
        <f>DJ13*$D$7</f>
        <v/>
      </c>
      <c r="DK15" s="19">
        <f>DK13*$D$7</f>
        <v/>
      </c>
      <c r="DL15" s="19">
        <f>DL13*$D$7</f>
        <v/>
      </c>
      <c r="DM15" s="19">
        <f>DM13*$D$7</f>
        <v/>
      </c>
      <c r="DN15" s="19">
        <f>DN13*$D$7</f>
        <v/>
      </c>
      <c r="DO15" s="19">
        <f>DO13*$D$7</f>
        <v/>
      </c>
      <c r="DP15" s="19">
        <f>DP13*$D$7</f>
        <v/>
      </c>
      <c r="DQ15" s="19">
        <f>DQ13*$D$7</f>
        <v/>
      </c>
      <c r="DR15" s="19">
        <f>DR13*$D$7</f>
        <v/>
      </c>
      <c r="DS15" s="19">
        <f>DS13*$D$7</f>
        <v/>
      </c>
      <c r="DT15" s="19">
        <f>DT13*$D$7</f>
        <v/>
      </c>
      <c r="DU15" s="19">
        <f>DU13*$D$7</f>
        <v/>
      </c>
      <c r="DV15" s="19">
        <f>DV13*$D$7</f>
        <v/>
      </c>
      <c r="DW15" s="19">
        <f>DW13*$D$7</f>
        <v/>
      </c>
      <c r="DX15" s="19">
        <f>DX13*$D$7</f>
        <v/>
      </c>
      <c r="DY15" s="19">
        <f>DY13*$D$7</f>
        <v/>
      </c>
      <c r="DZ15" s="19">
        <f>DZ13*$D$7</f>
        <v/>
      </c>
      <c r="EA15" s="19">
        <f>EA13*$D$7</f>
        <v/>
      </c>
      <c r="EB15" s="19">
        <f>EB13*$D$7</f>
        <v/>
      </c>
      <c r="EC15" s="19">
        <f>EC13*$D$7</f>
        <v/>
      </c>
      <c r="ED15" s="19">
        <f>ED13*$D$7</f>
        <v/>
      </c>
      <c r="EE15" s="19">
        <f>EE13*$D$7</f>
        <v/>
      </c>
      <c r="EF15" s="19">
        <f>EF13*$D$7</f>
        <v/>
      </c>
      <c r="EG15" s="19">
        <f>EG13*$D$7</f>
        <v/>
      </c>
      <c r="EH15" s="19">
        <f>EH13*$D$7</f>
        <v/>
      </c>
      <c r="EI15" s="19">
        <f>EI13*$D$7</f>
        <v/>
      </c>
      <c r="EJ15" s="19">
        <f>EJ13*$D$7</f>
        <v/>
      </c>
      <c r="EK15" s="19">
        <f>EK13*$D$7</f>
        <v/>
      </c>
      <c r="EL15" s="19">
        <f>EL13*$D$7</f>
        <v/>
      </c>
      <c r="EM15" s="19">
        <f>EM13*$D$7</f>
        <v/>
      </c>
      <c r="EN15" s="19">
        <f>EN13*$D$7</f>
        <v/>
      </c>
      <c r="EO15" s="19">
        <f>EO13*$D$7</f>
        <v/>
      </c>
      <c r="EP15" s="19">
        <f>EP13*$D$7</f>
        <v/>
      </c>
      <c r="EQ15" s="19">
        <f>EQ13*$D$7</f>
        <v/>
      </c>
      <c r="ER15" s="19">
        <f>ER13*$D$7</f>
        <v/>
      </c>
      <c r="ES15" s="19">
        <f>ES13*$D$7</f>
        <v/>
      </c>
      <c r="ET15" s="19">
        <f>ET13*$D$7</f>
        <v/>
      </c>
      <c r="EU15" s="19">
        <f>EU13*$D$7</f>
        <v/>
      </c>
      <c r="EV15" s="19">
        <f>EV13*$D$7</f>
        <v/>
      </c>
      <c r="EW15" s="19">
        <f>EW13*$D$7</f>
        <v/>
      </c>
      <c r="EX15" s="19">
        <f>EX13*$D$7</f>
        <v/>
      </c>
      <c r="EY15" s="19">
        <f>EY13*$D$7</f>
        <v/>
      </c>
      <c r="EZ15" s="19">
        <f>EZ13*$D$7</f>
        <v/>
      </c>
      <c r="FA15" s="19">
        <f>FA13*$D$7</f>
        <v/>
      </c>
      <c r="FB15" s="19">
        <f>FB13*$D$7</f>
        <v/>
      </c>
      <c r="FC15" s="19">
        <f>FC13*$D$7</f>
        <v/>
      </c>
      <c r="FD15" s="19">
        <f>FD13*$D$7</f>
        <v/>
      </c>
      <c r="FE15" s="19">
        <f>FE13*$D$7</f>
        <v/>
      </c>
      <c r="FF15" s="19">
        <f>FF13*$D$7</f>
        <v/>
      </c>
      <c r="FG15" s="19">
        <f>FG13*$D$7</f>
        <v/>
      </c>
      <c r="FH15" s="19">
        <f>FH13*$D$7</f>
        <v/>
      </c>
      <c r="FI15" s="19">
        <f>FI13*$D$7</f>
        <v/>
      </c>
      <c r="FJ15" s="19">
        <f>FJ13*$D$7</f>
        <v/>
      </c>
      <c r="FK15" s="19">
        <f>FK13*$D$7</f>
        <v/>
      </c>
      <c r="FL15" s="19">
        <f>FL13*$D$7</f>
        <v/>
      </c>
      <c r="FM15" s="19">
        <f>FM13*$D$7</f>
        <v/>
      </c>
      <c r="FN15" s="19">
        <f>FN13*$D$7</f>
        <v/>
      </c>
      <c r="FO15" s="19">
        <f>FO13*$D$7</f>
        <v/>
      </c>
      <c r="FP15" s="19">
        <f>FP13*$D$7</f>
        <v/>
      </c>
      <c r="FQ15" s="19">
        <f>FQ13*$D$7</f>
        <v/>
      </c>
      <c r="FR15" s="19">
        <f>FR13*$D$7</f>
        <v/>
      </c>
      <c r="FS15" s="19">
        <f>FS13*$D$7</f>
        <v/>
      </c>
      <c r="FT15" s="19">
        <f>FT13*$D$7</f>
        <v/>
      </c>
      <c r="FU15" s="19">
        <f>FU13*$D$7</f>
        <v/>
      </c>
      <c r="FV15" s="19">
        <f>FV13*$D$7</f>
        <v/>
      </c>
      <c r="FW15" s="19">
        <f>FW13*$D$7</f>
        <v/>
      </c>
      <c r="FX15" s="19">
        <f>FX13*$D$7</f>
        <v/>
      </c>
      <c r="FY15" s="19">
        <f>FY13*$D$7</f>
        <v/>
      </c>
      <c r="FZ15" s="19">
        <f>FZ13*$D$7</f>
        <v/>
      </c>
      <c r="GA15" s="19">
        <f>GA13*$D$7</f>
        <v/>
      </c>
      <c r="GB15" s="19">
        <f>GB13*$D$7</f>
        <v/>
      </c>
      <c r="GC15" s="19">
        <f>GC13*$D$7</f>
        <v/>
      </c>
      <c r="GD15" s="19">
        <f>GD13*$D$7</f>
        <v/>
      </c>
      <c r="GE15" s="19">
        <f>GE13*$D$7</f>
        <v/>
      </c>
      <c r="GF15" s="19">
        <f>GF13*$D$7</f>
        <v/>
      </c>
      <c r="GG15" s="19">
        <f>GG13*$D$7</f>
        <v/>
      </c>
      <c r="GH15" s="19">
        <f>GH13*$D$7</f>
        <v/>
      </c>
      <c r="GI15" s="19">
        <f>GI13*$D$7</f>
        <v/>
      </c>
      <c r="GJ15" s="19">
        <f>GJ13*$D$7</f>
        <v/>
      </c>
      <c r="GK15" s="19">
        <f>GK13*$D$7</f>
        <v/>
      </c>
      <c r="GL15" s="19">
        <f>GL13*$D$7</f>
        <v/>
      </c>
      <c r="GM15" s="19">
        <f>GM13*$D$7</f>
        <v/>
      </c>
      <c r="GN15" s="19">
        <f>GN13*$D$7</f>
        <v/>
      </c>
      <c r="GO15" s="19">
        <f>GO13*$D$7</f>
        <v/>
      </c>
      <c r="GP15" s="19">
        <f>GP13*$D$7</f>
        <v/>
      </c>
      <c r="GQ15" s="19">
        <f>GQ13*$D$7</f>
        <v/>
      </c>
      <c r="GR15" s="19">
        <f>GR13*$D$7</f>
        <v/>
      </c>
      <c r="GS15" s="19">
        <f>GS13*$D$7</f>
        <v/>
      </c>
      <c r="GT15" s="19">
        <f>GT13*$D$7</f>
        <v/>
      </c>
      <c r="GU15" s="19">
        <f>GU13*$D$7</f>
        <v/>
      </c>
      <c r="GV15" s="19">
        <f>GV13*$D$7</f>
        <v/>
      </c>
      <c r="GW15" s="19">
        <f>GW13*$D$7</f>
        <v/>
      </c>
      <c r="GX15" s="19">
        <f>GX13*$D$7</f>
        <v/>
      </c>
      <c r="GY15" s="19">
        <f>GY13*$D$7</f>
        <v/>
      </c>
      <c r="GZ15" s="19">
        <f>GZ13*$D$7</f>
        <v/>
      </c>
      <c r="HA15" s="19">
        <f>HA13*$D$7</f>
        <v/>
      </c>
      <c r="HB15" s="19">
        <f>HB13*$D$7</f>
        <v/>
      </c>
      <c r="HC15" s="19">
        <f>HC13*$D$7</f>
        <v/>
      </c>
      <c r="HD15" s="19">
        <f>HD13*$D$7</f>
        <v/>
      </c>
      <c r="HE15" s="19">
        <f>HE13*$D$7</f>
        <v/>
      </c>
      <c r="HF15" s="19">
        <f>HF13*$D$7</f>
        <v/>
      </c>
      <c r="HG15" s="19">
        <f>HG13*$D$7</f>
        <v/>
      </c>
      <c r="HH15" s="19">
        <f>HH13*$D$7</f>
        <v/>
      </c>
      <c r="HI15" s="19">
        <f>HI13*$D$7</f>
        <v/>
      </c>
      <c r="HJ15" s="19">
        <f>HJ13*$D$7</f>
        <v/>
      </c>
      <c r="HK15" s="19">
        <f>HK13*$D$7</f>
        <v/>
      </c>
      <c r="HL15" s="19">
        <f>HL13*$D$7</f>
        <v/>
      </c>
      <c r="HM15" s="19">
        <f>HM13*$D$7</f>
        <v/>
      </c>
      <c r="HN15" s="19">
        <f>HN13*$D$7</f>
        <v/>
      </c>
      <c r="HO15" s="19">
        <f>HO13*$D$7</f>
        <v/>
      </c>
      <c r="HP15" s="19">
        <f>HP13*$D$7</f>
        <v/>
      </c>
      <c r="HQ15" s="19">
        <f>HQ13*$D$7</f>
        <v/>
      </c>
      <c r="HR15" s="19">
        <f>HR13*$D$7</f>
        <v/>
      </c>
      <c r="HS15" s="19">
        <f>HS13*$D$7</f>
        <v/>
      </c>
      <c r="HT15" s="19">
        <f>HT13*$D$7</f>
        <v/>
      </c>
      <c r="HU15" s="19">
        <f>HU13*$D$7</f>
        <v/>
      </c>
      <c r="HV15" s="19">
        <f>HV13*$D$7</f>
        <v/>
      </c>
      <c r="HW15" s="19">
        <f>HW13*$D$7</f>
        <v/>
      </c>
      <c r="HX15" s="19">
        <f>HX13*$D$7</f>
        <v/>
      </c>
      <c r="HY15" s="19">
        <f>HY13*$D$7</f>
        <v/>
      </c>
      <c r="HZ15" s="19">
        <f>HZ13*$D$7</f>
        <v/>
      </c>
      <c r="IA15" s="19">
        <f>IA13*$D$7</f>
        <v/>
      </c>
      <c r="IB15" s="19">
        <f>IB13*$D$7</f>
        <v/>
      </c>
      <c r="IC15" s="19">
        <f>IC13*$D$7</f>
        <v/>
      </c>
      <c r="ID15" s="19">
        <f>ID13*$D$7</f>
        <v/>
      </c>
      <c r="IE15" s="19">
        <f>IE13*$D$7</f>
        <v/>
      </c>
      <c r="IF15" s="19">
        <f>IF13*$D$7</f>
        <v/>
      </c>
      <c r="IG15" s="19">
        <f>IG13*$D$7</f>
        <v/>
      </c>
      <c r="IH15" s="19">
        <f>IH13*$D$7</f>
        <v/>
      </c>
      <c r="II15" s="19">
        <f>II13*$D$7</f>
        <v/>
      </c>
      <c r="IJ15" s="19">
        <f>IJ13*$D$7</f>
        <v/>
      </c>
      <c r="IK15" s="19">
        <f>IK13*$D$7</f>
        <v/>
      </c>
      <c r="IL15" s="19">
        <f>IL13*$D$7</f>
        <v/>
      </c>
      <c r="IM15" s="19">
        <f>IM13*$D$7</f>
        <v/>
      </c>
      <c r="IN15" s="19">
        <f>IN13*$D$7</f>
        <v/>
      </c>
      <c r="IO15" s="19">
        <f>IO13*$D$7</f>
        <v/>
      </c>
      <c r="IP15" s="19">
        <f>IP13*$D$7</f>
        <v/>
      </c>
      <c r="IQ15" s="19">
        <f>IQ13*$D$7</f>
        <v/>
      </c>
      <c r="IR15" s="19">
        <f>IR13*$D$7</f>
        <v/>
      </c>
      <c r="IS15" s="19">
        <f>IS13*$D$7</f>
        <v/>
      </c>
      <c r="IT15" s="19">
        <f>IT13*$D$7</f>
        <v/>
      </c>
      <c r="IU15" s="19">
        <f>IU13*$D$7</f>
        <v/>
      </c>
      <c r="IV15" s="19">
        <f>IV13*$D$7</f>
        <v/>
      </c>
      <c r="IW15" s="19">
        <f>IW13*$D$7</f>
        <v/>
      </c>
      <c r="IX15" s="19">
        <f>IX13*$D$7</f>
        <v/>
      </c>
      <c r="IY15" s="19">
        <f>IY13*$D$7</f>
        <v/>
      </c>
      <c r="IZ15" s="19">
        <f>IZ13*$D$7</f>
        <v/>
      </c>
      <c r="JA15" s="19">
        <f>JA13*$D$7</f>
        <v/>
      </c>
      <c r="JB15" s="19">
        <f>JB13*$D$7</f>
        <v/>
      </c>
      <c r="JC15" s="19">
        <f>JC13*$D$7</f>
        <v/>
      </c>
      <c r="JD15" s="19">
        <f>JD13*$D$7</f>
        <v/>
      </c>
      <c r="JE15" s="19">
        <f>JE13*$D$7</f>
        <v/>
      </c>
      <c r="JF15" s="19">
        <f>JF13*$D$7</f>
        <v/>
      </c>
      <c r="JG15" s="19">
        <f>JG13*$D$7</f>
        <v/>
      </c>
      <c r="JH15" s="19">
        <f>JH13*$D$7</f>
        <v/>
      </c>
      <c r="JI15" s="19">
        <f>JI13*$D$7</f>
        <v/>
      </c>
      <c r="JJ15" s="19">
        <f>JJ13*$D$7</f>
        <v/>
      </c>
      <c r="JK15" s="19">
        <f>JK13*$D$7</f>
        <v/>
      </c>
      <c r="JL15" s="19">
        <f>JL13*$D$7</f>
        <v/>
      </c>
      <c r="JM15" s="19">
        <f>JM13*$D$7</f>
        <v/>
      </c>
      <c r="JN15" s="19">
        <f>JN13*$D$7</f>
        <v/>
      </c>
      <c r="JO15" s="19">
        <f>JO13*$D$7</f>
        <v/>
      </c>
      <c r="JP15" s="19">
        <f>JP13*$D$7</f>
        <v/>
      </c>
      <c r="JQ15" s="19">
        <f>JQ13*$D$7</f>
        <v/>
      </c>
      <c r="JR15" s="19">
        <f>JR13*$D$7</f>
        <v/>
      </c>
      <c r="JS15" s="19">
        <f>JS13*$D$7</f>
        <v/>
      </c>
      <c r="JT15" s="19">
        <f>JT13*$D$7</f>
        <v/>
      </c>
      <c r="JU15" s="19">
        <f>JU13*$D$7</f>
        <v/>
      </c>
      <c r="JV15" s="19">
        <f>JV13*$D$7</f>
        <v/>
      </c>
      <c r="JW15" s="19">
        <f>JW13*$D$7</f>
        <v/>
      </c>
      <c r="JX15" s="19">
        <f>JX13*$D$7</f>
        <v/>
      </c>
      <c r="JY15" s="19">
        <f>JY13*$D$7</f>
        <v/>
      </c>
      <c r="JZ15" s="19">
        <f>JZ13*$D$7</f>
        <v/>
      </c>
      <c r="KA15" s="19">
        <f>KA13*$D$7</f>
        <v/>
      </c>
      <c r="KB15" s="19">
        <f>KB13*$D$7</f>
        <v/>
      </c>
      <c r="KC15" s="19">
        <f>KC13*$D$7</f>
        <v/>
      </c>
      <c r="KD15" s="19">
        <f>KD13*$D$7</f>
        <v/>
      </c>
      <c r="KE15" s="19">
        <f>KE13*$D$7</f>
        <v/>
      </c>
      <c r="KF15" s="19">
        <f>KF13*$D$7</f>
        <v/>
      </c>
      <c r="KG15" s="19">
        <f>KG13*$D$7</f>
        <v/>
      </c>
      <c r="KH15" s="19">
        <f>KH13*$D$7</f>
        <v/>
      </c>
      <c r="KI15" s="19">
        <f>KI13*$D$7</f>
        <v/>
      </c>
      <c r="KJ15" s="19">
        <f>KJ13*$D$7</f>
        <v/>
      </c>
      <c r="KK15" s="19">
        <f>KK13*$D$7</f>
        <v/>
      </c>
      <c r="KL15" s="19">
        <f>KL13*$D$7</f>
        <v/>
      </c>
      <c r="KM15" s="19">
        <f>KM13*$D$7</f>
        <v/>
      </c>
      <c r="KN15" s="19">
        <f>KN13*$D$7</f>
        <v/>
      </c>
      <c r="KO15" s="19">
        <f>KO13*$D$7</f>
        <v/>
      </c>
      <c r="KP15" s="19">
        <f>KP13*$D$7</f>
        <v/>
      </c>
      <c r="KQ15" s="19">
        <f>KQ13*$D$7</f>
        <v/>
      </c>
      <c r="KR15" s="19">
        <f>KR13*$D$7</f>
        <v/>
      </c>
      <c r="KS15" s="19">
        <f>KS13*$D$7</f>
        <v/>
      </c>
      <c r="KT15" s="19">
        <f>KT13*$D$7</f>
        <v/>
      </c>
      <c r="KU15" s="19">
        <f>KU13*$D$7</f>
        <v/>
      </c>
      <c r="KV15" s="19">
        <f>KV13*$D$7</f>
        <v/>
      </c>
      <c r="KW15" s="19">
        <f>KW13*$D$7</f>
        <v/>
      </c>
      <c r="KX15" s="19">
        <f>KX13*$D$7</f>
        <v/>
      </c>
      <c r="KY15" s="19">
        <f>KY13*$D$7</f>
        <v/>
      </c>
      <c r="KZ15" s="19">
        <f>KZ13*$D$7</f>
        <v/>
      </c>
      <c r="LA15" s="19">
        <f>LA13*$D$7</f>
        <v/>
      </c>
      <c r="LB15" s="19">
        <f>LB13*$D$7</f>
        <v/>
      </c>
      <c r="LC15" s="19">
        <f>LC13*$D$7</f>
        <v/>
      </c>
    </row>
    <row r="16">
      <c r="B16" s="21" t="inlineStr">
        <is>
          <t>Amortizacion del activo (cobro - ingreso financiero)</t>
        </is>
      </c>
      <c r="D16" s="19">
        <f>D11-D15</f>
        <v/>
      </c>
      <c r="E16" s="19">
        <f>E11-E15</f>
        <v/>
      </c>
      <c r="F16" s="19">
        <f>F11-F15</f>
        <v/>
      </c>
      <c r="G16" s="19">
        <f>G11-G15</f>
        <v/>
      </c>
      <c r="H16" s="19">
        <f>H11-H15</f>
        <v/>
      </c>
      <c r="I16" s="19">
        <f>I11-I15</f>
        <v/>
      </c>
      <c r="J16" s="19">
        <f>J11-J15</f>
        <v/>
      </c>
      <c r="K16" s="19">
        <f>K11-K15</f>
        <v/>
      </c>
      <c r="L16" s="19">
        <f>L11-L15</f>
        <v/>
      </c>
      <c r="M16" s="19">
        <f>M11-M15</f>
        <v/>
      </c>
      <c r="N16" s="19">
        <f>N11-N15</f>
        <v/>
      </c>
      <c r="O16" s="19">
        <f>O11-O15</f>
        <v/>
      </c>
      <c r="P16" s="19">
        <f>P11-P15</f>
        <v/>
      </c>
      <c r="Q16" s="19">
        <f>Q11-Q15</f>
        <v/>
      </c>
      <c r="R16" s="19">
        <f>R11-R15</f>
        <v/>
      </c>
      <c r="S16" s="19">
        <f>S11-S15</f>
        <v/>
      </c>
      <c r="T16" s="19">
        <f>T11-T15</f>
        <v/>
      </c>
      <c r="U16" s="19">
        <f>U11-U15</f>
        <v/>
      </c>
      <c r="V16" s="19">
        <f>V11-V15</f>
        <v/>
      </c>
      <c r="W16" s="19">
        <f>W11-W15</f>
        <v/>
      </c>
      <c r="X16" s="19">
        <f>X11-X15</f>
        <v/>
      </c>
      <c r="Y16" s="19">
        <f>Y11-Y15</f>
        <v/>
      </c>
      <c r="Z16" s="19">
        <f>Z11-Z15</f>
        <v/>
      </c>
      <c r="AA16" s="19">
        <f>AA11-AA15</f>
        <v/>
      </c>
      <c r="AB16" s="19">
        <f>AB11-AB15</f>
        <v/>
      </c>
      <c r="AC16" s="19">
        <f>AC11-AC15</f>
        <v/>
      </c>
      <c r="AD16" s="19">
        <f>AD11-AD15</f>
        <v/>
      </c>
      <c r="AE16" s="19">
        <f>AE11-AE15</f>
        <v/>
      </c>
      <c r="AF16" s="19">
        <f>AF11-AF15</f>
        <v/>
      </c>
      <c r="AG16" s="19">
        <f>AG11-AG15</f>
        <v/>
      </c>
      <c r="AH16" s="19">
        <f>AH11-AH15</f>
        <v/>
      </c>
      <c r="AI16" s="19">
        <f>AI11-AI15</f>
        <v/>
      </c>
      <c r="AJ16" s="19">
        <f>AJ11-AJ15</f>
        <v/>
      </c>
      <c r="AK16" s="19">
        <f>AK11-AK15</f>
        <v/>
      </c>
      <c r="AL16" s="19">
        <f>AL11-AL15</f>
        <v/>
      </c>
      <c r="AM16" s="19">
        <f>AM11-AM15</f>
        <v/>
      </c>
      <c r="AN16" s="19">
        <f>AN11-AN15</f>
        <v/>
      </c>
      <c r="AO16" s="19">
        <f>AO11-AO15</f>
        <v/>
      </c>
      <c r="AP16" s="19">
        <f>AP11-AP15</f>
        <v/>
      </c>
      <c r="AQ16" s="19">
        <f>AQ11-AQ15</f>
        <v/>
      </c>
      <c r="AR16" s="19">
        <f>AR11-AR15</f>
        <v/>
      </c>
      <c r="AS16" s="19">
        <f>AS11-AS15</f>
        <v/>
      </c>
      <c r="AT16" s="19">
        <f>AT11-AT15</f>
        <v/>
      </c>
      <c r="AU16" s="19">
        <f>AU11-AU15</f>
        <v/>
      </c>
      <c r="AV16" s="19">
        <f>AV11-AV15</f>
        <v/>
      </c>
      <c r="AW16" s="19">
        <f>AW11-AW15</f>
        <v/>
      </c>
      <c r="AX16" s="19">
        <f>AX11-AX15</f>
        <v/>
      </c>
      <c r="AY16" s="19">
        <f>AY11-AY15</f>
        <v/>
      </c>
      <c r="AZ16" s="19">
        <f>AZ11-AZ15</f>
        <v/>
      </c>
      <c r="BA16" s="19">
        <f>BA11-BA15</f>
        <v/>
      </c>
      <c r="BB16" s="19">
        <f>BB11-BB15</f>
        <v/>
      </c>
      <c r="BC16" s="19">
        <f>BC11-BC15</f>
        <v/>
      </c>
      <c r="BD16" s="19">
        <f>BD11-BD15</f>
        <v/>
      </c>
      <c r="BE16" s="19">
        <f>BE11-BE15</f>
        <v/>
      </c>
      <c r="BF16" s="19">
        <f>BF11-BF15</f>
        <v/>
      </c>
      <c r="BG16" s="19">
        <f>BG11-BG15</f>
        <v/>
      </c>
      <c r="BH16" s="19">
        <f>BH11-BH15</f>
        <v/>
      </c>
      <c r="BI16" s="19">
        <f>BI11-BI15</f>
        <v/>
      </c>
      <c r="BJ16" s="19">
        <f>BJ11-BJ15</f>
        <v/>
      </c>
      <c r="BK16" s="19">
        <f>BK11-BK15</f>
        <v/>
      </c>
      <c r="BL16" s="19">
        <f>BL11-BL15</f>
        <v/>
      </c>
      <c r="BM16" s="19">
        <f>BM11-BM15</f>
        <v/>
      </c>
      <c r="BN16" s="19">
        <f>BN11-BN15</f>
        <v/>
      </c>
      <c r="BO16" s="19">
        <f>BO11-BO15</f>
        <v/>
      </c>
      <c r="BP16" s="19">
        <f>BP11-BP15</f>
        <v/>
      </c>
      <c r="BQ16" s="19">
        <f>BQ11-BQ15</f>
        <v/>
      </c>
      <c r="BR16" s="19">
        <f>BR11-BR15</f>
        <v/>
      </c>
      <c r="BS16" s="19">
        <f>BS11-BS15</f>
        <v/>
      </c>
      <c r="BT16" s="19">
        <f>BT11-BT15</f>
        <v/>
      </c>
      <c r="BU16" s="19">
        <f>BU11-BU15</f>
        <v/>
      </c>
      <c r="BV16" s="19">
        <f>BV11-BV15</f>
        <v/>
      </c>
      <c r="BW16" s="19">
        <f>BW11-BW15</f>
        <v/>
      </c>
      <c r="BX16" s="19">
        <f>BX11-BX15</f>
        <v/>
      </c>
      <c r="BY16" s="19">
        <f>BY11-BY15</f>
        <v/>
      </c>
      <c r="BZ16" s="19">
        <f>BZ11-BZ15</f>
        <v/>
      </c>
      <c r="CA16" s="19">
        <f>CA11-CA15</f>
        <v/>
      </c>
      <c r="CB16" s="19">
        <f>CB11-CB15</f>
        <v/>
      </c>
      <c r="CC16" s="19">
        <f>CC11-CC15</f>
        <v/>
      </c>
      <c r="CD16" s="19">
        <f>CD11-CD15</f>
        <v/>
      </c>
      <c r="CE16" s="19">
        <f>CE11-CE15</f>
        <v/>
      </c>
      <c r="CF16" s="19">
        <f>CF11-CF15</f>
        <v/>
      </c>
      <c r="CG16" s="19">
        <f>CG11-CG15</f>
        <v/>
      </c>
      <c r="CH16" s="19">
        <f>CH11-CH15</f>
        <v/>
      </c>
      <c r="CI16" s="19">
        <f>CI11-CI15</f>
        <v/>
      </c>
      <c r="CJ16" s="19">
        <f>CJ11-CJ15</f>
        <v/>
      </c>
      <c r="CK16" s="19">
        <f>CK11-CK15</f>
        <v/>
      </c>
      <c r="CL16" s="19">
        <f>CL11-CL15</f>
        <v/>
      </c>
      <c r="CM16" s="19">
        <f>CM11-CM15</f>
        <v/>
      </c>
      <c r="CN16" s="19">
        <f>CN11-CN15</f>
        <v/>
      </c>
      <c r="CO16" s="19">
        <f>CO11-CO15</f>
        <v/>
      </c>
      <c r="CP16" s="19">
        <f>CP11-CP15</f>
        <v/>
      </c>
      <c r="CQ16" s="19">
        <f>CQ11-CQ15</f>
        <v/>
      </c>
      <c r="CR16" s="19">
        <f>CR11-CR15</f>
        <v/>
      </c>
      <c r="CS16" s="19">
        <f>CS11-CS15</f>
        <v/>
      </c>
      <c r="CT16" s="19">
        <f>CT11-CT15</f>
        <v/>
      </c>
      <c r="CU16" s="19">
        <f>CU11-CU15</f>
        <v/>
      </c>
      <c r="CV16" s="19">
        <f>CV11-CV15</f>
        <v/>
      </c>
      <c r="CW16" s="19">
        <f>CW11-CW15</f>
        <v/>
      </c>
      <c r="CX16" s="19">
        <f>CX11-CX15</f>
        <v/>
      </c>
      <c r="CY16" s="19">
        <f>CY11-CY15</f>
        <v/>
      </c>
      <c r="CZ16" s="19">
        <f>CZ11-CZ15</f>
        <v/>
      </c>
      <c r="DA16" s="19">
        <f>DA11-DA15</f>
        <v/>
      </c>
      <c r="DB16" s="19">
        <f>DB11-DB15</f>
        <v/>
      </c>
      <c r="DC16" s="19">
        <f>DC11-DC15</f>
        <v/>
      </c>
      <c r="DD16" s="19">
        <f>DD11-DD15</f>
        <v/>
      </c>
      <c r="DE16" s="19">
        <f>DE11-DE15</f>
        <v/>
      </c>
      <c r="DF16" s="19">
        <f>DF11-DF15</f>
        <v/>
      </c>
      <c r="DG16" s="19">
        <f>DG11-DG15</f>
        <v/>
      </c>
      <c r="DH16" s="19">
        <f>DH11-DH15</f>
        <v/>
      </c>
      <c r="DI16" s="19">
        <f>DI11-DI15</f>
        <v/>
      </c>
      <c r="DJ16" s="19">
        <f>DJ11-DJ15</f>
        <v/>
      </c>
      <c r="DK16" s="19">
        <f>DK11-DK15</f>
        <v/>
      </c>
      <c r="DL16" s="19">
        <f>DL11-DL15</f>
        <v/>
      </c>
      <c r="DM16" s="19">
        <f>DM11-DM15</f>
        <v/>
      </c>
      <c r="DN16" s="19">
        <f>DN11-DN15</f>
        <v/>
      </c>
      <c r="DO16" s="19">
        <f>DO11-DO15</f>
        <v/>
      </c>
      <c r="DP16" s="19">
        <f>DP11-DP15</f>
        <v/>
      </c>
      <c r="DQ16" s="19">
        <f>DQ11-DQ15</f>
        <v/>
      </c>
      <c r="DR16" s="19">
        <f>DR11-DR15</f>
        <v/>
      </c>
      <c r="DS16" s="19">
        <f>DS11-DS15</f>
        <v/>
      </c>
      <c r="DT16" s="19">
        <f>DT11-DT15</f>
        <v/>
      </c>
      <c r="DU16" s="19">
        <f>DU11-DU15</f>
        <v/>
      </c>
      <c r="DV16" s="19">
        <f>DV11-DV15</f>
        <v/>
      </c>
      <c r="DW16" s="19">
        <f>DW11-DW15</f>
        <v/>
      </c>
      <c r="DX16" s="19">
        <f>DX11-DX15</f>
        <v/>
      </c>
      <c r="DY16" s="19">
        <f>DY11-DY15</f>
        <v/>
      </c>
      <c r="DZ16" s="19">
        <f>DZ11-DZ15</f>
        <v/>
      </c>
      <c r="EA16" s="19">
        <f>EA11-EA15</f>
        <v/>
      </c>
      <c r="EB16" s="19">
        <f>EB11-EB15</f>
        <v/>
      </c>
      <c r="EC16" s="19">
        <f>EC11-EC15</f>
        <v/>
      </c>
      <c r="ED16" s="19">
        <f>ED11-ED15</f>
        <v/>
      </c>
      <c r="EE16" s="19">
        <f>EE11-EE15</f>
        <v/>
      </c>
      <c r="EF16" s="19">
        <f>EF11-EF15</f>
        <v/>
      </c>
      <c r="EG16" s="19">
        <f>EG11-EG15</f>
        <v/>
      </c>
      <c r="EH16" s="19">
        <f>EH11-EH15</f>
        <v/>
      </c>
      <c r="EI16" s="19">
        <f>EI11-EI15</f>
        <v/>
      </c>
      <c r="EJ16" s="19">
        <f>EJ11-EJ15</f>
        <v/>
      </c>
      <c r="EK16" s="19">
        <f>EK11-EK15</f>
        <v/>
      </c>
      <c r="EL16" s="19">
        <f>EL11-EL15</f>
        <v/>
      </c>
      <c r="EM16" s="19">
        <f>EM11-EM15</f>
        <v/>
      </c>
      <c r="EN16" s="19">
        <f>EN11-EN15</f>
        <v/>
      </c>
      <c r="EO16" s="19">
        <f>EO11-EO15</f>
        <v/>
      </c>
      <c r="EP16" s="19">
        <f>EP11-EP15</f>
        <v/>
      </c>
      <c r="EQ16" s="19">
        <f>EQ11-EQ15</f>
        <v/>
      </c>
      <c r="ER16" s="19">
        <f>ER11-ER15</f>
        <v/>
      </c>
      <c r="ES16" s="19">
        <f>ES11-ES15</f>
        <v/>
      </c>
      <c r="ET16" s="19">
        <f>ET11-ET15</f>
        <v/>
      </c>
      <c r="EU16" s="19">
        <f>EU11-EU15</f>
        <v/>
      </c>
      <c r="EV16" s="19">
        <f>EV11-EV15</f>
        <v/>
      </c>
      <c r="EW16" s="19">
        <f>EW11-EW15</f>
        <v/>
      </c>
      <c r="EX16" s="19">
        <f>EX11-EX15</f>
        <v/>
      </c>
      <c r="EY16" s="19">
        <f>EY11-EY15</f>
        <v/>
      </c>
      <c r="EZ16" s="19">
        <f>EZ11-EZ15</f>
        <v/>
      </c>
      <c r="FA16" s="19">
        <f>FA11-FA15</f>
        <v/>
      </c>
      <c r="FB16" s="19">
        <f>FB11-FB15</f>
        <v/>
      </c>
      <c r="FC16" s="19">
        <f>FC11-FC15</f>
        <v/>
      </c>
      <c r="FD16" s="19">
        <f>FD11-FD15</f>
        <v/>
      </c>
      <c r="FE16" s="19">
        <f>FE11-FE15</f>
        <v/>
      </c>
      <c r="FF16" s="19">
        <f>FF11-FF15</f>
        <v/>
      </c>
      <c r="FG16" s="19">
        <f>FG11-FG15</f>
        <v/>
      </c>
      <c r="FH16" s="19">
        <f>FH11-FH15</f>
        <v/>
      </c>
      <c r="FI16" s="19">
        <f>FI11-FI15</f>
        <v/>
      </c>
      <c r="FJ16" s="19">
        <f>FJ11-FJ15</f>
        <v/>
      </c>
      <c r="FK16" s="19">
        <f>FK11-FK15</f>
        <v/>
      </c>
      <c r="FL16" s="19">
        <f>FL11-FL15</f>
        <v/>
      </c>
      <c r="FM16" s="19">
        <f>FM11-FM15</f>
        <v/>
      </c>
      <c r="FN16" s="19">
        <f>FN11-FN15</f>
        <v/>
      </c>
      <c r="FO16" s="19">
        <f>FO11-FO15</f>
        <v/>
      </c>
      <c r="FP16" s="19">
        <f>FP11-FP15</f>
        <v/>
      </c>
      <c r="FQ16" s="19">
        <f>FQ11-FQ15</f>
        <v/>
      </c>
      <c r="FR16" s="19">
        <f>FR11-FR15</f>
        <v/>
      </c>
      <c r="FS16" s="19">
        <f>FS11-FS15</f>
        <v/>
      </c>
      <c r="FT16" s="19">
        <f>FT11-FT15</f>
        <v/>
      </c>
      <c r="FU16" s="19">
        <f>FU11-FU15</f>
        <v/>
      </c>
      <c r="FV16" s="19">
        <f>FV11-FV15</f>
        <v/>
      </c>
      <c r="FW16" s="19">
        <f>FW11-FW15</f>
        <v/>
      </c>
      <c r="FX16" s="19">
        <f>FX11-FX15</f>
        <v/>
      </c>
      <c r="FY16" s="19">
        <f>FY11-FY15</f>
        <v/>
      </c>
      <c r="FZ16" s="19">
        <f>FZ11-FZ15</f>
        <v/>
      </c>
      <c r="GA16" s="19">
        <f>GA11-GA15</f>
        <v/>
      </c>
      <c r="GB16" s="19">
        <f>GB11-GB15</f>
        <v/>
      </c>
      <c r="GC16" s="19">
        <f>GC11-GC15</f>
        <v/>
      </c>
      <c r="GD16" s="19">
        <f>GD11-GD15</f>
        <v/>
      </c>
      <c r="GE16" s="19">
        <f>GE11-GE15</f>
        <v/>
      </c>
      <c r="GF16" s="19">
        <f>GF11-GF15</f>
        <v/>
      </c>
      <c r="GG16" s="19">
        <f>GG11-GG15</f>
        <v/>
      </c>
      <c r="GH16" s="19">
        <f>GH11-GH15</f>
        <v/>
      </c>
      <c r="GI16" s="19">
        <f>GI11-GI15</f>
        <v/>
      </c>
      <c r="GJ16" s="19">
        <f>GJ11-GJ15</f>
        <v/>
      </c>
      <c r="GK16" s="19">
        <f>GK11-GK15</f>
        <v/>
      </c>
      <c r="GL16" s="19">
        <f>GL11-GL15</f>
        <v/>
      </c>
      <c r="GM16" s="19">
        <f>GM11-GM15</f>
        <v/>
      </c>
      <c r="GN16" s="19">
        <f>GN11-GN15</f>
        <v/>
      </c>
      <c r="GO16" s="19">
        <f>GO11-GO15</f>
        <v/>
      </c>
      <c r="GP16" s="19">
        <f>GP11-GP15</f>
        <v/>
      </c>
      <c r="GQ16" s="19">
        <f>GQ11-GQ15</f>
        <v/>
      </c>
      <c r="GR16" s="19">
        <f>GR11-GR15</f>
        <v/>
      </c>
      <c r="GS16" s="19">
        <f>GS11-GS15</f>
        <v/>
      </c>
      <c r="GT16" s="19">
        <f>GT11-GT15</f>
        <v/>
      </c>
      <c r="GU16" s="19">
        <f>GU11-GU15</f>
        <v/>
      </c>
      <c r="GV16" s="19">
        <f>GV11-GV15</f>
        <v/>
      </c>
      <c r="GW16" s="19">
        <f>GW11-GW15</f>
        <v/>
      </c>
      <c r="GX16" s="19">
        <f>GX11-GX15</f>
        <v/>
      </c>
      <c r="GY16" s="19">
        <f>GY11-GY15</f>
        <v/>
      </c>
      <c r="GZ16" s="19">
        <f>GZ11-GZ15</f>
        <v/>
      </c>
      <c r="HA16" s="19">
        <f>HA11-HA15</f>
        <v/>
      </c>
      <c r="HB16" s="19">
        <f>HB11-HB15</f>
        <v/>
      </c>
      <c r="HC16" s="19">
        <f>HC11-HC15</f>
        <v/>
      </c>
      <c r="HD16" s="19">
        <f>HD11-HD15</f>
        <v/>
      </c>
      <c r="HE16" s="19">
        <f>HE11-HE15</f>
        <v/>
      </c>
      <c r="HF16" s="19">
        <f>HF11-HF15</f>
        <v/>
      </c>
      <c r="HG16" s="19">
        <f>HG11-HG15</f>
        <v/>
      </c>
      <c r="HH16" s="19">
        <f>HH11-HH15</f>
        <v/>
      </c>
      <c r="HI16" s="19">
        <f>HI11-HI15</f>
        <v/>
      </c>
      <c r="HJ16" s="19">
        <f>HJ11-HJ15</f>
        <v/>
      </c>
      <c r="HK16" s="19">
        <f>HK11-HK15</f>
        <v/>
      </c>
      <c r="HL16" s="19">
        <f>HL11-HL15</f>
        <v/>
      </c>
      <c r="HM16" s="19">
        <f>HM11-HM15</f>
        <v/>
      </c>
      <c r="HN16" s="19">
        <f>HN11-HN15</f>
        <v/>
      </c>
      <c r="HO16" s="19">
        <f>HO11-HO15</f>
        <v/>
      </c>
      <c r="HP16" s="19">
        <f>HP11-HP15</f>
        <v/>
      </c>
      <c r="HQ16" s="19">
        <f>HQ11-HQ15</f>
        <v/>
      </c>
      <c r="HR16" s="19">
        <f>HR11-HR15</f>
        <v/>
      </c>
      <c r="HS16" s="19">
        <f>HS11-HS15</f>
        <v/>
      </c>
      <c r="HT16" s="19">
        <f>HT11-HT15</f>
        <v/>
      </c>
      <c r="HU16" s="19">
        <f>HU11-HU15</f>
        <v/>
      </c>
      <c r="HV16" s="19">
        <f>HV11-HV15</f>
        <v/>
      </c>
      <c r="HW16" s="19">
        <f>HW11-HW15</f>
        <v/>
      </c>
      <c r="HX16" s="19">
        <f>HX11-HX15</f>
        <v/>
      </c>
      <c r="HY16" s="19">
        <f>HY11-HY15</f>
        <v/>
      </c>
      <c r="HZ16" s="19">
        <f>HZ11-HZ15</f>
        <v/>
      </c>
      <c r="IA16" s="19">
        <f>IA11-IA15</f>
        <v/>
      </c>
      <c r="IB16" s="19">
        <f>IB11-IB15</f>
        <v/>
      </c>
      <c r="IC16" s="19">
        <f>IC11-IC15</f>
        <v/>
      </c>
      <c r="ID16" s="19">
        <f>ID11-ID15</f>
        <v/>
      </c>
      <c r="IE16" s="19">
        <f>IE11-IE15</f>
        <v/>
      </c>
      <c r="IF16" s="19">
        <f>IF11-IF15</f>
        <v/>
      </c>
      <c r="IG16" s="19">
        <f>IG11-IG15</f>
        <v/>
      </c>
      <c r="IH16" s="19">
        <f>IH11-IH15</f>
        <v/>
      </c>
      <c r="II16" s="19">
        <f>II11-II15</f>
        <v/>
      </c>
      <c r="IJ16" s="19">
        <f>IJ11-IJ15</f>
        <v/>
      </c>
      <c r="IK16" s="19">
        <f>IK11-IK15</f>
        <v/>
      </c>
      <c r="IL16" s="19">
        <f>IL11-IL15</f>
        <v/>
      </c>
      <c r="IM16" s="19">
        <f>IM11-IM15</f>
        <v/>
      </c>
      <c r="IN16" s="19">
        <f>IN11-IN15</f>
        <v/>
      </c>
      <c r="IO16" s="19">
        <f>IO11-IO15</f>
        <v/>
      </c>
      <c r="IP16" s="19">
        <f>IP11-IP15</f>
        <v/>
      </c>
      <c r="IQ16" s="19">
        <f>IQ11-IQ15</f>
        <v/>
      </c>
      <c r="IR16" s="19">
        <f>IR11-IR15</f>
        <v/>
      </c>
      <c r="IS16" s="19">
        <f>IS11-IS15</f>
        <v/>
      </c>
      <c r="IT16" s="19">
        <f>IT11-IT15</f>
        <v/>
      </c>
      <c r="IU16" s="19">
        <f>IU11-IU15</f>
        <v/>
      </c>
      <c r="IV16" s="19">
        <f>IV11-IV15</f>
        <v/>
      </c>
      <c r="IW16" s="19">
        <f>IW11-IW15</f>
        <v/>
      </c>
      <c r="IX16" s="19">
        <f>IX11-IX15</f>
        <v/>
      </c>
      <c r="IY16" s="19">
        <f>IY11-IY15</f>
        <v/>
      </c>
      <c r="IZ16" s="19">
        <f>IZ11-IZ15</f>
        <v/>
      </c>
      <c r="JA16" s="19">
        <f>JA11-JA15</f>
        <v/>
      </c>
      <c r="JB16" s="19">
        <f>JB11-JB15</f>
        <v/>
      </c>
      <c r="JC16" s="19">
        <f>JC11-JC15</f>
        <v/>
      </c>
      <c r="JD16" s="19">
        <f>JD11-JD15</f>
        <v/>
      </c>
      <c r="JE16" s="19">
        <f>JE11-JE15</f>
        <v/>
      </c>
      <c r="JF16" s="19">
        <f>JF11-JF15</f>
        <v/>
      </c>
      <c r="JG16" s="19">
        <f>JG11-JG15</f>
        <v/>
      </c>
      <c r="JH16" s="19">
        <f>JH11-JH15</f>
        <v/>
      </c>
      <c r="JI16" s="19">
        <f>JI11-JI15</f>
        <v/>
      </c>
      <c r="JJ16" s="19">
        <f>JJ11-JJ15</f>
        <v/>
      </c>
      <c r="JK16" s="19">
        <f>JK11-JK15</f>
        <v/>
      </c>
      <c r="JL16" s="19">
        <f>JL11-JL15</f>
        <v/>
      </c>
      <c r="JM16" s="19">
        <f>JM11-JM15</f>
        <v/>
      </c>
      <c r="JN16" s="19">
        <f>JN11-JN15</f>
        <v/>
      </c>
      <c r="JO16" s="19">
        <f>JO11-JO15</f>
        <v/>
      </c>
      <c r="JP16" s="19">
        <f>JP11-JP15</f>
        <v/>
      </c>
      <c r="JQ16" s="19">
        <f>JQ11-JQ15</f>
        <v/>
      </c>
      <c r="JR16" s="19">
        <f>JR11-JR15</f>
        <v/>
      </c>
      <c r="JS16" s="19">
        <f>JS11-JS15</f>
        <v/>
      </c>
      <c r="JT16" s="19">
        <f>JT11-JT15</f>
        <v/>
      </c>
      <c r="JU16" s="19">
        <f>JU11-JU15</f>
        <v/>
      </c>
      <c r="JV16" s="19">
        <f>JV11-JV15</f>
        <v/>
      </c>
      <c r="JW16" s="19">
        <f>JW11-JW15</f>
        <v/>
      </c>
      <c r="JX16" s="19">
        <f>JX11-JX15</f>
        <v/>
      </c>
      <c r="JY16" s="19">
        <f>JY11-JY15</f>
        <v/>
      </c>
      <c r="JZ16" s="19">
        <f>JZ11-JZ15</f>
        <v/>
      </c>
      <c r="KA16" s="19">
        <f>KA11-KA15</f>
        <v/>
      </c>
      <c r="KB16" s="19">
        <f>KB11-KB15</f>
        <v/>
      </c>
      <c r="KC16" s="19">
        <f>KC11-KC15</f>
        <v/>
      </c>
      <c r="KD16" s="19">
        <f>KD11-KD15</f>
        <v/>
      </c>
      <c r="KE16" s="19">
        <f>KE11-KE15</f>
        <v/>
      </c>
      <c r="KF16" s="19">
        <f>KF11-KF15</f>
        <v/>
      </c>
      <c r="KG16" s="19">
        <f>KG11-KG15</f>
        <v/>
      </c>
      <c r="KH16" s="19">
        <f>KH11-KH15</f>
        <v/>
      </c>
      <c r="KI16" s="19">
        <f>KI11-KI15</f>
        <v/>
      </c>
      <c r="KJ16" s="19">
        <f>KJ11-KJ15</f>
        <v/>
      </c>
      <c r="KK16" s="19">
        <f>KK11-KK15</f>
        <v/>
      </c>
      <c r="KL16" s="19">
        <f>KL11-KL15</f>
        <v/>
      </c>
      <c r="KM16" s="19">
        <f>KM11-KM15</f>
        <v/>
      </c>
      <c r="KN16" s="19">
        <f>KN11-KN15</f>
        <v/>
      </c>
      <c r="KO16" s="19">
        <f>KO11-KO15</f>
        <v/>
      </c>
      <c r="KP16" s="19">
        <f>KP11-KP15</f>
        <v/>
      </c>
      <c r="KQ16" s="19">
        <f>KQ11-KQ15</f>
        <v/>
      </c>
      <c r="KR16" s="19">
        <f>KR11-KR15</f>
        <v/>
      </c>
      <c r="KS16" s="19">
        <f>KS11-KS15</f>
        <v/>
      </c>
      <c r="KT16" s="19">
        <f>KT11-KT15</f>
        <v/>
      </c>
      <c r="KU16" s="19">
        <f>KU11-KU15</f>
        <v/>
      </c>
      <c r="KV16" s="19">
        <f>KV11-KV15</f>
        <v/>
      </c>
      <c r="KW16" s="19">
        <f>KW11-KW15</f>
        <v/>
      </c>
      <c r="KX16" s="19">
        <f>KX11-KX15</f>
        <v/>
      </c>
      <c r="KY16" s="19">
        <f>KY11-KY15</f>
        <v/>
      </c>
      <c r="KZ16" s="19">
        <f>KZ11-KZ15</f>
        <v/>
      </c>
      <c r="LA16" s="19">
        <f>LA11-LA15</f>
        <v/>
      </c>
      <c r="LB16" s="19">
        <f>LB11-LB15</f>
        <v/>
      </c>
      <c r="LC16" s="19">
        <f>LC11-LC15</f>
        <v/>
      </c>
    </row>
    <row r="17">
      <c r="B17" s="21" t="inlineStr">
        <is>
          <t>Saldo final del activo</t>
        </is>
      </c>
      <c r="D17" s="19">
        <f>D13+D14+D15-D11</f>
        <v/>
      </c>
      <c r="E17" s="19">
        <f>E13+E14+E15-E11</f>
        <v/>
      </c>
      <c r="F17" s="19">
        <f>F13+F14+F15-F11</f>
        <v/>
      </c>
      <c r="G17" s="19">
        <f>G13+G14+G15-G11</f>
        <v/>
      </c>
      <c r="H17" s="19">
        <f>H13+H14+H15-H11</f>
        <v/>
      </c>
      <c r="I17" s="19">
        <f>I13+I14+I15-I11</f>
        <v/>
      </c>
      <c r="J17" s="19">
        <f>J13+J14+J15-J11</f>
        <v/>
      </c>
      <c r="K17" s="19">
        <f>K13+K14+K15-K11</f>
        <v/>
      </c>
      <c r="L17" s="19">
        <f>L13+L14+L15-L11</f>
        <v/>
      </c>
      <c r="M17" s="19">
        <f>M13+M14+M15-M11</f>
        <v/>
      </c>
      <c r="N17" s="19">
        <f>N13+N14+N15-N11</f>
        <v/>
      </c>
      <c r="O17" s="19">
        <f>O13+O14+O15-O11</f>
        <v/>
      </c>
      <c r="P17" s="19">
        <f>P13+P14+P15-P11</f>
        <v/>
      </c>
      <c r="Q17" s="19">
        <f>Q13+Q14+Q15-Q11</f>
        <v/>
      </c>
      <c r="R17" s="19">
        <f>R13+R14+R15-R11</f>
        <v/>
      </c>
      <c r="S17" s="19">
        <f>S13+S14+S15-S11</f>
        <v/>
      </c>
      <c r="T17" s="19">
        <f>T13+T14+T15-T11</f>
        <v/>
      </c>
      <c r="U17" s="19">
        <f>U13+U14+U15-U11</f>
        <v/>
      </c>
      <c r="V17" s="19">
        <f>V13+V14+V15-V11</f>
        <v/>
      </c>
      <c r="W17" s="19">
        <f>W13+W14+W15-W11</f>
        <v/>
      </c>
      <c r="X17" s="19">
        <f>X13+X14+X15-X11</f>
        <v/>
      </c>
      <c r="Y17" s="19">
        <f>Y13+Y14+Y15-Y11</f>
        <v/>
      </c>
      <c r="Z17" s="19">
        <f>Z13+Z14+Z15-Z11</f>
        <v/>
      </c>
      <c r="AA17" s="19">
        <f>AA13+AA14+AA15-AA11</f>
        <v/>
      </c>
      <c r="AB17" s="19">
        <f>AB13+AB14+AB15-AB11</f>
        <v/>
      </c>
      <c r="AC17" s="19">
        <f>AC13+AC14+AC15-AC11</f>
        <v/>
      </c>
      <c r="AD17" s="19">
        <f>AD13+AD14+AD15-AD11</f>
        <v/>
      </c>
      <c r="AE17" s="19">
        <f>AE13+AE14+AE15-AE11</f>
        <v/>
      </c>
      <c r="AF17" s="19">
        <f>AF13+AF14+AF15-AF11</f>
        <v/>
      </c>
      <c r="AG17" s="19">
        <f>AG13+AG14+AG15-AG11</f>
        <v/>
      </c>
      <c r="AH17" s="19">
        <f>AH13+AH14+AH15-AH11</f>
        <v/>
      </c>
      <c r="AI17" s="19">
        <f>AI13+AI14+AI15-AI11</f>
        <v/>
      </c>
      <c r="AJ17" s="19">
        <f>AJ13+AJ14+AJ15-AJ11</f>
        <v/>
      </c>
      <c r="AK17" s="19">
        <f>AK13+AK14+AK15-AK11</f>
        <v/>
      </c>
      <c r="AL17" s="19">
        <f>AL13+AL14+AL15-AL11</f>
        <v/>
      </c>
      <c r="AM17" s="19">
        <f>AM13+AM14+AM15-AM11</f>
        <v/>
      </c>
      <c r="AN17" s="19">
        <f>AN13+AN14+AN15-AN11</f>
        <v/>
      </c>
      <c r="AO17" s="19">
        <f>AO13+AO14+AO15-AO11</f>
        <v/>
      </c>
      <c r="AP17" s="19">
        <f>AP13+AP14+AP15-AP11</f>
        <v/>
      </c>
      <c r="AQ17" s="19">
        <f>AQ13+AQ14+AQ15-AQ11</f>
        <v/>
      </c>
      <c r="AR17" s="19">
        <f>AR13+AR14+AR15-AR11</f>
        <v/>
      </c>
      <c r="AS17" s="19">
        <f>AS13+AS14+AS15-AS11</f>
        <v/>
      </c>
      <c r="AT17" s="19">
        <f>AT13+AT14+AT15-AT11</f>
        <v/>
      </c>
      <c r="AU17" s="19">
        <f>AU13+AU14+AU15-AU11</f>
        <v/>
      </c>
      <c r="AV17" s="19">
        <f>AV13+AV14+AV15-AV11</f>
        <v/>
      </c>
      <c r="AW17" s="19">
        <f>AW13+AW14+AW15-AW11</f>
        <v/>
      </c>
      <c r="AX17" s="19">
        <f>AX13+AX14+AX15-AX11</f>
        <v/>
      </c>
      <c r="AY17" s="19">
        <f>AY13+AY14+AY15-AY11</f>
        <v/>
      </c>
      <c r="AZ17" s="19">
        <f>AZ13+AZ14+AZ15-AZ11</f>
        <v/>
      </c>
      <c r="BA17" s="19">
        <f>BA13+BA14+BA15-BA11</f>
        <v/>
      </c>
      <c r="BB17" s="19">
        <f>BB13+BB14+BB15-BB11</f>
        <v/>
      </c>
      <c r="BC17" s="19">
        <f>BC13+BC14+BC15-BC11</f>
        <v/>
      </c>
      <c r="BD17" s="19">
        <f>BD13+BD14+BD15-BD11</f>
        <v/>
      </c>
      <c r="BE17" s="19">
        <f>BE13+BE14+BE15-BE11</f>
        <v/>
      </c>
      <c r="BF17" s="19">
        <f>BF13+BF14+BF15-BF11</f>
        <v/>
      </c>
      <c r="BG17" s="19">
        <f>BG13+BG14+BG15-BG11</f>
        <v/>
      </c>
      <c r="BH17" s="19">
        <f>BH13+BH14+BH15-BH11</f>
        <v/>
      </c>
      <c r="BI17" s="19">
        <f>BI13+BI14+BI15-BI11</f>
        <v/>
      </c>
      <c r="BJ17" s="19">
        <f>BJ13+BJ14+BJ15-BJ11</f>
        <v/>
      </c>
      <c r="BK17" s="19">
        <f>BK13+BK14+BK15-BK11</f>
        <v/>
      </c>
      <c r="BL17" s="19">
        <f>BL13+BL14+BL15-BL11</f>
        <v/>
      </c>
      <c r="BM17" s="19">
        <f>BM13+BM14+BM15-BM11</f>
        <v/>
      </c>
      <c r="BN17" s="19">
        <f>BN13+BN14+BN15-BN11</f>
        <v/>
      </c>
      <c r="BO17" s="19">
        <f>BO13+BO14+BO15-BO11</f>
        <v/>
      </c>
      <c r="BP17" s="19">
        <f>BP13+BP14+BP15-BP11</f>
        <v/>
      </c>
      <c r="BQ17" s="19">
        <f>BQ13+BQ14+BQ15-BQ11</f>
        <v/>
      </c>
      <c r="BR17" s="19">
        <f>BR13+BR14+BR15-BR11</f>
        <v/>
      </c>
      <c r="BS17" s="19">
        <f>BS13+BS14+BS15-BS11</f>
        <v/>
      </c>
      <c r="BT17" s="19">
        <f>BT13+BT14+BT15-BT11</f>
        <v/>
      </c>
      <c r="BU17" s="19">
        <f>BU13+BU14+BU15-BU11</f>
        <v/>
      </c>
      <c r="BV17" s="19">
        <f>BV13+BV14+BV15-BV11</f>
        <v/>
      </c>
      <c r="BW17" s="19">
        <f>BW13+BW14+BW15-BW11</f>
        <v/>
      </c>
      <c r="BX17" s="19">
        <f>BX13+BX14+BX15-BX11</f>
        <v/>
      </c>
      <c r="BY17" s="19">
        <f>BY13+BY14+BY15-BY11</f>
        <v/>
      </c>
      <c r="BZ17" s="19">
        <f>BZ13+BZ14+BZ15-BZ11</f>
        <v/>
      </c>
      <c r="CA17" s="19">
        <f>CA13+CA14+CA15-CA11</f>
        <v/>
      </c>
      <c r="CB17" s="19">
        <f>CB13+CB14+CB15-CB11</f>
        <v/>
      </c>
      <c r="CC17" s="19">
        <f>CC13+CC14+CC15-CC11</f>
        <v/>
      </c>
      <c r="CD17" s="19">
        <f>CD13+CD14+CD15-CD11</f>
        <v/>
      </c>
      <c r="CE17" s="19">
        <f>CE13+CE14+CE15-CE11</f>
        <v/>
      </c>
      <c r="CF17" s="19">
        <f>CF13+CF14+CF15-CF11</f>
        <v/>
      </c>
      <c r="CG17" s="19">
        <f>CG13+CG14+CG15-CG11</f>
        <v/>
      </c>
      <c r="CH17" s="19">
        <f>CH13+CH14+CH15-CH11</f>
        <v/>
      </c>
      <c r="CI17" s="19">
        <f>CI13+CI14+CI15-CI11</f>
        <v/>
      </c>
      <c r="CJ17" s="19">
        <f>CJ13+CJ14+CJ15-CJ11</f>
        <v/>
      </c>
      <c r="CK17" s="19">
        <f>CK13+CK14+CK15-CK11</f>
        <v/>
      </c>
      <c r="CL17" s="19">
        <f>CL13+CL14+CL15-CL11</f>
        <v/>
      </c>
      <c r="CM17" s="19">
        <f>CM13+CM14+CM15-CM11</f>
        <v/>
      </c>
      <c r="CN17" s="19">
        <f>CN13+CN14+CN15-CN11</f>
        <v/>
      </c>
      <c r="CO17" s="19">
        <f>CO13+CO14+CO15-CO11</f>
        <v/>
      </c>
      <c r="CP17" s="19">
        <f>CP13+CP14+CP15-CP11</f>
        <v/>
      </c>
      <c r="CQ17" s="19">
        <f>CQ13+CQ14+CQ15-CQ11</f>
        <v/>
      </c>
      <c r="CR17" s="19">
        <f>CR13+CR14+CR15-CR11</f>
        <v/>
      </c>
      <c r="CS17" s="19">
        <f>CS13+CS14+CS15-CS11</f>
        <v/>
      </c>
      <c r="CT17" s="19">
        <f>CT13+CT14+CT15-CT11</f>
        <v/>
      </c>
      <c r="CU17" s="19">
        <f>CU13+CU14+CU15-CU11</f>
        <v/>
      </c>
      <c r="CV17" s="19">
        <f>CV13+CV14+CV15-CV11</f>
        <v/>
      </c>
      <c r="CW17" s="19">
        <f>CW13+CW14+CW15-CW11</f>
        <v/>
      </c>
      <c r="CX17" s="19">
        <f>CX13+CX14+CX15-CX11</f>
        <v/>
      </c>
      <c r="CY17" s="19">
        <f>CY13+CY14+CY15-CY11</f>
        <v/>
      </c>
      <c r="CZ17" s="19">
        <f>CZ13+CZ14+CZ15-CZ11</f>
        <v/>
      </c>
      <c r="DA17" s="19">
        <f>DA13+DA14+DA15-DA11</f>
        <v/>
      </c>
      <c r="DB17" s="19">
        <f>DB13+DB14+DB15-DB11</f>
        <v/>
      </c>
      <c r="DC17" s="19">
        <f>DC13+DC14+DC15-DC11</f>
        <v/>
      </c>
      <c r="DD17" s="19">
        <f>DD13+DD14+DD15-DD11</f>
        <v/>
      </c>
      <c r="DE17" s="19">
        <f>DE13+DE14+DE15-DE11</f>
        <v/>
      </c>
      <c r="DF17" s="19">
        <f>DF13+DF14+DF15-DF11</f>
        <v/>
      </c>
      <c r="DG17" s="19">
        <f>DG13+DG14+DG15-DG11</f>
        <v/>
      </c>
      <c r="DH17" s="19">
        <f>DH13+DH14+DH15-DH11</f>
        <v/>
      </c>
      <c r="DI17" s="19">
        <f>DI13+DI14+DI15-DI11</f>
        <v/>
      </c>
      <c r="DJ17" s="19">
        <f>DJ13+DJ14+DJ15-DJ11</f>
        <v/>
      </c>
      <c r="DK17" s="19">
        <f>DK13+DK14+DK15-DK11</f>
        <v/>
      </c>
      <c r="DL17" s="19">
        <f>DL13+DL14+DL15-DL11</f>
        <v/>
      </c>
      <c r="DM17" s="19">
        <f>DM13+DM14+DM15-DM11</f>
        <v/>
      </c>
      <c r="DN17" s="19">
        <f>DN13+DN14+DN15-DN11</f>
        <v/>
      </c>
      <c r="DO17" s="19">
        <f>DO13+DO14+DO15-DO11</f>
        <v/>
      </c>
      <c r="DP17" s="19">
        <f>DP13+DP14+DP15-DP11</f>
        <v/>
      </c>
      <c r="DQ17" s="19">
        <f>DQ13+DQ14+DQ15-DQ11</f>
        <v/>
      </c>
      <c r="DR17" s="19">
        <f>DR13+DR14+DR15-DR11</f>
        <v/>
      </c>
      <c r="DS17" s="19">
        <f>DS13+DS14+DS15-DS11</f>
        <v/>
      </c>
      <c r="DT17" s="19">
        <f>DT13+DT14+DT15-DT11</f>
        <v/>
      </c>
      <c r="DU17" s="19">
        <f>DU13+DU14+DU15-DU11</f>
        <v/>
      </c>
      <c r="DV17" s="19">
        <f>DV13+DV14+DV15-DV11</f>
        <v/>
      </c>
      <c r="DW17" s="19">
        <f>DW13+DW14+DW15-DW11</f>
        <v/>
      </c>
      <c r="DX17" s="19">
        <f>DX13+DX14+DX15-DX11</f>
        <v/>
      </c>
      <c r="DY17" s="19">
        <f>DY13+DY14+DY15-DY11</f>
        <v/>
      </c>
      <c r="DZ17" s="19">
        <f>DZ13+DZ14+DZ15-DZ11</f>
        <v/>
      </c>
      <c r="EA17" s="19">
        <f>EA13+EA14+EA15-EA11</f>
        <v/>
      </c>
      <c r="EB17" s="19">
        <f>EB13+EB14+EB15-EB11</f>
        <v/>
      </c>
      <c r="EC17" s="19">
        <f>EC13+EC14+EC15-EC11</f>
        <v/>
      </c>
      <c r="ED17" s="19">
        <f>ED13+ED14+ED15-ED11</f>
        <v/>
      </c>
      <c r="EE17" s="19">
        <f>EE13+EE14+EE15-EE11</f>
        <v/>
      </c>
      <c r="EF17" s="19">
        <f>EF13+EF14+EF15-EF11</f>
        <v/>
      </c>
      <c r="EG17" s="19">
        <f>EG13+EG14+EG15-EG11</f>
        <v/>
      </c>
      <c r="EH17" s="19">
        <f>EH13+EH14+EH15-EH11</f>
        <v/>
      </c>
      <c r="EI17" s="19">
        <f>EI13+EI14+EI15-EI11</f>
        <v/>
      </c>
      <c r="EJ17" s="19">
        <f>EJ13+EJ14+EJ15-EJ11</f>
        <v/>
      </c>
      <c r="EK17" s="19">
        <f>EK13+EK14+EK15-EK11</f>
        <v/>
      </c>
      <c r="EL17" s="19">
        <f>EL13+EL14+EL15-EL11</f>
        <v/>
      </c>
      <c r="EM17" s="19">
        <f>EM13+EM14+EM15-EM11</f>
        <v/>
      </c>
      <c r="EN17" s="19">
        <f>EN13+EN14+EN15-EN11</f>
        <v/>
      </c>
      <c r="EO17" s="19">
        <f>EO13+EO14+EO15-EO11</f>
        <v/>
      </c>
      <c r="EP17" s="19">
        <f>EP13+EP14+EP15-EP11</f>
        <v/>
      </c>
      <c r="EQ17" s="19">
        <f>EQ13+EQ14+EQ15-EQ11</f>
        <v/>
      </c>
      <c r="ER17" s="19">
        <f>ER13+ER14+ER15-ER11</f>
        <v/>
      </c>
      <c r="ES17" s="19">
        <f>ES13+ES14+ES15-ES11</f>
        <v/>
      </c>
      <c r="ET17" s="19">
        <f>ET13+ET14+ET15-ET11</f>
        <v/>
      </c>
      <c r="EU17" s="19">
        <f>EU13+EU14+EU15-EU11</f>
        <v/>
      </c>
      <c r="EV17" s="19">
        <f>EV13+EV14+EV15-EV11</f>
        <v/>
      </c>
      <c r="EW17" s="19">
        <f>EW13+EW14+EW15-EW11</f>
        <v/>
      </c>
      <c r="EX17" s="19">
        <f>EX13+EX14+EX15-EX11</f>
        <v/>
      </c>
      <c r="EY17" s="19">
        <f>EY13+EY14+EY15-EY11</f>
        <v/>
      </c>
      <c r="EZ17" s="19">
        <f>EZ13+EZ14+EZ15-EZ11</f>
        <v/>
      </c>
      <c r="FA17" s="19">
        <f>FA13+FA14+FA15-FA11</f>
        <v/>
      </c>
      <c r="FB17" s="19">
        <f>FB13+FB14+FB15-FB11</f>
        <v/>
      </c>
      <c r="FC17" s="19">
        <f>FC13+FC14+FC15-FC11</f>
        <v/>
      </c>
      <c r="FD17" s="19">
        <f>FD13+FD14+FD15-FD11</f>
        <v/>
      </c>
      <c r="FE17" s="19">
        <f>FE13+FE14+FE15-FE11</f>
        <v/>
      </c>
      <c r="FF17" s="19">
        <f>FF13+FF14+FF15-FF11</f>
        <v/>
      </c>
      <c r="FG17" s="19">
        <f>FG13+FG14+FG15-FG11</f>
        <v/>
      </c>
      <c r="FH17" s="19">
        <f>FH13+FH14+FH15-FH11</f>
        <v/>
      </c>
      <c r="FI17" s="19">
        <f>FI13+FI14+FI15-FI11</f>
        <v/>
      </c>
      <c r="FJ17" s="19">
        <f>FJ13+FJ14+FJ15-FJ11</f>
        <v/>
      </c>
      <c r="FK17" s="19">
        <f>FK13+FK14+FK15-FK11</f>
        <v/>
      </c>
      <c r="FL17" s="19">
        <f>FL13+FL14+FL15-FL11</f>
        <v/>
      </c>
      <c r="FM17" s="19">
        <f>FM13+FM14+FM15-FM11</f>
        <v/>
      </c>
      <c r="FN17" s="19">
        <f>FN13+FN14+FN15-FN11</f>
        <v/>
      </c>
      <c r="FO17" s="19">
        <f>FO13+FO14+FO15-FO11</f>
        <v/>
      </c>
      <c r="FP17" s="19">
        <f>FP13+FP14+FP15-FP11</f>
        <v/>
      </c>
      <c r="FQ17" s="19">
        <f>FQ13+FQ14+FQ15-FQ11</f>
        <v/>
      </c>
      <c r="FR17" s="19">
        <f>FR13+FR14+FR15-FR11</f>
        <v/>
      </c>
      <c r="FS17" s="19">
        <f>FS13+FS14+FS15-FS11</f>
        <v/>
      </c>
      <c r="FT17" s="19">
        <f>FT13+FT14+FT15-FT11</f>
        <v/>
      </c>
      <c r="FU17" s="19">
        <f>FU13+FU14+FU15-FU11</f>
        <v/>
      </c>
      <c r="FV17" s="19">
        <f>FV13+FV14+FV15-FV11</f>
        <v/>
      </c>
      <c r="FW17" s="19">
        <f>FW13+FW14+FW15-FW11</f>
        <v/>
      </c>
      <c r="FX17" s="19">
        <f>FX13+FX14+FX15-FX11</f>
        <v/>
      </c>
      <c r="FY17" s="19">
        <f>FY13+FY14+FY15-FY11</f>
        <v/>
      </c>
      <c r="FZ17" s="19">
        <f>FZ13+FZ14+FZ15-FZ11</f>
        <v/>
      </c>
      <c r="GA17" s="19">
        <f>GA13+GA14+GA15-GA11</f>
        <v/>
      </c>
      <c r="GB17" s="19">
        <f>GB13+GB14+GB15-GB11</f>
        <v/>
      </c>
      <c r="GC17" s="19">
        <f>GC13+GC14+GC15-GC11</f>
        <v/>
      </c>
      <c r="GD17" s="19">
        <f>GD13+GD14+GD15-GD11</f>
        <v/>
      </c>
      <c r="GE17" s="19">
        <f>GE13+GE14+GE15-GE11</f>
        <v/>
      </c>
      <c r="GF17" s="19">
        <f>GF13+GF14+GF15-GF11</f>
        <v/>
      </c>
      <c r="GG17" s="19">
        <f>GG13+GG14+GG15-GG11</f>
        <v/>
      </c>
      <c r="GH17" s="19">
        <f>GH13+GH14+GH15-GH11</f>
        <v/>
      </c>
      <c r="GI17" s="19">
        <f>GI13+GI14+GI15-GI11</f>
        <v/>
      </c>
      <c r="GJ17" s="19">
        <f>GJ13+GJ14+GJ15-GJ11</f>
        <v/>
      </c>
      <c r="GK17" s="19">
        <f>GK13+GK14+GK15-GK11</f>
        <v/>
      </c>
      <c r="GL17" s="19">
        <f>GL13+GL14+GL15-GL11</f>
        <v/>
      </c>
      <c r="GM17" s="19">
        <f>GM13+GM14+GM15-GM11</f>
        <v/>
      </c>
      <c r="GN17" s="19">
        <f>GN13+GN14+GN15-GN11</f>
        <v/>
      </c>
      <c r="GO17" s="19">
        <f>GO13+GO14+GO15-GO11</f>
        <v/>
      </c>
      <c r="GP17" s="19">
        <f>GP13+GP14+GP15-GP11</f>
        <v/>
      </c>
      <c r="GQ17" s="19">
        <f>GQ13+GQ14+GQ15-GQ11</f>
        <v/>
      </c>
      <c r="GR17" s="19">
        <f>GR13+GR14+GR15-GR11</f>
        <v/>
      </c>
      <c r="GS17" s="19">
        <f>GS13+GS14+GS15-GS11</f>
        <v/>
      </c>
      <c r="GT17" s="19">
        <f>GT13+GT14+GT15-GT11</f>
        <v/>
      </c>
      <c r="GU17" s="19">
        <f>GU13+GU14+GU15-GU11</f>
        <v/>
      </c>
      <c r="GV17" s="19">
        <f>GV13+GV14+GV15-GV11</f>
        <v/>
      </c>
      <c r="GW17" s="19">
        <f>GW13+GW14+GW15-GW11</f>
        <v/>
      </c>
      <c r="GX17" s="19">
        <f>GX13+GX14+GX15-GX11</f>
        <v/>
      </c>
      <c r="GY17" s="19">
        <f>GY13+GY14+GY15-GY11</f>
        <v/>
      </c>
      <c r="GZ17" s="19">
        <f>GZ13+GZ14+GZ15-GZ11</f>
        <v/>
      </c>
      <c r="HA17" s="19">
        <f>HA13+HA14+HA15-HA11</f>
        <v/>
      </c>
      <c r="HB17" s="19">
        <f>HB13+HB14+HB15-HB11</f>
        <v/>
      </c>
      <c r="HC17" s="19">
        <f>HC13+HC14+HC15-HC11</f>
        <v/>
      </c>
      <c r="HD17" s="19">
        <f>HD13+HD14+HD15-HD11</f>
        <v/>
      </c>
      <c r="HE17" s="19">
        <f>HE13+HE14+HE15-HE11</f>
        <v/>
      </c>
      <c r="HF17" s="19">
        <f>HF13+HF14+HF15-HF11</f>
        <v/>
      </c>
      <c r="HG17" s="19">
        <f>HG13+HG14+HG15-HG11</f>
        <v/>
      </c>
      <c r="HH17" s="19">
        <f>HH13+HH14+HH15-HH11</f>
        <v/>
      </c>
      <c r="HI17" s="19">
        <f>HI13+HI14+HI15-HI11</f>
        <v/>
      </c>
      <c r="HJ17" s="19">
        <f>HJ13+HJ14+HJ15-HJ11</f>
        <v/>
      </c>
      <c r="HK17" s="19">
        <f>HK13+HK14+HK15-HK11</f>
        <v/>
      </c>
      <c r="HL17" s="19">
        <f>HL13+HL14+HL15-HL11</f>
        <v/>
      </c>
      <c r="HM17" s="19">
        <f>HM13+HM14+HM15-HM11</f>
        <v/>
      </c>
      <c r="HN17" s="19">
        <f>HN13+HN14+HN15-HN11</f>
        <v/>
      </c>
      <c r="HO17" s="19">
        <f>HO13+HO14+HO15-HO11</f>
        <v/>
      </c>
      <c r="HP17" s="19">
        <f>HP13+HP14+HP15-HP11</f>
        <v/>
      </c>
      <c r="HQ17" s="19">
        <f>HQ13+HQ14+HQ15-HQ11</f>
        <v/>
      </c>
      <c r="HR17" s="19">
        <f>HR13+HR14+HR15-HR11</f>
        <v/>
      </c>
      <c r="HS17" s="19">
        <f>HS13+HS14+HS15-HS11</f>
        <v/>
      </c>
      <c r="HT17" s="19">
        <f>HT13+HT14+HT15-HT11</f>
        <v/>
      </c>
      <c r="HU17" s="19">
        <f>HU13+HU14+HU15-HU11</f>
        <v/>
      </c>
      <c r="HV17" s="19">
        <f>HV13+HV14+HV15-HV11</f>
        <v/>
      </c>
      <c r="HW17" s="19">
        <f>HW13+HW14+HW15-HW11</f>
        <v/>
      </c>
      <c r="HX17" s="19">
        <f>HX13+HX14+HX15-HX11</f>
        <v/>
      </c>
      <c r="HY17" s="19">
        <f>HY13+HY14+HY15-HY11</f>
        <v/>
      </c>
      <c r="HZ17" s="19">
        <f>HZ13+HZ14+HZ15-HZ11</f>
        <v/>
      </c>
      <c r="IA17" s="19">
        <f>IA13+IA14+IA15-IA11</f>
        <v/>
      </c>
      <c r="IB17" s="19">
        <f>IB13+IB14+IB15-IB11</f>
        <v/>
      </c>
      <c r="IC17" s="19">
        <f>IC13+IC14+IC15-IC11</f>
        <v/>
      </c>
      <c r="ID17" s="19">
        <f>ID13+ID14+ID15-ID11</f>
        <v/>
      </c>
      <c r="IE17" s="19">
        <f>IE13+IE14+IE15-IE11</f>
        <v/>
      </c>
      <c r="IF17" s="19">
        <f>IF13+IF14+IF15-IF11</f>
        <v/>
      </c>
      <c r="IG17" s="19">
        <f>IG13+IG14+IG15-IG11</f>
        <v/>
      </c>
      <c r="IH17" s="19">
        <f>IH13+IH14+IH15-IH11</f>
        <v/>
      </c>
      <c r="II17" s="19">
        <f>II13+II14+II15-II11</f>
        <v/>
      </c>
      <c r="IJ17" s="19">
        <f>IJ13+IJ14+IJ15-IJ11</f>
        <v/>
      </c>
      <c r="IK17" s="19">
        <f>IK13+IK14+IK15-IK11</f>
        <v/>
      </c>
      <c r="IL17" s="19">
        <f>IL13+IL14+IL15-IL11</f>
        <v/>
      </c>
      <c r="IM17" s="19">
        <f>IM13+IM14+IM15-IM11</f>
        <v/>
      </c>
      <c r="IN17" s="19">
        <f>IN13+IN14+IN15-IN11</f>
        <v/>
      </c>
      <c r="IO17" s="19">
        <f>IO13+IO14+IO15-IO11</f>
        <v/>
      </c>
      <c r="IP17" s="19">
        <f>IP13+IP14+IP15-IP11</f>
        <v/>
      </c>
      <c r="IQ17" s="19">
        <f>IQ13+IQ14+IQ15-IQ11</f>
        <v/>
      </c>
      <c r="IR17" s="19">
        <f>IR13+IR14+IR15-IR11</f>
        <v/>
      </c>
      <c r="IS17" s="19">
        <f>IS13+IS14+IS15-IS11</f>
        <v/>
      </c>
      <c r="IT17" s="19">
        <f>IT13+IT14+IT15-IT11</f>
        <v/>
      </c>
      <c r="IU17" s="19">
        <f>IU13+IU14+IU15-IU11</f>
        <v/>
      </c>
      <c r="IV17" s="19">
        <f>IV13+IV14+IV15-IV11</f>
        <v/>
      </c>
      <c r="IW17" s="19">
        <f>IW13+IW14+IW15-IW11</f>
        <v/>
      </c>
      <c r="IX17" s="19">
        <f>IX13+IX14+IX15-IX11</f>
        <v/>
      </c>
      <c r="IY17" s="19">
        <f>IY13+IY14+IY15-IY11</f>
        <v/>
      </c>
      <c r="IZ17" s="19">
        <f>IZ13+IZ14+IZ15-IZ11</f>
        <v/>
      </c>
      <c r="JA17" s="19">
        <f>JA13+JA14+JA15-JA11</f>
        <v/>
      </c>
      <c r="JB17" s="19">
        <f>JB13+JB14+JB15-JB11</f>
        <v/>
      </c>
      <c r="JC17" s="19">
        <f>JC13+JC14+JC15-JC11</f>
        <v/>
      </c>
      <c r="JD17" s="19">
        <f>JD13+JD14+JD15-JD11</f>
        <v/>
      </c>
      <c r="JE17" s="19">
        <f>JE13+JE14+JE15-JE11</f>
        <v/>
      </c>
      <c r="JF17" s="19">
        <f>JF13+JF14+JF15-JF11</f>
        <v/>
      </c>
      <c r="JG17" s="19">
        <f>JG13+JG14+JG15-JG11</f>
        <v/>
      </c>
      <c r="JH17" s="19">
        <f>JH13+JH14+JH15-JH11</f>
        <v/>
      </c>
      <c r="JI17" s="19">
        <f>JI13+JI14+JI15-JI11</f>
        <v/>
      </c>
      <c r="JJ17" s="19">
        <f>JJ13+JJ14+JJ15-JJ11</f>
        <v/>
      </c>
      <c r="JK17" s="19">
        <f>JK13+JK14+JK15-JK11</f>
        <v/>
      </c>
      <c r="JL17" s="19">
        <f>JL13+JL14+JL15-JL11</f>
        <v/>
      </c>
      <c r="JM17" s="19">
        <f>JM13+JM14+JM15-JM11</f>
        <v/>
      </c>
      <c r="JN17" s="19">
        <f>JN13+JN14+JN15-JN11</f>
        <v/>
      </c>
      <c r="JO17" s="19">
        <f>JO13+JO14+JO15-JO11</f>
        <v/>
      </c>
      <c r="JP17" s="19">
        <f>JP13+JP14+JP15-JP11</f>
        <v/>
      </c>
      <c r="JQ17" s="19">
        <f>JQ13+JQ14+JQ15-JQ11</f>
        <v/>
      </c>
      <c r="JR17" s="19">
        <f>JR13+JR14+JR15-JR11</f>
        <v/>
      </c>
      <c r="JS17" s="19">
        <f>JS13+JS14+JS15-JS11</f>
        <v/>
      </c>
      <c r="JT17" s="19">
        <f>JT13+JT14+JT15-JT11</f>
        <v/>
      </c>
      <c r="JU17" s="19">
        <f>JU13+JU14+JU15-JU11</f>
        <v/>
      </c>
      <c r="JV17" s="19">
        <f>JV13+JV14+JV15-JV11</f>
        <v/>
      </c>
      <c r="JW17" s="19">
        <f>JW13+JW14+JW15-JW11</f>
        <v/>
      </c>
      <c r="JX17" s="19">
        <f>JX13+JX14+JX15-JX11</f>
        <v/>
      </c>
      <c r="JY17" s="19">
        <f>JY13+JY14+JY15-JY11</f>
        <v/>
      </c>
      <c r="JZ17" s="19">
        <f>JZ13+JZ14+JZ15-JZ11</f>
        <v/>
      </c>
      <c r="KA17" s="19">
        <f>KA13+KA14+KA15-KA11</f>
        <v/>
      </c>
      <c r="KB17" s="19">
        <f>KB13+KB14+KB15-KB11</f>
        <v/>
      </c>
      <c r="KC17" s="19">
        <f>KC13+KC14+KC15-KC11</f>
        <v/>
      </c>
      <c r="KD17" s="19">
        <f>KD13+KD14+KD15-KD11</f>
        <v/>
      </c>
      <c r="KE17" s="19">
        <f>KE13+KE14+KE15-KE11</f>
        <v/>
      </c>
      <c r="KF17" s="19">
        <f>KF13+KF14+KF15-KF11</f>
        <v/>
      </c>
      <c r="KG17" s="19">
        <f>KG13+KG14+KG15-KG11</f>
        <v/>
      </c>
      <c r="KH17" s="19">
        <f>KH13+KH14+KH15-KH11</f>
        <v/>
      </c>
      <c r="KI17" s="19">
        <f>KI13+KI14+KI15-KI11</f>
        <v/>
      </c>
      <c r="KJ17" s="19">
        <f>KJ13+KJ14+KJ15-KJ11</f>
        <v/>
      </c>
      <c r="KK17" s="19">
        <f>KK13+KK14+KK15-KK11</f>
        <v/>
      </c>
      <c r="KL17" s="19">
        <f>KL13+KL14+KL15-KL11</f>
        <v/>
      </c>
      <c r="KM17" s="19">
        <f>KM13+KM14+KM15-KM11</f>
        <v/>
      </c>
      <c r="KN17" s="19">
        <f>KN13+KN14+KN15-KN11</f>
        <v/>
      </c>
      <c r="KO17" s="19">
        <f>KO13+KO14+KO15-KO11</f>
        <v/>
      </c>
      <c r="KP17" s="19">
        <f>KP13+KP14+KP15-KP11</f>
        <v/>
      </c>
      <c r="KQ17" s="19">
        <f>KQ13+KQ14+KQ15-KQ11</f>
        <v/>
      </c>
      <c r="KR17" s="19">
        <f>KR13+KR14+KR15-KR11</f>
        <v/>
      </c>
      <c r="KS17" s="19">
        <f>KS13+KS14+KS15-KS11</f>
        <v/>
      </c>
      <c r="KT17" s="19">
        <f>KT13+KT14+KT15-KT11</f>
        <v/>
      </c>
      <c r="KU17" s="19">
        <f>KU13+KU14+KU15-KU11</f>
        <v/>
      </c>
      <c r="KV17" s="19">
        <f>KV13+KV14+KV15-KV11</f>
        <v/>
      </c>
      <c r="KW17" s="19">
        <f>KW13+KW14+KW15-KW11</f>
        <v/>
      </c>
      <c r="KX17" s="19">
        <f>KX13+KX14+KX15-KX11</f>
        <v/>
      </c>
      <c r="KY17" s="19">
        <f>KY13+KY14+KY15-KY11</f>
        <v/>
      </c>
      <c r="KZ17" s="19">
        <f>KZ13+KZ14+KZ15-KZ11</f>
        <v/>
      </c>
      <c r="LA17" s="19">
        <f>LA13+LA14+LA15-LA11</f>
        <v/>
      </c>
      <c r="LB17" s="19">
        <f>LB13+LB14+LB15-LB11</f>
        <v/>
      </c>
      <c r="LC17" s="19">
        <f>LC13+LC14+LC15-LC11</f>
        <v/>
      </c>
    </row>
    <row r="19">
      <c r="B19" s="21" t="inlineStr">
        <is>
          <t>Saldo maximo del activo</t>
        </is>
      </c>
      <c r="D19" s="25">
        <f>MAX($D$17:$LC$17)</f>
        <v/>
      </c>
    </row>
    <row r="20">
      <c r="B20" s="21" t="inlineStr">
        <is>
          <t>Amortizacion acumulada</t>
        </is>
      </c>
      <c r="D20" s="25">
        <f>SUM($D$16:$LC$16)</f>
        <v/>
      </c>
    </row>
    <row r="21">
      <c r="B21" s="21" t="inlineStr">
        <is>
          <t>Saldo final, debe ser cero</t>
        </is>
      </c>
      <c r="D21" s="25">
        <f>$LC$17</f>
        <v/>
      </c>
    </row>
    <row r="22">
      <c r="B22" s="21" t="inlineStr">
        <is>
          <t>Meses con amortizacion negativa (el activo crece)</t>
        </is>
      </c>
      <c r="D22" s="25">
        <f>COUNTIF($D$16:$LC$16,"&lt;0")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I21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3" customWidth="1" min="261" max="261"/>
    <col width="13" customWidth="1" min="262" max="262"/>
    <col width="13" customWidth="1" min="263" max="263"/>
    <col width="13" customWidth="1" min="264" max="264"/>
    <col width="13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13" customWidth="1" min="270" max="270"/>
    <col width="13" customWidth="1" min="271" max="271"/>
    <col width="13" customWidth="1" min="272" max="272"/>
    <col width="13" customWidth="1" min="273" max="273"/>
    <col width="13" customWidth="1" min="274" max="274"/>
    <col width="13" customWidth="1" min="275" max="275"/>
    <col width="13" customWidth="1" min="276" max="276"/>
    <col width="13" customWidth="1" min="277" max="277"/>
    <col width="13" customWidth="1" min="278" max="278"/>
    <col width="13" customWidth="1" min="279" max="279"/>
    <col width="13" customWidth="1" min="280" max="280"/>
    <col width="13" customWidth="1" min="281" max="281"/>
    <col width="13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13" customWidth="1" min="287" max="287"/>
    <col width="13" customWidth="1" min="288" max="288"/>
    <col width="13" customWidth="1" min="289" max="289"/>
    <col width="13" customWidth="1" min="290" max="290"/>
    <col width="13" customWidth="1" min="291" max="291"/>
    <col width="13" customWidth="1" min="292" max="292"/>
    <col width="13" customWidth="1" min="293" max="293"/>
    <col width="13" customWidth="1" min="294" max="294"/>
    <col width="13" customWidth="1" min="295" max="295"/>
    <col width="13" customWidth="1" min="296" max="296"/>
    <col width="13" customWidth="1" min="297" max="297"/>
    <col width="13" customWidth="1" min="298" max="298"/>
    <col width="13" customWidth="1" min="299" max="299"/>
    <col width="13" customWidth="1" min="300" max="300"/>
    <col width="13" customWidth="1" min="301" max="301"/>
    <col width="13" customWidth="1" min="302" max="302"/>
    <col width="13" customWidth="1" min="303" max="303"/>
    <col width="13" customWidth="1" min="304" max="304"/>
    <col width="13" customWidth="1" min="305" max="305"/>
    <col width="13" customWidth="1" min="306" max="306"/>
    <col width="13" customWidth="1" min="307" max="307"/>
    <col width="13" customWidth="1" min="308" max="308"/>
    <col width="13" customWidth="1" min="309" max="309"/>
    <col width="13" customWidth="1" min="310" max="310"/>
    <col width="13" customWidth="1" min="311" max="311"/>
    <col width="13" customWidth="1" min="312" max="312"/>
    <col width="13" customWidth="1" min="313" max="313"/>
    <col width="13" customWidth="1" min="314" max="314"/>
    <col width="13" customWidth="1" min="315" max="315"/>
    <col width="13" customWidth="1" min="316" max="316"/>
    <col width="13" customWidth="1" min="317" max="317"/>
    <col width="13" customWidth="1" min="318" max="318"/>
    <col width="13" customWidth="1" min="319" max="319"/>
    <col width="13" customWidth="1" min="320" max="320"/>
    <col width="13" customWidth="1" min="321" max="321"/>
  </cols>
  <sheetData>
    <row r="2">
      <c r="B2" s="1" t="inlineStr">
        <is>
          <t>PPD de operacion y mantenimiento</t>
        </is>
      </c>
    </row>
    <row r="3">
      <c r="B3" s="2" t="inlineStr">
        <is>
          <t>Ingresos reajustados por IPM con gatillo; la pata fija es costo mas margen.</t>
        </is>
      </c>
    </row>
    <row r="6">
      <c r="B6" s="15" t="inlineStr">
        <is>
          <t>Mes</t>
        </is>
      </c>
      <c r="D6" s="16" t="inlineStr">
        <is>
          <t>2026-10-31</t>
        </is>
      </c>
      <c r="E6" s="16" t="inlineStr">
        <is>
          <t>2026-11-30</t>
        </is>
      </c>
      <c r="F6" s="16" t="inlineStr">
        <is>
          <t>2026-12-31</t>
        </is>
      </c>
      <c r="G6" s="16" t="inlineStr">
        <is>
          <t>2027-01-31</t>
        </is>
      </c>
      <c r="H6" s="16" t="inlineStr">
        <is>
          <t>2027-02-28</t>
        </is>
      </c>
      <c r="I6" s="16" t="inlineStr">
        <is>
          <t>2027-03-31</t>
        </is>
      </c>
      <c r="J6" s="16" t="inlineStr">
        <is>
          <t>2027-04-30</t>
        </is>
      </c>
      <c r="K6" s="16" t="inlineStr">
        <is>
          <t>2027-05-31</t>
        </is>
      </c>
      <c r="L6" s="16" t="inlineStr">
        <is>
          <t>2027-06-30</t>
        </is>
      </c>
      <c r="M6" s="16" t="inlineStr">
        <is>
          <t>2027-07-31</t>
        </is>
      </c>
      <c r="N6" s="16" t="inlineStr">
        <is>
          <t>2027-08-31</t>
        </is>
      </c>
      <c r="O6" s="16" t="inlineStr">
        <is>
          <t>2027-09-30</t>
        </is>
      </c>
      <c r="P6" s="16" t="inlineStr">
        <is>
          <t>2027-10-31</t>
        </is>
      </c>
      <c r="Q6" s="16" t="inlineStr">
        <is>
          <t>2027-11-30</t>
        </is>
      </c>
      <c r="R6" s="16" t="inlineStr">
        <is>
          <t>2027-12-31</t>
        </is>
      </c>
      <c r="S6" s="16" t="inlineStr">
        <is>
          <t>2028-01-31</t>
        </is>
      </c>
      <c r="T6" s="16" t="inlineStr">
        <is>
          <t>2028-02-29</t>
        </is>
      </c>
      <c r="U6" s="16" t="inlineStr">
        <is>
          <t>2028-03-31</t>
        </is>
      </c>
      <c r="V6" s="16" t="inlineStr">
        <is>
          <t>2028-04-30</t>
        </is>
      </c>
      <c r="W6" s="16" t="inlineStr">
        <is>
          <t>2028-05-31</t>
        </is>
      </c>
      <c r="X6" s="16" t="inlineStr">
        <is>
          <t>2028-06-30</t>
        </is>
      </c>
      <c r="Y6" s="16" t="inlineStr">
        <is>
          <t>2028-07-31</t>
        </is>
      </c>
      <c r="Z6" s="16" t="inlineStr">
        <is>
          <t>2028-08-31</t>
        </is>
      </c>
      <c r="AA6" s="16" t="inlineStr">
        <is>
          <t>2028-09-30</t>
        </is>
      </c>
      <c r="AB6" s="16" t="inlineStr">
        <is>
          <t>2028-10-31</t>
        </is>
      </c>
      <c r="AC6" s="16" t="inlineStr">
        <is>
          <t>2028-11-30</t>
        </is>
      </c>
      <c r="AD6" s="16" t="inlineStr">
        <is>
          <t>2028-12-31</t>
        </is>
      </c>
      <c r="AE6" s="16" t="inlineStr">
        <is>
          <t>2029-01-31</t>
        </is>
      </c>
      <c r="AF6" s="16" t="inlineStr">
        <is>
          <t>2029-02-28</t>
        </is>
      </c>
      <c r="AG6" s="16" t="inlineStr">
        <is>
          <t>2029-03-31</t>
        </is>
      </c>
      <c r="AH6" s="16" t="inlineStr">
        <is>
          <t>2029-04-30</t>
        </is>
      </c>
      <c r="AI6" s="16" t="inlineStr">
        <is>
          <t>2029-05-31</t>
        </is>
      </c>
      <c r="AJ6" s="16" t="inlineStr">
        <is>
          <t>2029-06-30</t>
        </is>
      </c>
      <c r="AK6" s="16" t="inlineStr">
        <is>
          <t>2029-07-31</t>
        </is>
      </c>
      <c r="AL6" s="16" t="inlineStr">
        <is>
          <t>2029-08-31</t>
        </is>
      </c>
      <c r="AM6" s="16" t="inlineStr">
        <is>
          <t>2029-09-30</t>
        </is>
      </c>
      <c r="AN6" s="16" t="inlineStr">
        <is>
          <t>2029-10-31</t>
        </is>
      </c>
      <c r="AO6" s="16" t="inlineStr">
        <is>
          <t>2029-11-30</t>
        </is>
      </c>
      <c r="AP6" s="16" t="inlineStr">
        <is>
          <t>2029-12-31</t>
        </is>
      </c>
      <c r="AQ6" s="16" t="inlineStr">
        <is>
          <t>2030-01-31</t>
        </is>
      </c>
      <c r="AR6" s="16" t="inlineStr">
        <is>
          <t>2030-02-28</t>
        </is>
      </c>
      <c r="AS6" s="16" t="inlineStr">
        <is>
          <t>2030-03-31</t>
        </is>
      </c>
      <c r="AT6" s="16" t="inlineStr">
        <is>
          <t>2030-04-30</t>
        </is>
      </c>
      <c r="AU6" s="16" t="inlineStr">
        <is>
          <t>2030-05-31</t>
        </is>
      </c>
      <c r="AV6" s="16" t="inlineStr">
        <is>
          <t>2030-06-30</t>
        </is>
      </c>
      <c r="AW6" s="16" t="inlineStr">
        <is>
          <t>2030-07-31</t>
        </is>
      </c>
      <c r="AX6" s="16" t="inlineStr">
        <is>
          <t>2030-08-31</t>
        </is>
      </c>
      <c r="AY6" s="16" t="inlineStr">
        <is>
          <t>2030-09-30</t>
        </is>
      </c>
      <c r="AZ6" s="16" t="inlineStr">
        <is>
          <t>2030-10-31</t>
        </is>
      </c>
      <c r="BA6" s="16" t="inlineStr">
        <is>
          <t>2030-11-30</t>
        </is>
      </c>
      <c r="BB6" s="16" t="inlineStr">
        <is>
          <t>2030-12-31</t>
        </is>
      </c>
      <c r="BC6" s="16" t="inlineStr">
        <is>
          <t>2031-01-31</t>
        </is>
      </c>
      <c r="BD6" s="16" t="inlineStr">
        <is>
          <t>2031-02-28</t>
        </is>
      </c>
      <c r="BE6" s="16" t="inlineStr">
        <is>
          <t>2031-03-31</t>
        </is>
      </c>
      <c r="BF6" s="16" t="inlineStr">
        <is>
          <t>2031-04-30</t>
        </is>
      </c>
      <c r="BG6" s="16" t="inlineStr">
        <is>
          <t>2031-05-31</t>
        </is>
      </c>
      <c r="BH6" s="16" t="inlineStr">
        <is>
          <t>2031-06-30</t>
        </is>
      </c>
      <c r="BI6" s="16" t="inlineStr">
        <is>
          <t>2031-07-31</t>
        </is>
      </c>
      <c r="BJ6" s="16" t="inlineStr">
        <is>
          <t>2031-08-31</t>
        </is>
      </c>
      <c r="BK6" s="16" t="inlineStr">
        <is>
          <t>2031-09-30</t>
        </is>
      </c>
      <c r="BL6" s="16" t="inlineStr">
        <is>
          <t>2031-10-31</t>
        </is>
      </c>
      <c r="BM6" s="16" t="inlineStr">
        <is>
          <t>2031-11-30</t>
        </is>
      </c>
      <c r="BN6" s="16" t="inlineStr">
        <is>
          <t>2031-12-31</t>
        </is>
      </c>
      <c r="BO6" s="16" t="inlineStr">
        <is>
          <t>2032-01-31</t>
        </is>
      </c>
      <c r="BP6" s="16" t="inlineStr">
        <is>
          <t>2032-02-29</t>
        </is>
      </c>
      <c r="BQ6" s="16" t="inlineStr">
        <is>
          <t>2032-03-31</t>
        </is>
      </c>
      <c r="BR6" s="16" t="inlineStr">
        <is>
          <t>2032-04-30</t>
        </is>
      </c>
      <c r="BS6" s="16" t="inlineStr">
        <is>
          <t>2032-05-31</t>
        </is>
      </c>
      <c r="BT6" s="16" t="inlineStr">
        <is>
          <t>2032-06-30</t>
        </is>
      </c>
      <c r="BU6" s="16" t="inlineStr">
        <is>
          <t>2032-07-31</t>
        </is>
      </c>
      <c r="BV6" s="16" t="inlineStr">
        <is>
          <t>2032-08-31</t>
        </is>
      </c>
      <c r="BW6" s="16" t="inlineStr">
        <is>
          <t>2032-09-30</t>
        </is>
      </c>
      <c r="BX6" s="16" t="inlineStr">
        <is>
          <t>2032-10-31</t>
        </is>
      </c>
      <c r="BY6" s="16" t="inlineStr">
        <is>
          <t>2032-11-30</t>
        </is>
      </c>
      <c r="BZ6" s="16" t="inlineStr">
        <is>
          <t>2032-12-31</t>
        </is>
      </c>
      <c r="CA6" s="16" t="inlineStr">
        <is>
          <t>2033-01-31</t>
        </is>
      </c>
      <c r="CB6" s="16" t="inlineStr">
        <is>
          <t>2033-02-28</t>
        </is>
      </c>
      <c r="CC6" s="16" t="inlineStr">
        <is>
          <t>2033-03-31</t>
        </is>
      </c>
      <c r="CD6" s="16" t="inlineStr">
        <is>
          <t>2033-04-30</t>
        </is>
      </c>
      <c r="CE6" s="16" t="inlineStr">
        <is>
          <t>2033-05-31</t>
        </is>
      </c>
      <c r="CF6" s="16" t="inlineStr">
        <is>
          <t>2033-06-30</t>
        </is>
      </c>
      <c r="CG6" s="16" t="inlineStr">
        <is>
          <t>2033-07-31</t>
        </is>
      </c>
      <c r="CH6" s="16" t="inlineStr">
        <is>
          <t>2033-08-31</t>
        </is>
      </c>
      <c r="CI6" s="16" t="inlineStr">
        <is>
          <t>2033-09-30</t>
        </is>
      </c>
      <c r="CJ6" s="16" t="inlineStr">
        <is>
          <t>2033-10-31</t>
        </is>
      </c>
      <c r="CK6" s="16" t="inlineStr">
        <is>
          <t>2033-11-30</t>
        </is>
      </c>
      <c r="CL6" s="16" t="inlineStr">
        <is>
          <t>2033-12-31</t>
        </is>
      </c>
      <c r="CM6" s="16" t="inlineStr">
        <is>
          <t>2034-01-31</t>
        </is>
      </c>
      <c r="CN6" s="16" t="inlineStr">
        <is>
          <t>2034-02-28</t>
        </is>
      </c>
      <c r="CO6" s="16" t="inlineStr">
        <is>
          <t>2034-03-31</t>
        </is>
      </c>
      <c r="CP6" s="16" t="inlineStr">
        <is>
          <t>2034-04-30</t>
        </is>
      </c>
      <c r="CQ6" s="16" t="inlineStr">
        <is>
          <t>2034-05-31</t>
        </is>
      </c>
      <c r="CR6" s="16" t="inlineStr">
        <is>
          <t>2034-06-30</t>
        </is>
      </c>
      <c r="CS6" s="16" t="inlineStr">
        <is>
          <t>2034-07-31</t>
        </is>
      </c>
      <c r="CT6" s="16" t="inlineStr">
        <is>
          <t>2034-08-31</t>
        </is>
      </c>
      <c r="CU6" s="16" t="inlineStr">
        <is>
          <t>2034-09-30</t>
        </is>
      </c>
      <c r="CV6" s="16" t="inlineStr">
        <is>
          <t>2034-10-31</t>
        </is>
      </c>
      <c r="CW6" s="16" t="inlineStr">
        <is>
          <t>2034-11-30</t>
        </is>
      </c>
      <c r="CX6" s="16" t="inlineStr">
        <is>
          <t>2034-12-31</t>
        </is>
      </c>
      <c r="CY6" s="16" t="inlineStr">
        <is>
          <t>2035-01-31</t>
        </is>
      </c>
      <c r="CZ6" s="16" t="inlineStr">
        <is>
          <t>2035-02-28</t>
        </is>
      </c>
      <c r="DA6" s="16" t="inlineStr">
        <is>
          <t>2035-03-31</t>
        </is>
      </c>
      <c r="DB6" s="16" t="inlineStr">
        <is>
          <t>2035-04-30</t>
        </is>
      </c>
      <c r="DC6" s="16" t="inlineStr">
        <is>
          <t>2035-05-31</t>
        </is>
      </c>
      <c r="DD6" s="16" t="inlineStr">
        <is>
          <t>2035-06-30</t>
        </is>
      </c>
      <c r="DE6" s="16" t="inlineStr">
        <is>
          <t>2035-07-31</t>
        </is>
      </c>
      <c r="DF6" s="16" t="inlineStr">
        <is>
          <t>2035-08-31</t>
        </is>
      </c>
      <c r="DG6" s="16" t="inlineStr">
        <is>
          <t>2035-09-30</t>
        </is>
      </c>
      <c r="DH6" s="16" t="inlineStr">
        <is>
          <t>2035-10-31</t>
        </is>
      </c>
      <c r="DI6" s="16" t="inlineStr">
        <is>
          <t>2035-11-30</t>
        </is>
      </c>
      <c r="DJ6" s="16" t="inlineStr">
        <is>
          <t>2035-12-31</t>
        </is>
      </c>
      <c r="DK6" s="16" t="inlineStr">
        <is>
          <t>2036-01-31</t>
        </is>
      </c>
      <c r="DL6" s="16" t="inlineStr">
        <is>
          <t>2036-02-29</t>
        </is>
      </c>
      <c r="DM6" s="16" t="inlineStr">
        <is>
          <t>2036-03-31</t>
        </is>
      </c>
      <c r="DN6" s="16" t="inlineStr">
        <is>
          <t>2036-04-30</t>
        </is>
      </c>
      <c r="DO6" s="16" t="inlineStr">
        <is>
          <t>2036-05-31</t>
        </is>
      </c>
      <c r="DP6" s="16" t="inlineStr">
        <is>
          <t>2036-06-30</t>
        </is>
      </c>
      <c r="DQ6" s="16" t="inlineStr">
        <is>
          <t>2036-07-31</t>
        </is>
      </c>
      <c r="DR6" s="16" t="inlineStr">
        <is>
          <t>2036-08-31</t>
        </is>
      </c>
      <c r="DS6" s="16" t="inlineStr">
        <is>
          <t>2036-09-30</t>
        </is>
      </c>
      <c r="DT6" s="16" t="inlineStr">
        <is>
          <t>2036-10-31</t>
        </is>
      </c>
      <c r="DU6" s="16" t="inlineStr">
        <is>
          <t>2036-11-30</t>
        </is>
      </c>
      <c r="DV6" s="16" t="inlineStr">
        <is>
          <t>2036-12-31</t>
        </is>
      </c>
      <c r="DW6" s="16" t="inlineStr">
        <is>
          <t>2037-01-31</t>
        </is>
      </c>
      <c r="DX6" s="16" t="inlineStr">
        <is>
          <t>2037-02-28</t>
        </is>
      </c>
      <c r="DY6" s="16" t="inlineStr">
        <is>
          <t>2037-03-31</t>
        </is>
      </c>
      <c r="DZ6" s="16" t="inlineStr">
        <is>
          <t>2037-04-30</t>
        </is>
      </c>
      <c r="EA6" s="16" t="inlineStr">
        <is>
          <t>2037-05-31</t>
        </is>
      </c>
      <c r="EB6" s="16" t="inlineStr">
        <is>
          <t>2037-06-30</t>
        </is>
      </c>
      <c r="EC6" s="16" t="inlineStr">
        <is>
          <t>2037-07-31</t>
        </is>
      </c>
      <c r="ED6" s="16" t="inlineStr">
        <is>
          <t>2037-08-31</t>
        </is>
      </c>
      <c r="EE6" s="16" t="inlineStr">
        <is>
          <t>2037-09-30</t>
        </is>
      </c>
      <c r="EF6" s="16" t="inlineStr">
        <is>
          <t>2037-10-31</t>
        </is>
      </c>
      <c r="EG6" s="16" t="inlineStr">
        <is>
          <t>2037-11-30</t>
        </is>
      </c>
      <c r="EH6" s="16" t="inlineStr">
        <is>
          <t>2037-12-31</t>
        </is>
      </c>
      <c r="EI6" s="16" t="inlineStr">
        <is>
          <t>2038-01-31</t>
        </is>
      </c>
      <c r="EJ6" s="16" t="inlineStr">
        <is>
          <t>2038-02-28</t>
        </is>
      </c>
      <c r="EK6" s="16" t="inlineStr">
        <is>
          <t>2038-03-31</t>
        </is>
      </c>
      <c r="EL6" s="16" t="inlineStr">
        <is>
          <t>2038-04-30</t>
        </is>
      </c>
      <c r="EM6" s="16" t="inlineStr">
        <is>
          <t>2038-05-31</t>
        </is>
      </c>
      <c r="EN6" s="16" t="inlineStr">
        <is>
          <t>2038-06-30</t>
        </is>
      </c>
      <c r="EO6" s="16" t="inlineStr">
        <is>
          <t>2038-07-31</t>
        </is>
      </c>
      <c r="EP6" s="16" t="inlineStr">
        <is>
          <t>2038-08-31</t>
        </is>
      </c>
      <c r="EQ6" s="16" t="inlineStr">
        <is>
          <t>2038-09-30</t>
        </is>
      </c>
      <c r="ER6" s="16" t="inlineStr">
        <is>
          <t>2038-10-31</t>
        </is>
      </c>
      <c r="ES6" s="16" t="inlineStr">
        <is>
          <t>2038-11-30</t>
        </is>
      </c>
      <c r="ET6" s="16" t="inlineStr">
        <is>
          <t>2038-12-31</t>
        </is>
      </c>
      <c r="EU6" s="16" t="inlineStr">
        <is>
          <t>2039-01-31</t>
        </is>
      </c>
      <c r="EV6" s="16" t="inlineStr">
        <is>
          <t>2039-02-28</t>
        </is>
      </c>
      <c r="EW6" s="16" t="inlineStr">
        <is>
          <t>2039-03-31</t>
        </is>
      </c>
      <c r="EX6" s="16" t="inlineStr">
        <is>
          <t>2039-04-30</t>
        </is>
      </c>
      <c r="EY6" s="16" t="inlineStr">
        <is>
          <t>2039-05-31</t>
        </is>
      </c>
      <c r="EZ6" s="16" t="inlineStr">
        <is>
          <t>2039-06-30</t>
        </is>
      </c>
      <c r="FA6" s="16" t="inlineStr">
        <is>
          <t>2039-07-31</t>
        </is>
      </c>
      <c r="FB6" s="16" t="inlineStr">
        <is>
          <t>2039-08-31</t>
        </is>
      </c>
      <c r="FC6" s="16" t="inlineStr">
        <is>
          <t>2039-09-30</t>
        </is>
      </c>
      <c r="FD6" s="16" t="inlineStr">
        <is>
          <t>2039-10-31</t>
        </is>
      </c>
      <c r="FE6" s="16" t="inlineStr">
        <is>
          <t>2039-11-30</t>
        </is>
      </c>
      <c r="FF6" s="16" t="inlineStr">
        <is>
          <t>2039-12-31</t>
        </is>
      </c>
      <c r="FG6" s="16" t="inlineStr">
        <is>
          <t>2040-01-31</t>
        </is>
      </c>
      <c r="FH6" s="16" t="inlineStr">
        <is>
          <t>2040-02-29</t>
        </is>
      </c>
      <c r="FI6" s="16" t="inlineStr">
        <is>
          <t>2040-03-31</t>
        </is>
      </c>
      <c r="FJ6" s="16" t="inlineStr">
        <is>
          <t>2040-04-30</t>
        </is>
      </c>
      <c r="FK6" s="16" t="inlineStr">
        <is>
          <t>2040-05-31</t>
        </is>
      </c>
      <c r="FL6" s="16" t="inlineStr">
        <is>
          <t>2040-06-30</t>
        </is>
      </c>
      <c r="FM6" s="16" t="inlineStr">
        <is>
          <t>2040-07-31</t>
        </is>
      </c>
      <c r="FN6" s="16" t="inlineStr">
        <is>
          <t>2040-08-31</t>
        </is>
      </c>
      <c r="FO6" s="16" t="inlineStr">
        <is>
          <t>2040-09-30</t>
        </is>
      </c>
      <c r="FP6" s="16" t="inlineStr">
        <is>
          <t>2040-10-31</t>
        </is>
      </c>
      <c r="FQ6" s="16" t="inlineStr">
        <is>
          <t>2040-11-30</t>
        </is>
      </c>
      <c r="FR6" s="16" t="inlineStr">
        <is>
          <t>2040-12-31</t>
        </is>
      </c>
      <c r="FS6" s="16" t="inlineStr">
        <is>
          <t>2041-01-31</t>
        </is>
      </c>
      <c r="FT6" s="16" t="inlineStr">
        <is>
          <t>2041-02-28</t>
        </is>
      </c>
      <c r="FU6" s="16" t="inlineStr">
        <is>
          <t>2041-03-31</t>
        </is>
      </c>
      <c r="FV6" s="16" t="inlineStr">
        <is>
          <t>2041-04-30</t>
        </is>
      </c>
      <c r="FW6" s="16" t="inlineStr">
        <is>
          <t>2041-05-31</t>
        </is>
      </c>
      <c r="FX6" s="16" t="inlineStr">
        <is>
          <t>2041-06-30</t>
        </is>
      </c>
      <c r="FY6" s="16" t="inlineStr">
        <is>
          <t>2041-07-31</t>
        </is>
      </c>
      <c r="FZ6" s="16" t="inlineStr">
        <is>
          <t>2041-08-31</t>
        </is>
      </c>
      <c r="GA6" s="16" t="inlineStr">
        <is>
          <t>2041-09-30</t>
        </is>
      </c>
      <c r="GB6" s="16" t="inlineStr">
        <is>
          <t>2041-10-31</t>
        </is>
      </c>
      <c r="GC6" s="16" t="inlineStr">
        <is>
          <t>2041-11-30</t>
        </is>
      </c>
      <c r="GD6" s="16" t="inlineStr">
        <is>
          <t>2041-12-31</t>
        </is>
      </c>
      <c r="GE6" s="16" t="inlineStr">
        <is>
          <t>2042-01-31</t>
        </is>
      </c>
      <c r="GF6" s="16" t="inlineStr">
        <is>
          <t>2042-02-28</t>
        </is>
      </c>
      <c r="GG6" s="16" t="inlineStr">
        <is>
          <t>2042-03-31</t>
        </is>
      </c>
      <c r="GH6" s="16" t="inlineStr">
        <is>
          <t>2042-04-30</t>
        </is>
      </c>
      <c r="GI6" s="16" t="inlineStr">
        <is>
          <t>2042-05-31</t>
        </is>
      </c>
      <c r="GJ6" s="16" t="inlineStr">
        <is>
          <t>2042-06-30</t>
        </is>
      </c>
      <c r="GK6" s="16" t="inlineStr">
        <is>
          <t>2042-07-31</t>
        </is>
      </c>
      <c r="GL6" s="16" t="inlineStr">
        <is>
          <t>2042-08-31</t>
        </is>
      </c>
      <c r="GM6" s="16" t="inlineStr">
        <is>
          <t>2042-09-30</t>
        </is>
      </c>
      <c r="GN6" s="16" t="inlineStr">
        <is>
          <t>2042-10-31</t>
        </is>
      </c>
      <c r="GO6" s="16" t="inlineStr">
        <is>
          <t>2042-11-30</t>
        </is>
      </c>
      <c r="GP6" s="16" t="inlineStr">
        <is>
          <t>2042-12-31</t>
        </is>
      </c>
      <c r="GQ6" s="16" t="inlineStr">
        <is>
          <t>2043-01-31</t>
        </is>
      </c>
      <c r="GR6" s="16" t="inlineStr">
        <is>
          <t>2043-02-28</t>
        </is>
      </c>
      <c r="GS6" s="16" t="inlineStr">
        <is>
          <t>2043-03-31</t>
        </is>
      </c>
      <c r="GT6" s="16" t="inlineStr">
        <is>
          <t>2043-04-30</t>
        </is>
      </c>
      <c r="GU6" s="16" t="inlineStr">
        <is>
          <t>2043-05-31</t>
        </is>
      </c>
      <c r="GV6" s="16" t="inlineStr">
        <is>
          <t>2043-06-30</t>
        </is>
      </c>
      <c r="GW6" s="16" t="inlineStr">
        <is>
          <t>2043-07-31</t>
        </is>
      </c>
      <c r="GX6" s="16" t="inlineStr">
        <is>
          <t>2043-08-31</t>
        </is>
      </c>
      <c r="GY6" s="16" t="inlineStr">
        <is>
          <t>2043-09-30</t>
        </is>
      </c>
      <c r="GZ6" s="16" t="inlineStr">
        <is>
          <t>2043-10-31</t>
        </is>
      </c>
      <c r="HA6" s="16" t="inlineStr">
        <is>
          <t>2043-11-30</t>
        </is>
      </c>
      <c r="HB6" s="16" t="inlineStr">
        <is>
          <t>2043-12-31</t>
        </is>
      </c>
      <c r="HC6" s="16" t="inlineStr">
        <is>
          <t>2044-01-31</t>
        </is>
      </c>
      <c r="HD6" s="16" t="inlineStr">
        <is>
          <t>2044-02-29</t>
        </is>
      </c>
      <c r="HE6" s="16" t="inlineStr">
        <is>
          <t>2044-03-31</t>
        </is>
      </c>
      <c r="HF6" s="16" t="inlineStr">
        <is>
          <t>2044-04-30</t>
        </is>
      </c>
      <c r="HG6" s="16" t="inlineStr">
        <is>
          <t>2044-05-31</t>
        </is>
      </c>
      <c r="HH6" s="16" t="inlineStr">
        <is>
          <t>2044-06-30</t>
        </is>
      </c>
      <c r="HI6" s="16" t="inlineStr">
        <is>
          <t>2044-07-31</t>
        </is>
      </c>
      <c r="HJ6" s="16" t="inlineStr">
        <is>
          <t>2044-08-31</t>
        </is>
      </c>
      <c r="HK6" s="16" t="inlineStr">
        <is>
          <t>2044-09-30</t>
        </is>
      </c>
      <c r="HL6" s="16" t="inlineStr">
        <is>
          <t>2044-10-31</t>
        </is>
      </c>
      <c r="HM6" s="16" t="inlineStr">
        <is>
          <t>2044-11-30</t>
        </is>
      </c>
      <c r="HN6" s="16" t="inlineStr">
        <is>
          <t>2044-12-31</t>
        </is>
      </c>
      <c r="HO6" s="16" t="inlineStr">
        <is>
          <t>2045-01-31</t>
        </is>
      </c>
      <c r="HP6" s="16" t="inlineStr">
        <is>
          <t>2045-02-28</t>
        </is>
      </c>
      <c r="HQ6" s="16" t="inlineStr">
        <is>
          <t>2045-03-31</t>
        </is>
      </c>
      <c r="HR6" s="16" t="inlineStr">
        <is>
          <t>2045-04-30</t>
        </is>
      </c>
      <c r="HS6" s="16" t="inlineStr">
        <is>
          <t>2045-05-31</t>
        </is>
      </c>
      <c r="HT6" s="16" t="inlineStr">
        <is>
          <t>2045-06-30</t>
        </is>
      </c>
      <c r="HU6" s="16" t="inlineStr">
        <is>
          <t>2045-07-31</t>
        </is>
      </c>
      <c r="HV6" s="16" t="inlineStr">
        <is>
          <t>2045-08-31</t>
        </is>
      </c>
      <c r="HW6" s="16" t="inlineStr">
        <is>
          <t>2045-09-30</t>
        </is>
      </c>
      <c r="HX6" s="16" t="inlineStr">
        <is>
          <t>2045-10-31</t>
        </is>
      </c>
      <c r="HY6" s="16" t="inlineStr">
        <is>
          <t>2045-11-30</t>
        </is>
      </c>
      <c r="HZ6" s="16" t="inlineStr">
        <is>
          <t>2045-12-31</t>
        </is>
      </c>
      <c r="IA6" s="16" t="inlineStr">
        <is>
          <t>2046-01-31</t>
        </is>
      </c>
      <c r="IB6" s="16" t="inlineStr">
        <is>
          <t>2046-02-28</t>
        </is>
      </c>
      <c r="IC6" s="16" t="inlineStr">
        <is>
          <t>2046-03-31</t>
        </is>
      </c>
      <c r="ID6" s="16" t="inlineStr">
        <is>
          <t>2046-04-30</t>
        </is>
      </c>
      <c r="IE6" s="16" t="inlineStr">
        <is>
          <t>2046-05-31</t>
        </is>
      </c>
      <c r="IF6" s="16" t="inlineStr">
        <is>
          <t>2046-06-30</t>
        </is>
      </c>
      <c r="IG6" s="16" t="inlineStr">
        <is>
          <t>2046-07-31</t>
        </is>
      </c>
      <c r="IH6" s="16" t="inlineStr">
        <is>
          <t>2046-08-31</t>
        </is>
      </c>
      <c r="II6" s="16" t="inlineStr">
        <is>
          <t>2046-09-30</t>
        </is>
      </c>
      <c r="IJ6" s="16" t="inlineStr">
        <is>
          <t>2046-10-31</t>
        </is>
      </c>
      <c r="IK6" s="16" t="inlineStr">
        <is>
          <t>2046-11-30</t>
        </is>
      </c>
      <c r="IL6" s="16" t="inlineStr">
        <is>
          <t>2046-12-31</t>
        </is>
      </c>
      <c r="IM6" s="16" t="inlineStr">
        <is>
          <t>2047-01-31</t>
        </is>
      </c>
      <c r="IN6" s="16" t="inlineStr">
        <is>
          <t>2047-02-28</t>
        </is>
      </c>
      <c r="IO6" s="16" t="inlineStr">
        <is>
          <t>2047-03-31</t>
        </is>
      </c>
      <c r="IP6" s="16" t="inlineStr">
        <is>
          <t>2047-04-30</t>
        </is>
      </c>
      <c r="IQ6" s="16" t="inlineStr">
        <is>
          <t>2047-05-31</t>
        </is>
      </c>
      <c r="IR6" s="16" t="inlineStr">
        <is>
          <t>2047-06-30</t>
        </is>
      </c>
      <c r="IS6" s="16" t="inlineStr">
        <is>
          <t>2047-07-31</t>
        </is>
      </c>
      <c r="IT6" s="16" t="inlineStr">
        <is>
          <t>2047-08-31</t>
        </is>
      </c>
      <c r="IU6" s="16" t="inlineStr">
        <is>
          <t>2047-09-30</t>
        </is>
      </c>
      <c r="IV6" s="16" t="inlineStr">
        <is>
          <t>2047-10-31</t>
        </is>
      </c>
      <c r="IW6" s="16" t="inlineStr">
        <is>
          <t>2047-11-30</t>
        </is>
      </c>
      <c r="IX6" s="16" t="inlineStr">
        <is>
          <t>2047-12-31</t>
        </is>
      </c>
      <c r="IY6" s="16" t="inlineStr">
        <is>
          <t>2048-01-31</t>
        </is>
      </c>
      <c r="IZ6" s="16" t="inlineStr">
        <is>
          <t>2048-02-29</t>
        </is>
      </c>
      <c r="JA6" s="16" t="inlineStr">
        <is>
          <t>2048-03-31</t>
        </is>
      </c>
      <c r="JB6" s="16" t="inlineStr">
        <is>
          <t>2048-04-30</t>
        </is>
      </c>
      <c r="JC6" s="16" t="inlineStr">
        <is>
          <t>2048-05-31</t>
        </is>
      </c>
      <c r="JD6" s="16" t="inlineStr">
        <is>
          <t>2048-06-30</t>
        </is>
      </c>
      <c r="JE6" s="16" t="inlineStr">
        <is>
          <t>2048-07-31</t>
        </is>
      </c>
      <c r="JF6" s="16" t="inlineStr">
        <is>
          <t>2048-08-31</t>
        </is>
      </c>
      <c r="JG6" s="16" t="inlineStr">
        <is>
          <t>2048-09-30</t>
        </is>
      </c>
      <c r="JH6" s="16" t="inlineStr">
        <is>
          <t>2048-10-31</t>
        </is>
      </c>
      <c r="JI6" s="16" t="inlineStr">
        <is>
          <t>2048-11-30</t>
        </is>
      </c>
      <c r="JJ6" s="16" t="inlineStr">
        <is>
          <t>2048-12-31</t>
        </is>
      </c>
      <c r="JK6" s="16" t="inlineStr">
        <is>
          <t>2049-01-31</t>
        </is>
      </c>
      <c r="JL6" s="16" t="inlineStr">
        <is>
          <t>2049-02-28</t>
        </is>
      </c>
      <c r="JM6" s="16" t="inlineStr">
        <is>
          <t>2049-03-31</t>
        </is>
      </c>
      <c r="JN6" s="16" t="inlineStr">
        <is>
          <t>2049-04-30</t>
        </is>
      </c>
      <c r="JO6" s="16" t="inlineStr">
        <is>
          <t>2049-05-31</t>
        </is>
      </c>
      <c r="JP6" s="16" t="inlineStr">
        <is>
          <t>2049-06-30</t>
        </is>
      </c>
      <c r="JQ6" s="16" t="inlineStr">
        <is>
          <t>2049-07-31</t>
        </is>
      </c>
      <c r="JR6" s="16" t="inlineStr">
        <is>
          <t>2049-08-31</t>
        </is>
      </c>
      <c r="JS6" s="16" t="inlineStr">
        <is>
          <t>2049-09-30</t>
        </is>
      </c>
      <c r="JT6" s="16" t="inlineStr">
        <is>
          <t>2049-10-31</t>
        </is>
      </c>
      <c r="JU6" s="16" t="inlineStr">
        <is>
          <t>2049-11-30</t>
        </is>
      </c>
      <c r="JV6" s="16" t="inlineStr">
        <is>
          <t>2049-12-31</t>
        </is>
      </c>
      <c r="JW6" s="16" t="inlineStr">
        <is>
          <t>2050-01-31</t>
        </is>
      </c>
      <c r="JX6" s="16" t="inlineStr">
        <is>
          <t>2050-02-28</t>
        </is>
      </c>
      <c r="JY6" s="16" t="inlineStr">
        <is>
          <t>2050-03-31</t>
        </is>
      </c>
      <c r="JZ6" s="16" t="inlineStr">
        <is>
          <t>2050-04-30</t>
        </is>
      </c>
      <c r="KA6" s="16" t="inlineStr">
        <is>
          <t>2050-05-31</t>
        </is>
      </c>
      <c r="KB6" s="16" t="inlineStr">
        <is>
          <t>2050-06-30</t>
        </is>
      </c>
      <c r="KC6" s="16" t="inlineStr">
        <is>
          <t>2050-07-31</t>
        </is>
      </c>
      <c r="KD6" s="16" t="inlineStr">
        <is>
          <t>2050-08-31</t>
        </is>
      </c>
      <c r="KE6" s="16" t="inlineStr">
        <is>
          <t>2050-09-30</t>
        </is>
      </c>
      <c r="KF6" s="16" t="inlineStr">
        <is>
          <t>2050-10-31</t>
        </is>
      </c>
      <c r="KG6" s="16" t="inlineStr">
        <is>
          <t>2050-11-30</t>
        </is>
      </c>
      <c r="KH6" s="16" t="inlineStr">
        <is>
          <t>2050-12-31</t>
        </is>
      </c>
      <c r="KI6" s="16" t="inlineStr">
        <is>
          <t>2051-01-31</t>
        </is>
      </c>
      <c r="KJ6" s="16" t="inlineStr">
        <is>
          <t>2051-02-28</t>
        </is>
      </c>
      <c r="KK6" s="16" t="inlineStr">
        <is>
          <t>2051-03-31</t>
        </is>
      </c>
      <c r="KL6" s="16" t="inlineStr">
        <is>
          <t>2051-04-30</t>
        </is>
      </c>
      <c r="KM6" s="16" t="inlineStr">
        <is>
          <t>2051-05-31</t>
        </is>
      </c>
      <c r="KN6" s="16" t="inlineStr">
        <is>
          <t>2051-06-30</t>
        </is>
      </c>
      <c r="KO6" s="16" t="inlineStr">
        <is>
          <t>2051-07-31</t>
        </is>
      </c>
      <c r="KP6" s="16" t="inlineStr">
        <is>
          <t>2051-08-31</t>
        </is>
      </c>
      <c r="KQ6" s="16" t="inlineStr">
        <is>
          <t>2051-09-30</t>
        </is>
      </c>
      <c r="KR6" s="16" t="inlineStr">
        <is>
          <t>2051-10-31</t>
        </is>
      </c>
      <c r="KS6" s="16" t="inlineStr">
        <is>
          <t>2051-11-30</t>
        </is>
      </c>
      <c r="KT6" s="16" t="inlineStr">
        <is>
          <t>2051-12-31</t>
        </is>
      </c>
      <c r="KU6" s="16" t="inlineStr">
        <is>
          <t>2052-01-31</t>
        </is>
      </c>
      <c r="KV6" s="16" t="inlineStr">
        <is>
          <t>2052-02-29</t>
        </is>
      </c>
      <c r="KW6" s="16" t="inlineStr">
        <is>
          <t>2052-03-31</t>
        </is>
      </c>
      <c r="KX6" s="16" t="inlineStr">
        <is>
          <t>2052-04-30</t>
        </is>
      </c>
      <c r="KY6" s="16" t="inlineStr">
        <is>
          <t>2052-05-31</t>
        </is>
      </c>
      <c r="KZ6" s="16" t="inlineStr">
        <is>
          <t>2052-06-30</t>
        </is>
      </c>
      <c r="LA6" s="16" t="inlineStr">
        <is>
          <t>2052-07-31</t>
        </is>
      </c>
      <c r="LB6" s="16" t="inlineStr">
        <is>
          <t>2052-08-31</t>
        </is>
      </c>
      <c r="LC6" s="16" t="inlineStr">
        <is>
          <t>2052-09-30</t>
        </is>
      </c>
      <c r="LD6" s="16" t="inlineStr">
        <is>
          <t>2052-10-31</t>
        </is>
      </c>
      <c r="LE6" s="16" t="inlineStr">
        <is>
          <t>2052-11-30</t>
        </is>
      </c>
      <c r="LF6" s="16" t="inlineStr">
        <is>
          <t>2052-12-31</t>
        </is>
      </c>
      <c r="LG6" s="16" t="inlineStr">
        <is>
          <t>2053-01-31</t>
        </is>
      </c>
      <c r="LH6" s="16" t="inlineStr">
        <is>
          <t>2053-02-28</t>
        </is>
      </c>
      <c r="LI6" s="16" t="inlineStr">
        <is>
          <t>2053-03-31</t>
        </is>
      </c>
    </row>
    <row r="7">
      <c r="B7" s="17" t="inlineStr">
        <is>
          <t>Flag de operacion</t>
        </is>
      </c>
      <c r="D7" s="18" t="n">
        <v>0</v>
      </c>
      <c r="E7" s="18" t="n">
        <v>0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0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0</v>
      </c>
      <c r="Q7" s="18" t="n">
        <v>0</v>
      </c>
      <c r="R7" s="18" t="n">
        <v>0</v>
      </c>
      <c r="S7" s="18" t="n">
        <v>0</v>
      </c>
      <c r="T7" s="18" t="n">
        <v>0</v>
      </c>
      <c r="U7" s="18" t="n">
        <v>0</v>
      </c>
      <c r="V7" s="18" t="n">
        <v>0</v>
      </c>
      <c r="W7" s="18" t="n">
        <v>0</v>
      </c>
      <c r="X7" s="18" t="n">
        <v>0</v>
      </c>
      <c r="Y7" s="18" t="n">
        <v>0</v>
      </c>
      <c r="Z7" s="18" t="n">
        <v>0</v>
      </c>
      <c r="AA7" s="18" t="n">
        <v>0</v>
      </c>
      <c r="AB7" s="18" t="n">
        <v>0</v>
      </c>
      <c r="AC7" s="18" t="n">
        <v>0</v>
      </c>
      <c r="AD7" s="18" t="n">
        <v>0</v>
      </c>
      <c r="AE7" s="18" t="n">
        <v>0</v>
      </c>
      <c r="AF7" s="18" t="n">
        <v>0</v>
      </c>
      <c r="AG7" s="18" t="n">
        <v>0</v>
      </c>
      <c r="AH7" s="18" t="n">
        <v>0</v>
      </c>
      <c r="AI7" s="18" t="n">
        <v>0</v>
      </c>
      <c r="AJ7" s="18" t="n">
        <v>0</v>
      </c>
      <c r="AK7" s="18" t="n">
        <v>0</v>
      </c>
      <c r="AL7" s="18" t="n">
        <v>0</v>
      </c>
      <c r="AM7" s="18" t="n">
        <v>0</v>
      </c>
      <c r="AN7" s="18" t="n">
        <v>0</v>
      </c>
      <c r="AO7" s="18" t="n">
        <v>0</v>
      </c>
      <c r="AP7" s="18" t="n">
        <v>0</v>
      </c>
      <c r="AQ7" s="18" t="n">
        <v>0</v>
      </c>
      <c r="AR7" s="18" t="n">
        <v>0</v>
      </c>
      <c r="AS7" s="18" t="n">
        <v>0</v>
      </c>
      <c r="AT7" s="18" t="n">
        <v>0</v>
      </c>
      <c r="AU7" s="18" t="n">
        <v>0</v>
      </c>
      <c r="AV7" s="18" t="n">
        <v>0</v>
      </c>
      <c r="AW7" s="18" t="n">
        <v>0</v>
      </c>
      <c r="AX7" s="18" t="n">
        <v>0</v>
      </c>
      <c r="AY7" s="18" t="n">
        <v>0</v>
      </c>
      <c r="AZ7" s="18" t="n">
        <v>1</v>
      </c>
      <c r="BA7" s="18" t="n">
        <v>1</v>
      </c>
      <c r="BB7" s="18" t="n">
        <v>1</v>
      </c>
      <c r="BC7" s="18" t="n">
        <v>1</v>
      </c>
      <c r="BD7" s="18" t="n">
        <v>1</v>
      </c>
      <c r="BE7" s="18" t="n">
        <v>1</v>
      </c>
      <c r="BF7" s="18" t="n">
        <v>1</v>
      </c>
      <c r="BG7" s="18" t="n">
        <v>1</v>
      </c>
      <c r="BH7" s="18" t="n">
        <v>1</v>
      </c>
      <c r="BI7" s="18" t="n">
        <v>1</v>
      </c>
      <c r="BJ7" s="18" t="n">
        <v>1</v>
      </c>
      <c r="BK7" s="18" t="n">
        <v>1</v>
      </c>
      <c r="BL7" s="18" t="n">
        <v>1</v>
      </c>
      <c r="BM7" s="18" t="n">
        <v>1</v>
      </c>
      <c r="BN7" s="18" t="n">
        <v>1</v>
      </c>
      <c r="BO7" s="18" t="n">
        <v>1</v>
      </c>
      <c r="BP7" s="18" t="n">
        <v>1</v>
      </c>
      <c r="BQ7" s="18" t="n">
        <v>1</v>
      </c>
      <c r="BR7" s="18" t="n">
        <v>1</v>
      </c>
      <c r="BS7" s="18" t="n">
        <v>1</v>
      </c>
      <c r="BT7" s="18" t="n">
        <v>1</v>
      </c>
      <c r="BU7" s="18" t="n">
        <v>1</v>
      </c>
      <c r="BV7" s="18" t="n">
        <v>1</v>
      </c>
      <c r="BW7" s="18" t="n">
        <v>1</v>
      </c>
      <c r="BX7" s="18" t="n">
        <v>1</v>
      </c>
      <c r="BY7" s="18" t="n">
        <v>1</v>
      </c>
      <c r="BZ7" s="18" t="n">
        <v>1</v>
      </c>
      <c r="CA7" s="18" t="n">
        <v>1</v>
      </c>
      <c r="CB7" s="18" t="n">
        <v>1</v>
      </c>
      <c r="CC7" s="18" t="n">
        <v>1</v>
      </c>
      <c r="CD7" s="18" t="n">
        <v>1</v>
      </c>
      <c r="CE7" s="18" t="n">
        <v>1</v>
      </c>
      <c r="CF7" s="18" t="n">
        <v>1</v>
      </c>
      <c r="CG7" s="18" t="n">
        <v>1</v>
      </c>
      <c r="CH7" s="18" t="n">
        <v>1</v>
      </c>
      <c r="CI7" s="18" t="n">
        <v>1</v>
      </c>
      <c r="CJ7" s="18" t="n">
        <v>1</v>
      </c>
      <c r="CK7" s="18" t="n">
        <v>1</v>
      </c>
      <c r="CL7" s="18" t="n">
        <v>1</v>
      </c>
      <c r="CM7" s="18" t="n">
        <v>1</v>
      </c>
      <c r="CN7" s="18" t="n">
        <v>1</v>
      </c>
      <c r="CO7" s="18" t="n">
        <v>1</v>
      </c>
      <c r="CP7" s="18" t="n">
        <v>1</v>
      </c>
      <c r="CQ7" s="18" t="n">
        <v>1</v>
      </c>
      <c r="CR7" s="18" t="n">
        <v>1</v>
      </c>
      <c r="CS7" s="18" t="n">
        <v>1</v>
      </c>
      <c r="CT7" s="18" t="n">
        <v>1</v>
      </c>
      <c r="CU7" s="18" t="n">
        <v>1</v>
      </c>
      <c r="CV7" s="18" t="n">
        <v>1</v>
      </c>
      <c r="CW7" s="18" t="n">
        <v>1</v>
      </c>
      <c r="CX7" s="18" t="n">
        <v>1</v>
      </c>
      <c r="CY7" s="18" t="n">
        <v>1</v>
      </c>
      <c r="CZ7" s="18" t="n">
        <v>1</v>
      </c>
      <c r="DA7" s="18" t="n">
        <v>1</v>
      </c>
      <c r="DB7" s="18" t="n">
        <v>1</v>
      </c>
      <c r="DC7" s="18" t="n">
        <v>1</v>
      </c>
      <c r="DD7" s="18" t="n">
        <v>1</v>
      </c>
      <c r="DE7" s="18" t="n">
        <v>1</v>
      </c>
      <c r="DF7" s="18" t="n">
        <v>1</v>
      </c>
      <c r="DG7" s="18" t="n">
        <v>1</v>
      </c>
      <c r="DH7" s="18" t="n">
        <v>1</v>
      </c>
      <c r="DI7" s="18" t="n">
        <v>1</v>
      </c>
      <c r="DJ7" s="18" t="n">
        <v>1</v>
      </c>
      <c r="DK7" s="18" t="n">
        <v>1</v>
      </c>
      <c r="DL7" s="18" t="n">
        <v>1</v>
      </c>
      <c r="DM7" s="18" t="n">
        <v>1</v>
      </c>
      <c r="DN7" s="18" t="n">
        <v>1</v>
      </c>
      <c r="DO7" s="18" t="n">
        <v>1</v>
      </c>
      <c r="DP7" s="18" t="n">
        <v>1</v>
      </c>
      <c r="DQ7" s="18" t="n">
        <v>1</v>
      </c>
      <c r="DR7" s="18" t="n">
        <v>1</v>
      </c>
      <c r="DS7" s="18" t="n">
        <v>1</v>
      </c>
      <c r="DT7" s="18" t="n">
        <v>1</v>
      </c>
      <c r="DU7" s="18" t="n">
        <v>1</v>
      </c>
      <c r="DV7" s="18" t="n">
        <v>1</v>
      </c>
      <c r="DW7" s="18" t="n">
        <v>1</v>
      </c>
      <c r="DX7" s="18" t="n">
        <v>1</v>
      </c>
      <c r="DY7" s="18" t="n">
        <v>1</v>
      </c>
      <c r="DZ7" s="18" t="n">
        <v>1</v>
      </c>
      <c r="EA7" s="18" t="n">
        <v>1</v>
      </c>
      <c r="EB7" s="18" t="n">
        <v>1</v>
      </c>
      <c r="EC7" s="18" t="n">
        <v>1</v>
      </c>
      <c r="ED7" s="18" t="n">
        <v>1</v>
      </c>
      <c r="EE7" s="18" t="n">
        <v>1</v>
      </c>
      <c r="EF7" s="18" t="n">
        <v>1</v>
      </c>
      <c r="EG7" s="18" t="n">
        <v>1</v>
      </c>
      <c r="EH7" s="18" t="n">
        <v>1</v>
      </c>
      <c r="EI7" s="18" t="n">
        <v>1</v>
      </c>
      <c r="EJ7" s="18" t="n">
        <v>1</v>
      </c>
      <c r="EK7" s="18" t="n">
        <v>1</v>
      </c>
      <c r="EL7" s="18" t="n">
        <v>1</v>
      </c>
      <c r="EM7" s="18" t="n">
        <v>1</v>
      </c>
      <c r="EN7" s="18" t="n">
        <v>1</v>
      </c>
      <c r="EO7" s="18" t="n">
        <v>1</v>
      </c>
      <c r="EP7" s="18" t="n">
        <v>1</v>
      </c>
      <c r="EQ7" s="18" t="n">
        <v>1</v>
      </c>
      <c r="ER7" s="18" t="n">
        <v>1</v>
      </c>
      <c r="ES7" s="18" t="n">
        <v>1</v>
      </c>
      <c r="ET7" s="18" t="n">
        <v>1</v>
      </c>
      <c r="EU7" s="18" t="n">
        <v>1</v>
      </c>
      <c r="EV7" s="18" t="n">
        <v>1</v>
      </c>
      <c r="EW7" s="18" t="n">
        <v>1</v>
      </c>
      <c r="EX7" s="18" t="n">
        <v>1</v>
      </c>
      <c r="EY7" s="18" t="n">
        <v>1</v>
      </c>
      <c r="EZ7" s="18" t="n">
        <v>1</v>
      </c>
      <c r="FA7" s="18" t="n">
        <v>1</v>
      </c>
      <c r="FB7" s="18" t="n">
        <v>1</v>
      </c>
      <c r="FC7" s="18" t="n">
        <v>1</v>
      </c>
      <c r="FD7" s="18" t="n">
        <v>1</v>
      </c>
      <c r="FE7" s="18" t="n">
        <v>1</v>
      </c>
      <c r="FF7" s="18" t="n">
        <v>1</v>
      </c>
      <c r="FG7" s="18" t="n">
        <v>1</v>
      </c>
      <c r="FH7" s="18" t="n">
        <v>1</v>
      </c>
      <c r="FI7" s="18" t="n">
        <v>1</v>
      </c>
      <c r="FJ7" s="18" t="n">
        <v>1</v>
      </c>
      <c r="FK7" s="18" t="n">
        <v>1</v>
      </c>
      <c r="FL7" s="18" t="n">
        <v>1</v>
      </c>
      <c r="FM7" s="18" t="n">
        <v>1</v>
      </c>
      <c r="FN7" s="18" t="n">
        <v>1</v>
      </c>
      <c r="FO7" s="18" t="n">
        <v>1</v>
      </c>
      <c r="FP7" s="18" t="n">
        <v>1</v>
      </c>
      <c r="FQ7" s="18" t="n">
        <v>1</v>
      </c>
      <c r="FR7" s="18" t="n">
        <v>1</v>
      </c>
      <c r="FS7" s="18" t="n">
        <v>1</v>
      </c>
      <c r="FT7" s="18" t="n">
        <v>1</v>
      </c>
      <c r="FU7" s="18" t="n">
        <v>1</v>
      </c>
      <c r="FV7" s="18" t="n">
        <v>1</v>
      </c>
      <c r="FW7" s="18" t="n">
        <v>1</v>
      </c>
      <c r="FX7" s="18" t="n">
        <v>1</v>
      </c>
      <c r="FY7" s="18" t="n">
        <v>1</v>
      </c>
      <c r="FZ7" s="18" t="n">
        <v>1</v>
      </c>
      <c r="GA7" s="18" t="n">
        <v>1</v>
      </c>
      <c r="GB7" s="18" t="n">
        <v>1</v>
      </c>
      <c r="GC7" s="18" t="n">
        <v>1</v>
      </c>
      <c r="GD7" s="18" t="n">
        <v>1</v>
      </c>
      <c r="GE7" s="18" t="n">
        <v>1</v>
      </c>
      <c r="GF7" s="18" t="n">
        <v>1</v>
      </c>
      <c r="GG7" s="18" t="n">
        <v>1</v>
      </c>
      <c r="GH7" s="18" t="n">
        <v>1</v>
      </c>
      <c r="GI7" s="18" t="n">
        <v>1</v>
      </c>
      <c r="GJ7" s="18" t="n">
        <v>1</v>
      </c>
      <c r="GK7" s="18" t="n">
        <v>1</v>
      </c>
      <c r="GL7" s="18" t="n">
        <v>1</v>
      </c>
      <c r="GM7" s="18" t="n">
        <v>1</v>
      </c>
      <c r="GN7" s="18" t="n">
        <v>1</v>
      </c>
      <c r="GO7" s="18" t="n">
        <v>1</v>
      </c>
      <c r="GP7" s="18" t="n">
        <v>1</v>
      </c>
      <c r="GQ7" s="18" t="n">
        <v>1</v>
      </c>
      <c r="GR7" s="18" t="n">
        <v>1</v>
      </c>
      <c r="GS7" s="18" t="n">
        <v>1</v>
      </c>
      <c r="GT7" s="18" t="n">
        <v>1</v>
      </c>
      <c r="GU7" s="18" t="n">
        <v>1</v>
      </c>
      <c r="GV7" s="18" t="n">
        <v>1</v>
      </c>
      <c r="GW7" s="18" t="n">
        <v>1</v>
      </c>
      <c r="GX7" s="18" t="n">
        <v>1</v>
      </c>
      <c r="GY7" s="18" t="n">
        <v>1</v>
      </c>
      <c r="GZ7" s="18" t="n">
        <v>1</v>
      </c>
      <c r="HA7" s="18" t="n">
        <v>1</v>
      </c>
      <c r="HB7" s="18" t="n">
        <v>1</v>
      </c>
      <c r="HC7" s="18" t="n">
        <v>1</v>
      </c>
      <c r="HD7" s="18" t="n">
        <v>1</v>
      </c>
      <c r="HE7" s="18" t="n">
        <v>1</v>
      </c>
      <c r="HF7" s="18" t="n">
        <v>1</v>
      </c>
      <c r="HG7" s="18" t="n">
        <v>1</v>
      </c>
      <c r="HH7" s="18" t="n">
        <v>1</v>
      </c>
      <c r="HI7" s="18" t="n">
        <v>1</v>
      </c>
      <c r="HJ7" s="18" t="n">
        <v>1</v>
      </c>
      <c r="HK7" s="18" t="n">
        <v>1</v>
      </c>
      <c r="HL7" s="18" t="n">
        <v>1</v>
      </c>
      <c r="HM7" s="18" t="n">
        <v>1</v>
      </c>
      <c r="HN7" s="18" t="n">
        <v>1</v>
      </c>
      <c r="HO7" s="18" t="n">
        <v>1</v>
      </c>
      <c r="HP7" s="18" t="n">
        <v>1</v>
      </c>
      <c r="HQ7" s="18" t="n">
        <v>1</v>
      </c>
      <c r="HR7" s="18" t="n">
        <v>1</v>
      </c>
      <c r="HS7" s="18" t="n">
        <v>1</v>
      </c>
      <c r="HT7" s="18" t="n">
        <v>1</v>
      </c>
      <c r="HU7" s="18" t="n">
        <v>1</v>
      </c>
      <c r="HV7" s="18" t="n">
        <v>1</v>
      </c>
      <c r="HW7" s="18" t="n">
        <v>1</v>
      </c>
      <c r="HX7" s="18" t="n">
        <v>1</v>
      </c>
      <c r="HY7" s="18" t="n">
        <v>1</v>
      </c>
      <c r="HZ7" s="18" t="n">
        <v>1</v>
      </c>
      <c r="IA7" s="18" t="n">
        <v>1</v>
      </c>
      <c r="IB7" s="18" t="n">
        <v>1</v>
      </c>
      <c r="IC7" s="18" t="n">
        <v>1</v>
      </c>
      <c r="ID7" s="18" t="n">
        <v>1</v>
      </c>
      <c r="IE7" s="18" t="n">
        <v>1</v>
      </c>
      <c r="IF7" s="18" t="n">
        <v>1</v>
      </c>
      <c r="IG7" s="18" t="n">
        <v>1</v>
      </c>
      <c r="IH7" s="18" t="n">
        <v>1</v>
      </c>
      <c r="II7" s="18" t="n">
        <v>1</v>
      </c>
      <c r="IJ7" s="18" t="n">
        <v>1</v>
      </c>
      <c r="IK7" s="18" t="n">
        <v>1</v>
      </c>
      <c r="IL7" s="18" t="n">
        <v>1</v>
      </c>
      <c r="IM7" s="18" t="n">
        <v>1</v>
      </c>
      <c r="IN7" s="18" t="n">
        <v>1</v>
      </c>
      <c r="IO7" s="18" t="n">
        <v>1</v>
      </c>
      <c r="IP7" s="18" t="n">
        <v>1</v>
      </c>
      <c r="IQ7" s="18" t="n">
        <v>1</v>
      </c>
      <c r="IR7" s="18" t="n">
        <v>1</v>
      </c>
      <c r="IS7" s="18" t="n">
        <v>1</v>
      </c>
      <c r="IT7" s="18" t="n">
        <v>1</v>
      </c>
      <c r="IU7" s="18" t="n">
        <v>1</v>
      </c>
      <c r="IV7" s="18" t="n">
        <v>1</v>
      </c>
      <c r="IW7" s="18" t="n">
        <v>1</v>
      </c>
      <c r="IX7" s="18" t="n">
        <v>1</v>
      </c>
      <c r="IY7" s="18" t="n">
        <v>1</v>
      </c>
      <c r="IZ7" s="18" t="n">
        <v>1</v>
      </c>
      <c r="JA7" s="18" t="n">
        <v>1</v>
      </c>
      <c r="JB7" s="18" t="n">
        <v>1</v>
      </c>
      <c r="JC7" s="18" t="n">
        <v>1</v>
      </c>
      <c r="JD7" s="18" t="n">
        <v>1</v>
      </c>
      <c r="JE7" s="18" t="n">
        <v>1</v>
      </c>
      <c r="JF7" s="18" t="n">
        <v>1</v>
      </c>
      <c r="JG7" s="18" t="n">
        <v>1</v>
      </c>
      <c r="JH7" s="18" t="n">
        <v>1</v>
      </c>
      <c r="JI7" s="18" t="n">
        <v>1</v>
      </c>
      <c r="JJ7" s="18" t="n">
        <v>1</v>
      </c>
      <c r="JK7" s="18" t="n">
        <v>1</v>
      </c>
      <c r="JL7" s="18" t="n">
        <v>1</v>
      </c>
      <c r="JM7" s="18" t="n">
        <v>1</v>
      </c>
      <c r="JN7" s="18" t="n">
        <v>1</v>
      </c>
      <c r="JO7" s="18" t="n">
        <v>1</v>
      </c>
      <c r="JP7" s="18" t="n">
        <v>1</v>
      </c>
      <c r="JQ7" s="18" t="n">
        <v>1</v>
      </c>
      <c r="JR7" s="18" t="n">
        <v>1</v>
      </c>
      <c r="JS7" s="18" t="n">
        <v>1</v>
      </c>
      <c r="JT7" s="18" t="n">
        <v>1</v>
      </c>
      <c r="JU7" s="18" t="n">
        <v>1</v>
      </c>
      <c r="JV7" s="18" t="n">
        <v>1</v>
      </c>
      <c r="JW7" s="18" t="n">
        <v>1</v>
      </c>
      <c r="JX7" s="18" t="n">
        <v>1</v>
      </c>
      <c r="JY7" s="18" t="n">
        <v>1</v>
      </c>
      <c r="JZ7" s="18" t="n">
        <v>1</v>
      </c>
      <c r="KA7" s="18" t="n">
        <v>1</v>
      </c>
      <c r="KB7" s="18" t="n">
        <v>1</v>
      </c>
      <c r="KC7" s="18" t="n">
        <v>1</v>
      </c>
      <c r="KD7" s="18" t="n">
        <v>1</v>
      </c>
      <c r="KE7" s="18" t="n">
        <v>1</v>
      </c>
      <c r="KF7" s="18" t="n">
        <v>1</v>
      </c>
      <c r="KG7" s="18" t="n">
        <v>1</v>
      </c>
      <c r="KH7" s="18" t="n">
        <v>1</v>
      </c>
      <c r="KI7" s="18" t="n">
        <v>1</v>
      </c>
      <c r="KJ7" s="18" t="n">
        <v>1</v>
      </c>
      <c r="KK7" s="18" t="n">
        <v>1</v>
      </c>
      <c r="KL7" s="18" t="n">
        <v>1</v>
      </c>
      <c r="KM7" s="18" t="n">
        <v>1</v>
      </c>
      <c r="KN7" s="18" t="n">
        <v>1</v>
      </c>
      <c r="KO7" s="18" t="n">
        <v>1</v>
      </c>
      <c r="KP7" s="18" t="n">
        <v>1</v>
      </c>
      <c r="KQ7" s="18" t="n">
        <v>1</v>
      </c>
      <c r="KR7" s="18" t="n">
        <v>1</v>
      </c>
      <c r="KS7" s="18" t="n">
        <v>1</v>
      </c>
      <c r="KT7" s="18" t="n">
        <v>1</v>
      </c>
      <c r="KU7" s="18" t="n">
        <v>1</v>
      </c>
      <c r="KV7" s="18" t="n">
        <v>1</v>
      </c>
      <c r="KW7" s="18" t="n">
        <v>1</v>
      </c>
      <c r="KX7" s="18" t="n">
        <v>1</v>
      </c>
      <c r="KY7" s="18" t="n">
        <v>1</v>
      </c>
      <c r="KZ7" s="18" t="n">
        <v>1</v>
      </c>
      <c r="LA7" s="18" t="n">
        <v>1</v>
      </c>
      <c r="LB7" s="18" t="n">
        <v>1</v>
      </c>
      <c r="LC7" s="18" t="n">
        <v>1</v>
      </c>
      <c r="LD7" s="18" t="n">
        <v>0</v>
      </c>
      <c r="LE7" s="18" t="n">
        <v>0</v>
      </c>
      <c r="LF7" s="18" t="n">
        <v>0</v>
      </c>
      <c r="LG7" s="18" t="n">
        <v>0</v>
      </c>
      <c r="LH7" s="18" t="n">
        <v>0</v>
      </c>
      <c r="LI7" s="18" t="n">
        <v>0</v>
      </c>
    </row>
    <row r="8">
      <c r="B8" s="17" t="inlineStr">
        <is>
          <t>Flag trimestral</t>
        </is>
      </c>
      <c r="D8" s="18" t="n">
        <v>0</v>
      </c>
      <c r="E8" s="18" t="n">
        <v>0</v>
      </c>
      <c r="F8" s="18" t="n">
        <v>0</v>
      </c>
      <c r="G8" s="18" t="n">
        <v>0</v>
      </c>
      <c r="H8" s="18" t="n">
        <v>0</v>
      </c>
      <c r="I8" s="18" t="n">
        <v>0</v>
      </c>
      <c r="J8" s="18" t="n">
        <v>0</v>
      </c>
      <c r="K8" s="18" t="n">
        <v>0</v>
      </c>
      <c r="L8" s="18" t="n">
        <v>0</v>
      </c>
      <c r="M8" s="18" t="n">
        <v>0</v>
      </c>
      <c r="N8" s="18" t="n">
        <v>0</v>
      </c>
      <c r="O8" s="18" t="n">
        <v>0</v>
      </c>
      <c r="P8" s="18" t="n">
        <v>0</v>
      </c>
      <c r="Q8" s="18" t="n">
        <v>0</v>
      </c>
      <c r="R8" s="18" t="n">
        <v>0</v>
      </c>
      <c r="S8" s="18" t="n">
        <v>0</v>
      </c>
      <c r="T8" s="18" t="n">
        <v>0</v>
      </c>
      <c r="U8" s="18" t="n">
        <v>0</v>
      </c>
      <c r="V8" s="18" t="n">
        <v>0</v>
      </c>
      <c r="W8" s="18" t="n">
        <v>0</v>
      </c>
      <c r="X8" s="18" t="n">
        <v>0</v>
      </c>
      <c r="Y8" s="18" t="n">
        <v>0</v>
      </c>
      <c r="Z8" s="18" t="n">
        <v>0</v>
      </c>
      <c r="AA8" s="18" t="n">
        <v>0</v>
      </c>
      <c r="AB8" s="18" t="n">
        <v>0</v>
      </c>
      <c r="AC8" s="18" t="n">
        <v>0</v>
      </c>
      <c r="AD8" s="18" t="n">
        <v>0</v>
      </c>
      <c r="AE8" s="18" t="n">
        <v>0</v>
      </c>
      <c r="AF8" s="18" t="n">
        <v>0</v>
      </c>
      <c r="AG8" s="18" t="n">
        <v>0</v>
      </c>
      <c r="AH8" s="18" t="n">
        <v>0</v>
      </c>
      <c r="AI8" s="18" t="n">
        <v>0</v>
      </c>
      <c r="AJ8" s="18" t="n">
        <v>0</v>
      </c>
      <c r="AK8" s="18" t="n">
        <v>0</v>
      </c>
      <c r="AL8" s="18" t="n">
        <v>0</v>
      </c>
      <c r="AM8" s="18" t="n">
        <v>0</v>
      </c>
      <c r="AN8" s="18" t="n">
        <v>0</v>
      </c>
      <c r="AO8" s="18" t="n">
        <v>0</v>
      </c>
      <c r="AP8" s="18" t="n">
        <v>0</v>
      </c>
      <c r="AQ8" s="18" t="n">
        <v>0</v>
      </c>
      <c r="AR8" s="18" t="n">
        <v>0</v>
      </c>
      <c r="AS8" s="18" t="n">
        <v>0</v>
      </c>
      <c r="AT8" s="18" t="n">
        <v>0</v>
      </c>
      <c r="AU8" s="18" t="n">
        <v>0</v>
      </c>
      <c r="AV8" s="18" t="n">
        <v>0</v>
      </c>
      <c r="AW8" s="18" t="n">
        <v>0</v>
      </c>
      <c r="AX8" s="18" t="n">
        <v>0</v>
      </c>
      <c r="AY8" s="18" t="n">
        <v>0</v>
      </c>
      <c r="AZ8" s="18" t="n">
        <v>0</v>
      </c>
      <c r="BA8" s="18" t="n">
        <v>0</v>
      </c>
      <c r="BB8" s="18" t="n">
        <v>1</v>
      </c>
      <c r="BC8" s="18" t="n">
        <v>0</v>
      </c>
      <c r="BD8" s="18" t="n">
        <v>0</v>
      </c>
      <c r="BE8" s="18" t="n">
        <v>1</v>
      </c>
      <c r="BF8" s="18" t="n">
        <v>0</v>
      </c>
      <c r="BG8" s="18" t="n">
        <v>0</v>
      </c>
      <c r="BH8" s="18" t="n">
        <v>1</v>
      </c>
      <c r="BI8" s="18" t="n">
        <v>0</v>
      </c>
      <c r="BJ8" s="18" t="n">
        <v>0</v>
      </c>
      <c r="BK8" s="18" t="n">
        <v>1</v>
      </c>
      <c r="BL8" s="18" t="n">
        <v>0</v>
      </c>
      <c r="BM8" s="18" t="n">
        <v>0</v>
      </c>
      <c r="BN8" s="18" t="n">
        <v>1</v>
      </c>
      <c r="BO8" s="18" t="n">
        <v>0</v>
      </c>
      <c r="BP8" s="18" t="n">
        <v>0</v>
      </c>
      <c r="BQ8" s="18" t="n">
        <v>1</v>
      </c>
      <c r="BR8" s="18" t="n">
        <v>0</v>
      </c>
      <c r="BS8" s="18" t="n">
        <v>0</v>
      </c>
      <c r="BT8" s="18" t="n">
        <v>1</v>
      </c>
      <c r="BU8" s="18" t="n">
        <v>0</v>
      </c>
      <c r="BV8" s="18" t="n">
        <v>0</v>
      </c>
      <c r="BW8" s="18" t="n">
        <v>1</v>
      </c>
      <c r="BX8" s="18" t="n">
        <v>0</v>
      </c>
      <c r="BY8" s="18" t="n">
        <v>0</v>
      </c>
      <c r="BZ8" s="18" t="n">
        <v>1</v>
      </c>
      <c r="CA8" s="18" t="n">
        <v>0</v>
      </c>
      <c r="CB8" s="18" t="n">
        <v>0</v>
      </c>
      <c r="CC8" s="18" t="n">
        <v>1</v>
      </c>
      <c r="CD8" s="18" t="n">
        <v>0</v>
      </c>
      <c r="CE8" s="18" t="n">
        <v>0</v>
      </c>
      <c r="CF8" s="18" t="n">
        <v>1</v>
      </c>
      <c r="CG8" s="18" t="n">
        <v>0</v>
      </c>
      <c r="CH8" s="18" t="n">
        <v>0</v>
      </c>
      <c r="CI8" s="18" t="n">
        <v>1</v>
      </c>
      <c r="CJ8" s="18" t="n">
        <v>0</v>
      </c>
      <c r="CK8" s="18" t="n">
        <v>0</v>
      </c>
      <c r="CL8" s="18" t="n">
        <v>1</v>
      </c>
      <c r="CM8" s="18" t="n">
        <v>0</v>
      </c>
      <c r="CN8" s="18" t="n">
        <v>0</v>
      </c>
      <c r="CO8" s="18" t="n">
        <v>1</v>
      </c>
      <c r="CP8" s="18" t="n">
        <v>0</v>
      </c>
      <c r="CQ8" s="18" t="n">
        <v>0</v>
      </c>
      <c r="CR8" s="18" t="n">
        <v>1</v>
      </c>
      <c r="CS8" s="18" t="n">
        <v>0</v>
      </c>
      <c r="CT8" s="18" t="n">
        <v>0</v>
      </c>
      <c r="CU8" s="18" t="n">
        <v>1</v>
      </c>
      <c r="CV8" s="18" t="n">
        <v>0</v>
      </c>
      <c r="CW8" s="18" t="n">
        <v>0</v>
      </c>
      <c r="CX8" s="18" t="n">
        <v>1</v>
      </c>
      <c r="CY8" s="18" t="n">
        <v>0</v>
      </c>
      <c r="CZ8" s="18" t="n">
        <v>0</v>
      </c>
      <c r="DA8" s="18" t="n">
        <v>1</v>
      </c>
      <c r="DB8" s="18" t="n">
        <v>0</v>
      </c>
      <c r="DC8" s="18" t="n">
        <v>0</v>
      </c>
      <c r="DD8" s="18" t="n">
        <v>1</v>
      </c>
      <c r="DE8" s="18" t="n">
        <v>0</v>
      </c>
      <c r="DF8" s="18" t="n">
        <v>0</v>
      </c>
      <c r="DG8" s="18" t="n">
        <v>1</v>
      </c>
      <c r="DH8" s="18" t="n">
        <v>0</v>
      </c>
      <c r="DI8" s="18" t="n">
        <v>0</v>
      </c>
      <c r="DJ8" s="18" t="n">
        <v>1</v>
      </c>
      <c r="DK8" s="18" t="n">
        <v>0</v>
      </c>
      <c r="DL8" s="18" t="n">
        <v>0</v>
      </c>
      <c r="DM8" s="18" t="n">
        <v>1</v>
      </c>
      <c r="DN8" s="18" t="n">
        <v>0</v>
      </c>
      <c r="DO8" s="18" t="n">
        <v>0</v>
      </c>
      <c r="DP8" s="18" t="n">
        <v>1</v>
      </c>
      <c r="DQ8" s="18" t="n">
        <v>0</v>
      </c>
      <c r="DR8" s="18" t="n">
        <v>0</v>
      </c>
      <c r="DS8" s="18" t="n">
        <v>1</v>
      </c>
      <c r="DT8" s="18" t="n">
        <v>0</v>
      </c>
      <c r="DU8" s="18" t="n">
        <v>0</v>
      </c>
      <c r="DV8" s="18" t="n">
        <v>1</v>
      </c>
      <c r="DW8" s="18" t="n">
        <v>0</v>
      </c>
      <c r="DX8" s="18" t="n">
        <v>0</v>
      </c>
      <c r="DY8" s="18" t="n">
        <v>1</v>
      </c>
      <c r="DZ8" s="18" t="n">
        <v>0</v>
      </c>
      <c r="EA8" s="18" t="n">
        <v>0</v>
      </c>
      <c r="EB8" s="18" t="n">
        <v>1</v>
      </c>
      <c r="EC8" s="18" t="n">
        <v>0</v>
      </c>
      <c r="ED8" s="18" t="n">
        <v>0</v>
      </c>
      <c r="EE8" s="18" t="n">
        <v>1</v>
      </c>
      <c r="EF8" s="18" t="n">
        <v>0</v>
      </c>
      <c r="EG8" s="18" t="n">
        <v>0</v>
      </c>
      <c r="EH8" s="18" t="n">
        <v>1</v>
      </c>
      <c r="EI8" s="18" t="n">
        <v>0</v>
      </c>
      <c r="EJ8" s="18" t="n">
        <v>0</v>
      </c>
      <c r="EK8" s="18" t="n">
        <v>1</v>
      </c>
      <c r="EL8" s="18" t="n">
        <v>0</v>
      </c>
      <c r="EM8" s="18" t="n">
        <v>0</v>
      </c>
      <c r="EN8" s="18" t="n">
        <v>1</v>
      </c>
      <c r="EO8" s="18" t="n">
        <v>0</v>
      </c>
      <c r="EP8" s="18" t="n">
        <v>0</v>
      </c>
      <c r="EQ8" s="18" t="n">
        <v>1</v>
      </c>
      <c r="ER8" s="18" t="n">
        <v>0</v>
      </c>
      <c r="ES8" s="18" t="n">
        <v>0</v>
      </c>
      <c r="ET8" s="18" t="n">
        <v>1</v>
      </c>
      <c r="EU8" s="18" t="n">
        <v>0</v>
      </c>
      <c r="EV8" s="18" t="n">
        <v>0</v>
      </c>
      <c r="EW8" s="18" t="n">
        <v>1</v>
      </c>
      <c r="EX8" s="18" t="n">
        <v>0</v>
      </c>
      <c r="EY8" s="18" t="n">
        <v>0</v>
      </c>
      <c r="EZ8" s="18" t="n">
        <v>1</v>
      </c>
      <c r="FA8" s="18" t="n">
        <v>0</v>
      </c>
      <c r="FB8" s="18" t="n">
        <v>0</v>
      </c>
      <c r="FC8" s="18" t="n">
        <v>1</v>
      </c>
      <c r="FD8" s="18" t="n">
        <v>0</v>
      </c>
      <c r="FE8" s="18" t="n">
        <v>0</v>
      </c>
      <c r="FF8" s="18" t="n">
        <v>1</v>
      </c>
      <c r="FG8" s="18" t="n">
        <v>0</v>
      </c>
      <c r="FH8" s="18" t="n">
        <v>0</v>
      </c>
      <c r="FI8" s="18" t="n">
        <v>1</v>
      </c>
      <c r="FJ8" s="18" t="n">
        <v>0</v>
      </c>
      <c r="FK8" s="18" t="n">
        <v>0</v>
      </c>
      <c r="FL8" s="18" t="n">
        <v>1</v>
      </c>
      <c r="FM8" s="18" t="n">
        <v>0</v>
      </c>
      <c r="FN8" s="18" t="n">
        <v>0</v>
      </c>
      <c r="FO8" s="18" t="n">
        <v>1</v>
      </c>
      <c r="FP8" s="18" t="n">
        <v>0</v>
      </c>
      <c r="FQ8" s="18" t="n">
        <v>0</v>
      </c>
      <c r="FR8" s="18" t="n">
        <v>1</v>
      </c>
      <c r="FS8" s="18" t="n">
        <v>0</v>
      </c>
      <c r="FT8" s="18" t="n">
        <v>0</v>
      </c>
      <c r="FU8" s="18" t="n">
        <v>1</v>
      </c>
      <c r="FV8" s="18" t="n">
        <v>0</v>
      </c>
      <c r="FW8" s="18" t="n">
        <v>0</v>
      </c>
      <c r="FX8" s="18" t="n">
        <v>1</v>
      </c>
      <c r="FY8" s="18" t="n">
        <v>0</v>
      </c>
      <c r="FZ8" s="18" t="n">
        <v>0</v>
      </c>
      <c r="GA8" s="18" t="n">
        <v>1</v>
      </c>
      <c r="GB8" s="18" t="n">
        <v>0</v>
      </c>
      <c r="GC8" s="18" t="n">
        <v>0</v>
      </c>
      <c r="GD8" s="18" t="n">
        <v>1</v>
      </c>
      <c r="GE8" s="18" t="n">
        <v>0</v>
      </c>
      <c r="GF8" s="18" t="n">
        <v>0</v>
      </c>
      <c r="GG8" s="18" t="n">
        <v>1</v>
      </c>
      <c r="GH8" s="18" t="n">
        <v>0</v>
      </c>
      <c r="GI8" s="18" t="n">
        <v>0</v>
      </c>
      <c r="GJ8" s="18" t="n">
        <v>1</v>
      </c>
      <c r="GK8" s="18" t="n">
        <v>0</v>
      </c>
      <c r="GL8" s="18" t="n">
        <v>0</v>
      </c>
      <c r="GM8" s="18" t="n">
        <v>1</v>
      </c>
      <c r="GN8" s="18" t="n">
        <v>0</v>
      </c>
      <c r="GO8" s="18" t="n">
        <v>0</v>
      </c>
      <c r="GP8" s="18" t="n">
        <v>1</v>
      </c>
      <c r="GQ8" s="18" t="n">
        <v>0</v>
      </c>
      <c r="GR8" s="18" t="n">
        <v>0</v>
      </c>
      <c r="GS8" s="18" t="n">
        <v>1</v>
      </c>
      <c r="GT8" s="18" t="n">
        <v>0</v>
      </c>
      <c r="GU8" s="18" t="n">
        <v>0</v>
      </c>
      <c r="GV8" s="18" t="n">
        <v>1</v>
      </c>
      <c r="GW8" s="18" t="n">
        <v>0</v>
      </c>
      <c r="GX8" s="18" t="n">
        <v>0</v>
      </c>
      <c r="GY8" s="18" t="n">
        <v>1</v>
      </c>
      <c r="GZ8" s="18" t="n">
        <v>0</v>
      </c>
      <c r="HA8" s="18" t="n">
        <v>0</v>
      </c>
      <c r="HB8" s="18" t="n">
        <v>1</v>
      </c>
      <c r="HC8" s="18" t="n">
        <v>0</v>
      </c>
      <c r="HD8" s="18" t="n">
        <v>0</v>
      </c>
      <c r="HE8" s="18" t="n">
        <v>1</v>
      </c>
      <c r="HF8" s="18" t="n">
        <v>0</v>
      </c>
      <c r="HG8" s="18" t="n">
        <v>0</v>
      </c>
      <c r="HH8" s="18" t="n">
        <v>1</v>
      </c>
      <c r="HI8" s="18" t="n">
        <v>0</v>
      </c>
      <c r="HJ8" s="18" t="n">
        <v>0</v>
      </c>
      <c r="HK8" s="18" t="n">
        <v>1</v>
      </c>
      <c r="HL8" s="18" t="n">
        <v>0</v>
      </c>
      <c r="HM8" s="18" t="n">
        <v>0</v>
      </c>
      <c r="HN8" s="18" t="n">
        <v>1</v>
      </c>
      <c r="HO8" s="18" t="n">
        <v>0</v>
      </c>
      <c r="HP8" s="18" t="n">
        <v>0</v>
      </c>
      <c r="HQ8" s="18" t="n">
        <v>1</v>
      </c>
      <c r="HR8" s="18" t="n">
        <v>0</v>
      </c>
      <c r="HS8" s="18" t="n">
        <v>0</v>
      </c>
      <c r="HT8" s="18" t="n">
        <v>1</v>
      </c>
      <c r="HU8" s="18" t="n">
        <v>0</v>
      </c>
      <c r="HV8" s="18" t="n">
        <v>0</v>
      </c>
      <c r="HW8" s="18" t="n">
        <v>1</v>
      </c>
      <c r="HX8" s="18" t="n">
        <v>0</v>
      </c>
      <c r="HY8" s="18" t="n">
        <v>0</v>
      </c>
      <c r="HZ8" s="18" t="n">
        <v>1</v>
      </c>
      <c r="IA8" s="18" t="n">
        <v>0</v>
      </c>
      <c r="IB8" s="18" t="n">
        <v>0</v>
      </c>
      <c r="IC8" s="18" t="n">
        <v>1</v>
      </c>
      <c r="ID8" s="18" t="n">
        <v>0</v>
      </c>
      <c r="IE8" s="18" t="n">
        <v>0</v>
      </c>
      <c r="IF8" s="18" t="n">
        <v>1</v>
      </c>
      <c r="IG8" s="18" t="n">
        <v>0</v>
      </c>
      <c r="IH8" s="18" t="n">
        <v>0</v>
      </c>
      <c r="II8" s="18" t="n">
        <v>1</v>
      </c>
      <c r="IJ8" s="18" t="n">
        <v>0</v>
      </c>
      <c r="IK8" s="18" t="n">
        <v>0</v>
      </c>
      <c r="IL8" s="18" t="n">
        <v>1</v>
      </c>
      <c r="IM8" s="18" t="n">
        <v>0</v>
      </c>
      <c r="IN8" s="18" t="n">
        <v>0</v>
      </c>
      <c r="IO8" s="18" t="n">
        <v>1</v>
      </c>
      <c r="IP8" s="18" t="n">
        <v>0</v>
      </c>
      <c r="IQ8" s="18" t="n">
        <v>0</v>
      </c>
      <c r="IR8" s="18" t="n">
        <v>1</v>
      </c>
      <c r="IS8" s="18" t="n">
        <v>0</v>
      </c>
      <c r="IT8" s="18" t="n">
        <v>0</v>
      </c>
      <c r="IU8" s="18" t="n">
        <v>1</v>
      </c>
      <c r="IV8" s="18" t="n">
        <v>0</v>
      </c>
      <c r="IW8" s="18" t="n">
        <v>0</v>
      </c>
      <c r="IX8" s="18" t="n">
        <v>1</v>
      </c>
      <c r="IY8" s="18" t="n">
        <v>0</v>
      </c>
      <c r="IZ8" s="18" t="n">
        <v>0</v>
      </c>
      <c r="JA8" s="18" t="n">
        <v>1</v>
      </c>
      <c r="JB8" s="18" t="n">
        <v>0</v>
      </c>
      <c r="JC8" s="18" t="n">
        <v>0</v>
      </c>
      <c r="JD8" s="18" t="n">
        <v>1</v>
      </c>
      <c r="JE8" s="18" t="n">
        <v>0</v>
      </c>
      <c r="JF8" s="18" t="n">
        <v>0</v>
      </c>
      <c r="JG8" s="18" t="n">
        <v>1</v>
      </c>
      <c r="JH8" s="18" t="n">
        <v>0</v>
      </c>
      <c r="JI8" s="18" t="n">
        <v>0</v>
      </c>
      <c r="JJ8" s="18" t="n">
        <v>1</v>
      </c>
      <c r="JK8" s="18" t="n">
        <v>0</v>
      </c>
      <c r="JL8" s="18" t="n">
        <v>0</v>
      </c>
      <c r="JM8" s="18" t="n">
        <v>1</v>
      </c>
      <c r="JN8" s="18" t="n">
        <v>0</v>
      </c>
      <c r="JO8" s="18" t="n">
        <v>0</v>
      </c>
      <c r="JP8" s="18" t="n">
        <v>1</v>
      </c>
      <c r="JQ8" s="18" t="n">
        <v>0</v>
      </c>
      <c r="JR8" s="18" t="n">
        <v>0</v>
      </c>
      <c r="JS8" s="18" t="n">
        <v>1</v>
      </c>
      <c r="JT8" s="18" t="n">
        <v>0</v>
      </c>
      <c r="JU8" s="18" t="n">
        <v>0</v>
      </c>
      <c r="JV8" s="18" t="n">
        <v>1</v>
      </c>
      <c r="JW8" s="18" t="n">
        <v>0</v>
      </c>
      <c r="JX8" s="18" t="n">
        <v>0</v>
      </c>
      <c r="JY8" s="18" t="n">
        <v>1</v>
      </c>
      <c r="JZ8" s="18" t="n">
        <v>0</v>
      </c>
      <c r="KA8" s="18" t="n">
        <v>0</v>
      </c>
      <c r="KB8" s="18" t="n">
        <v>1</v>
      </c>
      <c r="KC8" s="18" t="n">
        <v>0</v>
      </c>
      <c r="KD8" s="18" t="n">
        <v>0</v>
      </c>
      <c r="KE8" s="18" t="n">
        <v>1</v>
      </c>
      <c r="KF8" s="18" t="n">
        <v>0</v>
      </c>
      <c r="KG8" s="18" t="n">
        <v>0</v>
      </c>
      <c r="KH8" s="18" t="n">
        <v>1</v>
      </c>
      <c r="KI8" s="18" t="n">
        <v>0</v>
      </c>
      <c r="KJ8" s="18" t="n">
        <v>0</v>
      </c>
      <c r="KK8" s="18" t="n">
        <v>1</v>
      </c>
      <c r="KL8" s="18" t="n">
        <v>0</v>
      </c>
      <c r="KM8" s="18" t="n">
        <v>0</v>
      </c>
      <c r="KN8" s="18" t="n">
        <v>1</v>
      </c>
      <c r="KO8" s="18" t="n">
        <v>0</v>
      </c>
      <c r="KP8" s="18" t="n">
        <v>0</v>
      </c>
      <c r="KQ8" s="18" t="n">
        <v>1</v>
      </c>
      <c r="KR8" s="18" t="n">
        <v>0</v>
      </c>
      <c r="KS8" s="18" t="n">
        <v>0</v>
      </c>
      <c r="KT8" s="18" t="n">
        <v>1</v>
      </c>
      <c r="KU8" s="18" t="n">
        <v>0</v>
      </c>
      <c r="KV8" s="18" t="n">
        <v>0</v>
      </c>
      <c r="KW8" s="18" t="n">
        <v>1</v>
      </c>
      <c r="KX8" s="18" t="n">
        <v>0</v>
      </c>
      <c r="KY8" s="18" t="n">
        <v>0</v>
      </c>
      <c r="KZ8" s="18" t="n">
        <v>1</v>
      </c>
      <c r="LA8" s="18" t="n">
        <v>0</v>
      </c>
      <c r="LB8" s="18" t="n">
        <v>0</v>
      </c>
      <c r="LC8" s="18" t="n">
        <v>1</v>
      </c>
      <c r="LD8" s="18" t="n">
        <v>0</v>
      </c>
      <c r="LE8" s="18" t="n">
        <v>0</v>
      </c>
      <c r="LF8" s="18" t="n">
        <v>0</v>
      </c>
      <c r="LG8" s="18" t="n">
        <v>0</v>
      </c>
      <c r="LH8" s="18" t="n">
        <v>0</v>
      </c>
      <c r="LI8" s="18" t="n">
        <v>0</v>
      </c>
    </row>
    <row r="9">
      <c r="B9" s="17" t="inlineStr">
        <is>
          <t>Flag de pago del PPDMO</t>
        </is>
      </c>
      <c r="D9" s="18" t="n">
        <v>0</v>
      </c>
      <c r="E9" s="18" t="n">
        <v>0</v>
      </c>
      <c r="F9" s="18" t="n">
        <v>0</v>
      </c>
      <c r="G9" s="18" t="n">
        <v>0</v>
      </c>
      <c r="H9" s="18" t="n">
        <v>0</v>
      </c>
      <c r="I9" s="18" t="n">
        <v>0</v>
      </c>
      <c r="J9" s="18" t="n">
        <v>0</v>
      </c>
      <c r="K9" s="18" t="n">
        <v>0</v>
      </c>
      <c r="L9" s="18" t="n">
        <v>0</v>
      </c>
      <c r="M9" s="18" t="n">
        <v>0</v>
      </c>
      <c r="N9" s="18" t="n">
        <v>0</v>
      </c>
      <c r="O9" s="18" t="n">
        <v>0</v>
      </c>
      <c r="P9" s="18" t="n">
        <v>0</v>
      </c>
      <c r="Q9" s="18" t="n">
        <v>0</v>
      </c>
      <c r="R9" s="18" t="n">
        <v>0</v>
      </c>
      <c r="S9" s="18" t="n">
        <v>0</v>
      </c>
      <c r="T9" s="18" t="n">
        <v>0</v>
      </c>
      <c r="U9" s="18" t="n">
        <v>0</v>
      </c>
      <c r="V9" s="18" t="n">
        <v>0</v>
      </c>
      <c r="W9" s="18" t="n">
        <v>0</v>
      </c>
      <c r="X9" s="18" t="n">
        <v>0</v>
      </c>
      <c r="Y9" s="18" t="n">
        <v>0</v>
      </c>
      <c r="Z9" s="18" t="n">
        <v>0</v>
      </c>
      <c r="AA9" s="18" t="n">
        <v>0</v>
      </c>
      <c r="AB9" s="18" t="n">
        <v>0</v>
      </c>
      <c r="AC9" s="18" t="n">
        <v>0</v>
      </c>
      <c r="AD9" s="18" t="n">
        <v>0</v>
      </c>
      <c r="AE9" s="18" t="n">
        <v>0</v>
      </c>
      <c r="AF9" s="18" t="n">
        <v>0</v>
      </c>
      <c r="AG9" s="18" t="n">
        <v>0</v>
      </c>
      <c r="AH9" s="18" t="n">
        <v>0</v>
      </c>
      <c r="AI9" s="18" t="n">
        <v>0</v>
      </c>
      <c r="AJ9" s="18" t="n">
        <v>0</v>
      </c>
      <c r="AK9" s="18" t="n">
        <v>0</v>
      </c>
      <c r="AL9" s="18" t="n">
        <v>0</v>
      </c>
      <c r="AM9" s="18" t="n">
        <v>0</v>
      </c>
      <c r="AN9" s="18" t="n">
        <v>0</v>
      </c>
      <c r="AO9" s="18" t="n">
        <v>0</v>
      </c>
      <c r="AP9" s="18" t="n">
        <v>0</v>
      </c>
      <c r="AQ9" s="18" t="n">
        <v>0</v>
      </c>
      <c r="AR9" s="18" t="n">
        <v>0</v>
      </c>
      <c r="AS9" s="18" t="n">
        <v>0</v>
      </c>
      <c r="AT9" s="18" t="n">
        <v>0</v>
      </c>
      <c r="AU9" s="18" t="n">
        <v>0</v>
      </c>
      <c r="AV9" s="18" t="n">
        <v>0</v>
      </c>
      <c r="AW9" s="18" t="n">
        <v>0</v>
      </c>
      <c r="AX9" s="18" t="n">
        <v>0</v>
      </c>
      <c r="AY9" s="18" t="n">
        <v>0</v>
      </c>
      <c r="AZ9" s="18" t="n">
        <v>0</v>
      </c>
      <c r="BA9" s="18" t="n">
        <v>0</v>
      </c>
      <c r="BB9" s="18" t="n">
        <v>0</v>
      </c>
      <c r="BC9" s="18" t="n">
        <v>1</v>
      </c>
      <c r="BD9" s="18" t="n">
        <v>1</v>
      </c>
      <c r="BE9" s="18" t="n">
        <v>1</v>
      </c>
      <c r="BF9" s="18" t="n">
        <v>1</v>
      </c>
      <c r="BG9" s="18" t="n">
        <v>1</v>
      </c>
      <c r="BH9" s="18" t="n">
        <v>1</v>
      </c>
      <c r="BI9" s="18" t="n">
        <v>1</v>
      </c>
      <c r="BJ9" s="18" t="n">
        <v>1</v>
      </c>
      <c r="BK9" s="18" t="n">
        <v>1</v>
      </c>
      <c r="BL9" s="18" t="n">
        <v>1</v>
      </c>
      <c r="BM9" s="18" t="n">
        <v>1</v>
      </c>
      <c r="BN9" s="18" t="n">
        <v>1</v>
      </c>
      <c r="BO9" s="18" t="n">
        <v>1</v>
      </c>
      <c r="BP9" s="18" t="n">
        <v>1</v>
      </c>
      <c r="BQ9" s="18" t="n">
        <v>1</v>
      </c>
      <c r="BR9" s="18" t="n">
        <v>1</v>
      </c>
      <c r="BS9" s="18" t="n">
        <v>1</v>
      </c>
      <c r="BT9" s="18" t="n">
        <v>1</v>
      </c>
      <c r="BU9" s="18" t="n">
        <v>1</v>
      </c>
      <c r="BV9" s="18" t="n">
        <v>1</v>
      </c>
      <c r="BW9" s="18" t="n">
        <v>1</v>
      </c>
      <c r="BX9" s="18" t="n">
        <v>1</v>
      </c>
      <c r="BY9" s="18" t="n">
        <v>1</v>
      </c>
      <c r="BZ9" s="18" t="n">
        <v>1</v>
      </c>
      <c r="CA9" s="18" t="n">
        <v>1</v>
      </c>
      <c r="CB9" s="18" t="n">
        <v>1</v>
      </c>
      <c r="CC9" s="18" t="n">
        <v>1</v>
      </c>
      <c r="CD9" s="18" t="n">
        <v>1</v>
      </c>
      <c r="CE9" s="18" t="n">
        <v>1</v>
      </c>
      <c r="CF9" s="18" t="n">
        <v>1</v>
      </c>
      <c r="CG9" s="18" t="n">
        <v>1</v>
      </c>
      <c r="CH9" s="18" t="n">
        <v>1</v>
      </c>
      <c r="CI9" s="18" t="n">
        <v>1</v>
      </c>
      <c r="CJ9" s="18" t="n">
        <v>1</v>
      </c>
      <c r="CK9" s="18" t="n">
        <v>1</v>
      </c>
      <c r="CL9" s="18" t="n">
        <v>1</v>
      </c>
      <c r="CM9" s="18" t="n">
        <v>1</v>
      </c>
      <c r="CN9" s="18" t="n">
        <v>1</v>
      </c>
      <c r="CO9" s="18" t="n">
        <v>1</v>
      </c>
      <c r="CP9" s="18" t="n">
        <v>1</v>
      </c>
      <c r="CQ9" s="18" t="n">
        <v>1</v>
      </c>
      <c r="CR9" s="18" t="n">
        <v>1</v>
      </c>
      <c r="CS9" s="18" t="n">
        <v>1</v>
      </c>
      <c r="CT9" s="18" t="n">
        <v>1</v>
      </c>
      <c r="CU9" s="18" t="n">
        <v>1</v>
      </c>
      <c r="CV9" s="18" t="n">
        <v>1</v>
      </c>
      <c r="CW9" s="18" t="n">
        <v>1</v>
      </c>
      <c r="CX9" s="18" t="n">
        <v>1</v>
      </c>
      <c r="CY9" s="18" t="n">
        <v>1</v>
      </c>
      <c r="CZ9" s="18" t="n">
        <v>1</v>
      </c>
      <c r="DA9" s="18" t="n">
        <v>1</v>
      </c>
      <c r="DB9" s="18" t="n">
        <v>1</v>
      </c>
      <c r="DC9" s="18" t="n">
        <v>1</v>
      </c>
      <c r="DD9" s="18" t="n">
        <v>1</v>
      </c>
      <c r="DE9" s="18" t="n">
        <v>1</v>
      </c>
      <c r="DF9" s="18" t="n">
        <v>1</v>
      </c>
      <c r="DG9" s="18" t="n">
        <v>1</v>
      </c>
      <c r="DH9" s="18" t="n">
        <v>1</v>
      </c>
      <c r="DI9" s="18" t="n">
        <v>1</v>
      </c>
      <c r="DJ9" s="18" t="n">
        <v>1</v>
      </c>
      <c r="DK9" s="18" t="n">
        <v>1</v>
      </c>
      <c r="DL9" s="18" t="n">
        <v>1</v>
      </c>
      <c r="DM9" s="18" t="n">
        <v>1</v>
      </c>
      <c r="DN9" s="18" t="n">
        <v>1</v>
      </c>
      <c r="DO9" s="18" t="n">
        <v>1</v>
      </c>
      <c r="DP9" s="18" t="n">
        <v>1</v>
      </c>
      <c r="DQ9" s="18" t="n">
        <v>1</v>
      </c>
      <c r="DR9" s="18" t="n">
        <v>1</v>
      </c>
      <c r="DS9" s="18" t="n">
        <v>1</v>
      </c>
      <c r="DT9" s="18" t="n">
        <v>1</v>
      </c>
      <c r="DU9" s="18" t="n">
        <v>1</v>
      </c>
      <c r="DV9" s="18" t="n">
        <v>1</v>
      </c>
      <c r="DW9" s="18" t="n">
        <v>1</v>
      </c>
      <c r="DX9" s="18" t="n">
        <v>1</v>
      </c>
      <c r="DY9" s="18" t="n">
        <v>1</v>
      </c>
      <c r="DZ9" s="18" t="n">
        <v>1</v>
      </c>
      <c r="EA9" s="18" t="n">
        <v>1</v>
      </c>
      <c r="EB9" s="18" t="n">
        <v>1</v>
      </c>
      <c r="EC9" s="18" t="n">
        <v>1</v>
      </c>
      <c r="ED9" s="18" t="n">
        <v>1</v>
      </c>
      <c r="EE9" s="18" t="n">
        <v>1</v>
      </c>
      <c r="EF9" s="18" t="n">
        <v>1</v>
      </c>
      <c r="EG9" s="18" t="n">
        <v>1</v>
      </c>
      <c r="EH9" s="18" t="n">
        <v>1</v>
      </c>
      <c r="EI9" s="18" t="n">
        <v>1</v>
      </c>
      <c r="EJ9" s="18" t="n">
        <v>1</v>
      </c>
      <c r="EK9" s="18" t="n">
        <v>1</v>
      </c>
      <c r="EL9" s="18" t="n">
        <v>1</v>
      </c>
      <c r="EM9" s="18" t="n">
        <v>1</v>
      </c>
      <c r="EN9" s="18" t="n">
        <v>1</v>
      </c>
      <c r="EO9" s="18" t="n">
        <v>1</v>
      </c>
      <c r="EP9" s="18" t="n">
        <v>1</v>
      </c>
      <c r="EQ9" s="18" t="n">
        <v>1</v>
      </c>
      <c r="ER9" s="18" t="n">
        <v>1</v>
      </c>
      <c r="ES9" s="18" t="n">
        <v>1</v>
      </c>
      <c r="ET9" s="18" t="n">
        <v>1</v>
      </c>
      <c r="EU9" s="18" t="n">
        <v>1</v>
      </c>
      <c r="EV9" s="18" t="n">
        <v>1</v>
      </c>
      <c r="EW9" s="18" t="n">
        <v>1</v>
      </c>
      <c r="EX9" s="18" t="n">
        <v>1</v>
      </c>
      <c r="EY9" s="18" t="n">
        <v>1</v>
      </c>
      <c r="EZ9" s="18" t="n">
        <v>1</v>
      </c>
      <c r="FA9" s="18" t="n">
        <v>1</v>
      </c>
      <c r="FB9" s="18" t="n">
        <v>1</v>
      </c>
      <c r="FC9" s="18" t="n">
        <v>1</v>
      </c>
      <c r="FD9" s="18" t="n">
        <v>1</v>
      </c>
      <c r="FE9" s="18" t="n">
        <v>1</v>
      </c>
      <c r="FF9" s="18" t="n">
        <v>1</v>
      </c>
      <c r="FG9" s="18" t="n">
        <v>1</v>
      </c>
      <c r="FH9" s="18" t="n">
        <v>1</v>
      </c>
      <c r="FI9" s="18" t="n">
        <v>1</v>
      </c>
      <c r="FJ9" s="18" t="n">
        <v>1</v>
      </c>
      <c r="FK9" s="18" t="n">
        <v>1</v>
      </c>
      <c r="FL9" s="18" t="n">
        <v>1</v>
      </c>
      <c r="FM9" s="18" t="n">
        <v>1</v>
      </c>
      <c r="FN9" s="18" t="n">
        <v>1</v>
      </c>
      <c r="FO9" s="18" t="n">
        <v>1</v>
      </c>
      <c r="FP9" s="18" t="n">
        <v>1</v>
      </c>
      <c r="FQ9" s="18" t="n">
        <v>1</v>
      </c>
      <c r="FR9" s="18" t="n">
        <v>1</v>
      </c>
      <c r="FS9" s="18" t="n">
        <v>1</v>
      </c>
      <c r="FT9" s="18" t="n">
        <v>1</v>
      </c>
      <c r="FU9" s="18" t="n">
        <v>1</v>
      </c>
      <c r="FV9" s="18" t="n">
        <v>1</v>
      </c>
      <c r="FW9" s="18" t="n">
        <v>1</v>
      </c>
      <c r="FX9" s="18" t="n">
        <v>1</v>
      </c>
      <c r="FY9" s="18" t="n">
        <v>1</v>
      </c>
      <c r="FZ9" s="18" t="n">
        <v>1</v>
      </c>
      <c r="GA9" s="18" t="n">
        <v>1</v>
      </c>
      <c r="GB9" s="18" t="n">
        <v>1</v>
      </c>
      <c r="GC9" s="18" t="n">
        <v>1</v>
      </c>
      <c r="GD9" s="18" t="n">
        <v>1</v>
      </c>
      <c r="GE9" s="18" t="n">
        <v>1</v>
      </c>
      <c r="GF9" s="18" t="n">
        <v>1</v>
      </c>
      <c r="GG9" s="18" t="n">
        <v>1</v>
      </c>
      <c r="GH9" s="18" t="n">
        <v>1</v>
      </c>
      <c r="GI9" s="18" t="n">
        <v>1</v>
      </c>
      <c r="GJ9" s="18" t="n">
        <v>1</v>
      </c>
      <c r="GK9" s="18" t="n">
        <v>1</v>
      </c>
      <c r="GL9" s="18" t="n">
        <v>1</v>
      </c>
      <c r="GM9" s="18" t="n">
        <v>1</v>
      </c>
      <c r="GN9" s="18" t="n">
        <v>1</v>
      </c>
      <c r="GO9" s="18" t="n">
        <v>1</v>
      </c>
      <c r="GP9" s="18" t="n">
        <v>1</v>
      </c>
      <c r="GQ9" s="18" t="n">
        <v>1</v>
      </c>
      <c r="GR9" s="18" t="n">
        <v>1</v>
      </c>
      <c r="GS9" s="18" t="n">
        <v>1</v>
      </c>
      <c r="GT9" s="18" t="n">
        <v>1</v>
      </c>
      <c r="GU9" s="18" t="n">
        <v>1</v>
      </c>
      <c r="GV9" s="18" t="n">
        <v>1</v>
      </c>
      <c r="GW9" s="18" t="n">
        <v>1</v>
      </c>
      <c r="GX9" s="18" t="n">
        <v>1</v>
      </c>
      <c r="GY9" s="18" t="n">
        <v>1</v>
      </c>
      <c r="GZ9" s="18" t="n">
        <v>1</v>
      </c>
      <c r="HA9" s="18" t="n">
        <v>1</v>
      </c>
      <c r="HB9" s="18" t="n">
        <v>1</v>
      </c>
      <c r="HC9" s="18" t="n">
        <v>1</v>
      </c>
      <c r="HD9" s="18" t="n">
        <v>1</v>
      </c>
      <c r="HE9" s="18" t="n">
        <v>1</v>
      </c>
      <c r="HF9" s="18" t="n">
        <v>1</v>
      </c>
      <c r="HG9" s="18" t="n">
        <v>1</v>
      </c>
      <c r="HH9" s="18" t="n">
        <v>1</v>
      </c>
      <c r="HI9" s="18" t="n">
        <v>1</v>
      </c>
      <c r="HJ9" s="18" t="n">
        <v>1</v>
      </c>
      <c r="HK9" s="18" t="n">
        <v>1</v>
      </c>
      <c r="HL9" s="18" t="n">
        <v>1</v>
      </c>
      <c r="HM9" s="18" t="n">
        <v>1</v>
      </c>
      <c r="HN9" s="18" t="n">
        <v>1</v>
      </c>
      <c r="HO9" s="18" t="n">
        <v>1</v>
      </c>
      <c r="HP9" s="18" t="n">
        <v>1</v>
      </c>
      <c r="HQ9" s="18" t="n">
        <v>1</v>
      </c>
      <c r="HR9" s="18" t="n">
        <v>1</v>
      </c>
      <c r="HS9" s="18" t="n">
        <v>1</v>
      </c>
      <c r="HT9" s="18" t="n">
        <v>1</v>
      </c>
      <c r="HU9" s="18" t="n">
        <v>1</v>
      </c>
      <c r="HV9" s="18" t="n">
        <v>1</v>
      </c>
      <c r="HW9" s="18" t="n">
        <v>1</v>
      </c>
      <c r="HX9" s="18" t="n">
        <v>1</v>
      </c>
      <c r="HY9" s="18" t="n">
        <v>1</v>
      </c>
      <c r="HZ9" s="18" t="n">
        <v>1</v>
      </c>
      <c r="IA9" s="18" t="n">
        <v>1</v>
      </c>
      <c r="IB9" s="18" t="n">
        <v>1</v>
      </c>
      <c r="IC9" s="18" t="n">
        <v>1</v>
      </c>
      <c r="ID9" s="18" t="n">
        <v>1</v>
      </c>
      <c r="IE9" s="18" t="n">
        <v>1</v>
      </c>
      <c r="IF9" s="18" t="n">
        <v>1</v>
      </c>
      <c r="IG9" s="18" t="n">
        <v>1</v>
      </c>
      <c r="IH9" s="18" t="n">
        <v>1</v>
      </c>
      <c r="II9" s="18" t="n">
        <v>1</v>
      </c>
      <c r="IJ9" s="18" t="n">
        <v>1</v>
      </c>
      <c r="IK9" s="18" t="n">
        <v>1</v>
      </c>
      <c r="IL9" s="18" t="n">
        <v>1</v>
      </c>
      <c r="IM9" s="18" t="n">
        <v>1</v>
      </c>
      <c r="IN9" s="18" t="n">
        <v>1</v>
      </c>
      <c r="IO9" s="18" t="n">
        <v>1</v>
      </c>
      <c r="IP9" s="18" t="n">
        <v>1</v>
      </c>
      <c r="IQ9" s="18" t="n">
        <v>1</v>
      </c>
      <c r="IR9" s="18" t="n">
        <v>1</v>
      </c>
      <c r="IS9" s="18" t="n">
        <v>1</v>
      </c>
      <c r="IT9" s="18" t="n">
        <v>1</v>
      </c>
      <c r="IU9" s="18" t="n">
        <v>1</v>
      </c>
      <c r="IV9" s="18" t="n">
        <v>1</v>
      </c>
      <c r="IW9" s="18" t="n">
        <v>1</v>
      </c>
      <c r="IX9" s="18" t="n">
        <v>1</v>
      </c>
      <c r="IY9" s="18" t="n">
        <v>1</v>
      </c>
      <c r="IZ9" s="18" t="n">
        <v>1</v>
      </c>
      <c r="JA9" s="18" t="n">
        <v>1</v>
      </c>
      <c r="JB9" s="18" t="n">
        <v>1</v>
      </c>
      <c r="JC9" s="18" t="n">
        <v>1</v>
      </c>
      <c r="JD9" s="18" t="n">
        <v>1</v>
      </c>
      <c r="JE9" s="18" t="n">
        <v>1</v>
      </c>
      <c r="JF9" s="18" t="n">
        <v>1</v>
      </c>
      <c r="JG9" s="18" t="n">
        <v>1</v>
      </c>
      <c r="JH9" s="18" t="n">
        <v>1</v>
      </c>
      <c r="JI9" s="18" t="n">
        <v>1</v>
      </c>
      <c r="JJ9" s="18" t="n">
        <v>1</v>
      </c>
      <c r="JK9" s="18" t="n">
        <v>1</v>
      </c>
      <c r="JL9" s="18" t="n">
        <v>1</v>
      </c>
      <c r="JM9" s="18" t="n">
        <v>1</v>
      </c>
      <c r="JN9" s="18" t="n">
        <v>1</v>
      </c>
      <c r="JO9" s="18" t="n">
        <v>1</v>
      </c>
      <c r="JP9" s="18" t="n">
        <v>1</v>
      </c>
      <c r="JQ9" s="18" t="n">
        <v>1</v>
      </c>
      <c r="JR9" s="18" t="n">
        <v>1</v>
      </c>
      <c r="JS9" s="18" t="n">
        <v>1</v>
      </c>
      <c r="JT9" s="18" t="n">
        <v>1</v>
      </c>
      <c r="JU9" s="18" t="n">
        <v>1</v>
      </c>
      <c r="JV9" s="18" t="n">
        <v>1</v>
      </c>
      <c r="JW9" s="18" t="n">
        <v>1</v>
      </c>
      <c r="JX9" s="18" t="n">
        <v>1</v>
      </c>
      <c r="JY9" s="18" t="n">
        <v>1</v>
      </c>
      <c r="JZ9" s="18" t="n">
        <v>1</v>
      </c>
      <c r="KA9" s="18" t="n">
        <v>1</v>
      </c>
      <c r="KB9" s="18" t="n">
        <v>1</v>
      </c>
      <c r="KC9" s="18" t="n">
        <v>1</v>
      </c>
      <c r="KD9" s="18" t="n">
        <v>1</v>
      </c>
      <c r="KE9" s="18" t="n">
        <v>1</v>
      </c>
      <c r="KF9" s="18" t="n">
        <v>1</v>
      </c>
      <c r="KG9" s="18" t="n">
        <v>1</v>
      </c>
      <c r="KH9" s="18" t="n">
        <v>1</v>
      </c>
      <c r="KI9" s="18" t="n">
        <v>1</v>
      </c>
      <c r="KJ9" s="18" t="n">
        <v>1</v>
      </c>
      <c r="KK9" s="18" t="n">
        <v>1</v>
      </c>
      <c r="KL9" s="18" t="n">
        <v>1</v>
      </c>
      <c r="KM9" s="18" t="n">
        <v>1</v>
      </c>
      <c r="KN9" s="18" t="n">
        <v>1</v>
      </c>
      <c r="KO9" s="18" t="n">
        <v>1</v>
      </c>
      <c r="KP9" s="18" t="n">
        <v>1</v>
      </c>
      <c r="KQ9" s="18" t="n">
        <v>1</v>
      </c>
      <c r="KR9" s="18" t="n">
        <v>1</v>
      </c>
      <c r="KS9" s="18" t="n">
        <v>1</v>
      </c>
      <c r="KT9" s="18" t="n">
        <v>1</v>
      </c>
      <c r="KU9" s="18" t="n">
        <v>1</v>
      </c>
      <c r="KV9" s="18" t="n">
        <v>1</v>
      </c>
      <c r="KW9" s="18" t="n">
        <v>1</v>
      </c>
      <c r="KX9" s="18" t="n">
        <v>1</v>
      </c>
      <c r="KY9" s="18" t="n">
        <v>1</v>
      </c>
      <c r="KZ9" s="18" t="n">
        <v>1</v>
      </c>
      <c r="LA9" s="18" t="n">
        <v>1</v>
      </c>
      <c r="LB9" s="18" t="n">
        <v>1</v>
      </c>
      <c r="LC9" s="18" t="n">
        <v>1</v>
      </c>
      <c r="LD9" s="18" t="n">
        <v>1</v>
      </c>
      <c r="LE9" s="18" t="n">
        <v>1</v>
      </c>
      <c r="LF9" s="18" t="n">
        <v>1</v>
      </c>
      <c r="LG9" s="18" t="n">
        <v>0</v>
      </c>
      <c r="LH9" s="18" t="n">
        <v>0</v>
      </c>
      <c r="LI9" s="18" t="n">
        <v>0</v>
      </c>
    </row>
    <row r="10">
      <c r="B10" s="17" t="inlineStr">
        <is>
          <t>Produccion efectiva, kg DBO5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9" t="n">
        <v>0</v>
      </c>
      <c r="R10" s="19" t="n">
        <v>0</v>
      </c>
      <c r="S10" s="19" t="n">
        <v>0</v>
      </c>
      <c r="T10" s="19" t="n">
        <v>0</v>
      </c>
      <c r="U10" s="19" t="n">
        <v>0</v>
      </c>
      <c r="V10" s="19" t="n">
        <v>0</v>
      </c>
      <c r="W10" s="19" t="n">
        <v>0</v>
      </c>
      <c r="X10" s="19" t="n">
        <v>0</v>
      </c>
      <c r="Y10" s="19" t="n">
        <v>0</v>
      </c>
      <c r="Z10" s="19" t="n">
        <v>0</v>
      </c>
      <c r="AA10" s="19" t="n">
        <v>0</v>
      </c>
      <c r="AB10" s="19" t="n">
        <v>0</v>
      </c>
      <c r="AC10" s="19" t="n">
        <v>0</v>
      </c>
      <c r="AD10" s="19" t="n">
        <v>0</v>
      </c>
      <c r="AE10" s="19" t="n">
        <v>0</v>
      </c>
      <c r="AF10" s="19" t="n">
        <v>0</v>
      </c>
      <c r="AG10" s="19" t="n">
        <v>0</v>
      </c>
      <c r="AH10" s="19" t="n">
        <v>0</v>
      </c>
      <c r="AI10" s="19" t="n">
        <v>0</v>
      </c>
      <c r="AJ10" s="19" t="n">
        <v>0</v>
      </c>
      <c r="AK10" s="19" t="n">
        <v>0</v>
      </c>
      <c r="AL10" s="19" t="n">
        <v>0</v>
      </c>
      <c r="AM10" s="19" t="n">
        <v>0</v>
      </c>
      <c r="AN10" s="19" t="n">
        <v>0</v>
      </c>
      <c r="AO10" s="19" t="n">
        <v>0</v>
      </c>
      <c r="AP10" s="19" t="n">
        <v>0</v>
      </c>
      <c r="AQ10" s="19" t="n">
        <v>0</v>
      </c>
      <c r="AR10" s="19" t="n">
        <v>0</v>
      </c>
      <c r="AS10" s="19" t="n">
        <v>0</v>
      </c>
      <c r="AT10" s="19" t="n">
        <v>0</v>
      </c>
      <c r="AU10" s="19" t="n">
        <v>0</v>
      </c>
      <c r="AV10" s="19" t="n">
        <v>0</v>
      </c>
      <c r="AW10" s="19" t="n">
        <v>0</v>
      </c>
      <c r="AX10" s="19" t="n">
        <v>0</v>
      </c>
      <c r="AY10" s="19" t="n">
        <v>0</v>
      </c>
      <c r="AZ10" s="19" t="n">
        <v>558467.3352985304</v>
      </c>
      <c r="BA10" s="19" t="n">
        <v>558467.3352985304</v>
      </c>
      <c r="BB10" s="19" t="n">
        <v>558467.3352985304</v>
      </c>
      <c r="BC10" s="19" t="n">
        <v>565769.1527136344</v>
      </c>
      <c r="BD10" s="19" t="n">
        <v>565769.1527136344</v>
      </c>
      <c r="BE10" s="19" t="n">
        <v>565769.1527136344</v>
      </c>
      <c r="BF10" s="19" t="n">
        <v>565769.1527136344</v>
      </c>
      <c r="BG10" s="19" t="n">
        <v>565769.1527136344</v>
      </c>
      <c r="BH10" s="19" t="n">
        <v>565769.1527136344</v>
      </c>
      <c r="BI10" s="19" t="n">
        <v>565769.1527136344</v>
      </c>
      <c r="BJ10" s="19" t="n">
        <v>565769.1527136344</v>
      </c>
      <c r="BK10" s="19" t="n">
        <v>565769.1527136344</v>
      </c>
      <c r="BL10" s="19" t="n">
        <v>565769.1527136344</v>
      </c>
      <c r="BM10" s="19" t="n">
        <v>565769.1527136344</v>
      </c>
      <c r="BN10" s="19" t="n">
        <v>565769.1527136344</v>
      </c>
      <c r="BO10" s="19" t="n">
        <v>571854.0005595542</v>
      </c>
      <c r="BP10" s="19" t="n">
        <v>571854.0005595542</v>
      </c>
      <c r="BQ10" s="19" t="n">
        <v>571854.0005595542</v>
      </c>
      <c r="BR10" s="19" t="n">
        <v>571854.0005595542</v>
      </c>
      <c r="BS10" s="19" t="n">
        <v>571854.0005595542</v>
      </c>
      <c r="BT10" s="19" t="n">
        <v>571854.0005595542</v>
      </c>
      <c r="BU10" s="19" t="n">
        <v>571854.0005595542</v>
      </c>
      <c r="BV10" s="19" t="n">
        <v>571854.0005595542</v>
      </c>
      <c r="BW10" s="19" t="n">
        <v>571854.0005595542</v>
      </c>
      <c r="BX10" s="19" t="n">
        <v>571854.0005595542</v>
      </c>
      <c r="BY10" s="19" t="n">
        <v>571854.0005595542</v>
      </c>
      <c r="BZ10" s="19" t="n">
        <v>571854.0005595542</v>
      </c>
      <c r="CA10" s="19" t="n">
        <v>576721.8788362902</v>
      </c>
      <c r="CB10" s="19" t="n">
        <v>576721.8788362902</v>
      </c>
      <c r="CC10" s="19" t="n">
        <v>576721.8788362902</v>
      </c>
      <c r="CD10" s="19" t="n">
        <v>576721.8788362902</v>
      </c>
      <c r="CE10" s="19" t="n">
        <v>576721.8788362902</v>
      </c>
      <c r="CF10" s="19" t="n">
        <v>576721.8788362902</v>
      </c>
      <c r="CG10" s="19" t="n">
        <v>576721.8788362902</v>
      </c>
      <c r="CH10" s="19" t="n">
        <v>576721.8788362902</v>
      </c>
      <c r="CI10" s="19" t="n">
        <v>576721.8788362902</v>
      </c>
      <c r="CJ10" s="19" t="n">
        <v>576721.8788362902</v>
      </c>
      <c r="CK10" s="19" t="n">
        <v>576721.8788362902</v>
      </c>
      <c r="CL10" s="19" t="n">
        <v>576721.8788362902</v>
      </c>
      <c r="CM10" s="19" t="n">
        <v>581589.7571130261</v>
      </c>
      <c r="CN10" s="19" t="n">
        <v>581589.7571130261</v>
      </c>
      <c r="CO10" s="19" t="n">
        <v>581589.7571130261</v>
      </c>
      <c r="CP10" s="19" t="n">
        <v>581589.7571130261</v>
      </c>
      <c r="CQ10" s="19" t="n">
        <v>581589.7571130261</v>
      </c>
      <c r="CR10" s="19" t="n">
        <v>581589.7571130261</v>
      </c>
      <c r="CS10" s="19" t="n">
        <v>581589.7571130261</v>
      </c>
      <c r="CT10" s="19" t="n">
        <v>581589.7571130261</v>
      </c>
      <c r="CU10" s="19" t="n">
        <v>581589.7571130261</v>
      </c>
      <c r="CV10" s="19" t="n">
        <v>581589.7571130261</v>
      </c>
      <c r="CW10" s="19" t="n">
        <v>581589.7571130261</v>
      </c>
      <c r="CX10" s="19" t="n">
        <v>581589.7571130261</v>
      </c>
      <c r="CY10" s="19" t="n">
        <v>586457.635389762</v>
      </c>
      <c r="CZ10" s="19" t="n">
        <v>586457.635389762</v>
      </c>
      <c r="DA10" s="19" t="n">
        <v>586457.635389762</v>
      </c>
      <c r="DB10" s="19" t="n">
        <v>586457.635389762</v>
      </c>
      <c r="DC10" s="19" t="n">
        <v>586457.635389762</v>
      </c>
      <c r="DD10" s="19" t="n">
        <v>586457.635389762</v>
      </c>
      <c r="DE10" s="19" t="n">
        <v>586457.635389762</v>
      </c>
      <c r="DF10" s="19" t="n">
        <v>586457.635389762</v>
      </c>
      <c r="DG10" s="19" t="n">
        <v>586457.635389762</v>
      </c>
      <c r="DH10" s="19" t="n">
        <v>586457.635389762</v>
      </c>
      <c r="DI10" s="19" t="n">
        <v>586457.635389762</v>
      </c>
      <c r="DJ10" s="19" t="n">
        <v>586457.635389762</v>
      </c>
      <c r="DK10" s="19" t="n">
        <v>591325.513666498</v>
      </c>
      <c r="DL10" s="19" t="n">
        <v>591325.513666498</v>
      </c>
      <c r="DM10" s="19" t="n">
        <v>591325.513666498</v>
      </c>
      <c r="DN10" s="19" t="n">
        <v>591325.513666498</v>
      </c>
      <c r="DO10" s="19" t="n">
        <v>591325.513666498</v>
      </c>
      <c r="DP10" s="19" t="n">
        <v>591325.513666498</v>
      </c>
      <c r="DQ10" s="19" t="n">
        <v>591325.513666498</v>
      </c>
      <c r="DR10" s="19" t="n">
        <v>591325.513666498</v>
      </c>
      <c r="DS10" s="19" t="n">
        <v>591325.513666498</v>
      </c>
      <c r="DT10" s="19" t="n">
        <v>591325.513666498</v>
      </c>
      <c r="DU10" s="19" t="n">
        <v>591325.513666498</v>
      </c>
      <c r="DV10" s="19" t="n">
        <v>591325.513666498</v>
      </c>
      <c r="DW10" s="19" t="n">
        <v>620532.7833269137</v>
      </c>
      <c r="DX10" s="19" t="n">
        <v>620532.7833269137</v>
      </c>
      <c r="DY10" s="19" t="n">
        <v>620532.7833269137</v>
      </c>
      <c r="DZ10" s="19" t="n">
        <v>620532.7833269137</v>
      </c>
      <c r="EA10" s="19" t="n">
        <v>620532.7833269137</v>
      </c>
      <c r="EB10" s="19" t="n">
        <v>620532.7833269137</v>
      </c>
      <c r="EC10" s="19" t="n">
        <v>620532.7833269137</v>
      </c>
      <c r="ED10" s="19" t="n">
        <v>620532.7833269137</v>
      </c>
      <c r="EE10" s="19" t="n">
        <v>620532.7833269137</v>
      </c>
      <c r="EF10" s="19" t="n">
        <v>620532.7833269137</v>
      </c>
      <c r="EG10" s="19" t="n">
        <v>620532.7833269137</v>
      </c>
      <c r="EH10" s="19" t="n">
        <v>620532.7833269137</v>
      </c>
      <c r="EI10" s="19" t="n">
        <v>626617.6311728336</v>
      </c>
      <c r="EJ10" s="19" t="n">
        <v>626617.6311728336</v>
      </c>
      <c r="EK10" s="19" t="n">
        <v>626617.6311728336</v>
      </c>
      <c r="EL10" s="19" t="n">
        <v>626617.6311728336</v>
      </c>
      <c r="EM10" s="19" t="n">
        <v>626617.6311728336</v>
      </c>
      <c r="EN10" s="19" t="n">
        <v>626617.6311728336</v>
      </c>
      <c r="EO10" s="19" t="n">
        <v>626617.6311728336</v>
      </c>
      <c r="EP10" s="19" t="n">
        <v>626617.6311728336</v>
      </c>
      <c r="EQ10" s="19" t="n">
        <v>626617.6311728336</v>
      </c>
      <c r="ER10" s="19" t="n">
        <v>626617.6311728336</v>
      </c>
      <c r="ES10" s="19" t="n">
        <v>626617.6311728336</v>
      </c>
      <c r="ET10" s="19" t="n">
        <v>626617.6311728336</v>
      </c>
      <c r="EU10" s="19" t="n">
        <v>632702.4790187534</v>
      </c>
      <c r="EV10" s="19" t="n">
        <v>632702.4790187534</v>
      </c>
      <c r="EW10" s="19" t="n">
        <v>632702.4790187534</v>
      </c>
      <c r="EX10" s="19" t="n">
        <v>632702.4790187534</v>
      </c>
      <c r="EY10" s="19" t="n">
        <v>632702.4790187534</v>
      </c>
      <c r="EZ10" s="19" t="n">
        <v>632702.4790187534</v>
      </c>
      <c r="FA10" s="19" t="n">
        <v>632702.4790187534</v>
      </c>
      <c r="FB10" s="19" t="n">
        <v>632702.4790187534</v>
      </c>
      <c r="FC10" s="19" t="n">
        <v>632702.4790187534</v>
      </c>
      <c r="FD10" s="19" t="n">
        <v>632702.4790187534</v>
      </c>
      <c r="FE10" s="19" t="n">
        <v>632702.4790187534</v>
      </c>
      <c r="FF10" s="19" t="n">
        <v>632702.4790187534</v>
      </c>
      <c r="FG10" s="19" t="n">
        <v>640004.2964338574</v>
      </c>
      <c r="FH10" s="19" t="n">
        <v>640004.2964338574</v>
      </c>
      <c r="FI10" s="19" t="n">
        <v>640004.2964338574</v>
      </c>
      <c r="FJ10" s="19" t="n">
        <v>640004.2964338574</v>
      </c>
      <c r="FK10" s="19" t="n">
        <v>640004.2964338574</v>
      </c>
      <c r="FL10" s="19" t="n">
        <v>640004.2964338574</v>
      </c>
      <c r="FM10" s="19" t="n">
        <v>640004.2964338574</v>
      </c>
      <c r="FN10" s="19" t="n">
        <v>640004.2964338574</v>
      </c>
      <c r="FO10" s="19" t="n">
        <v>640004.2964338574</v>
      </c>
      <c r="FP10" s="19" t="n">
        <v>640004.2964338574</v>
      </c>
      <c r="FQ10" s="19" t="n">
        <v>640004.2964338574</v>
      </c>
      <c r="FR10" s="19" t="n">
        <v>640004.2964338574</v>
      </c>
      <c r="FS10" s="19" t="n">
        <v>646089.1442797773</v>
      </c>
      <c r="FT10" s="19" t="n">
        <v>646089.1442797773</v>
      </c>
      <c r="FU10" s="19" t="n">
        <v>646089.1442797773</v>
      </c>
      <c r="FV10" s="19" t="n">
        <v>646089.1442797773</v>
      </c>
      <c r="FW10" s="19" t="n">
        <v>646089.1442797773</v>
      </c>
      <c r="FX10" s="19" t="n">
        <v>646089.1442797773</v>
      </c>
      <c r="FY10" s="19" t="n">
        <v>646089.1442797773</v>
      </c>
      <c r="FZ10" s="19" t="n">
        <v>646089.1442797773</v>
      </c>
      <c r="GA10" s="19" t="n">
        <v>646089.1442797773</v>
      </c>
      <c r="GB10" s="19" t="n">
        <v>646089.1442797773</v>
      </c>
      <c r="GC10" s="19" t="n">
        <v>646089.1442797773</v>
      </c>
      <c r="GD10" s="19" t="n">
        <v>646089.1442797773</v>
      </c>
      <c r="GE10" s="19" t="n">
        <v>653390.9616948812</v>
      </c>
      <c r="GF10" s="19" t="n">
        <v>653390.9616948812</v>
      </c>
      <c r="GG10" s="19" t="n">
        <v>653390.9616948812</v>
      </c>
      <c r="GH10" s="19" t="n">
        <v>653390.9616948812</v>
      </c>
      <c r="GI10" s="19" t="n">
        <v>653390.9616948812</v>
      </c>
      <c r="GJ10" s="19" t="n">
        <v>653390.9616948812</v>
      </c>
      <c r="GK10" s="19" t="n">
        <v>653390.9616948812</v>
      </c>
      <c r="GL10" s="19" t="n">
        <v>653390.9616948812</v>
      </c>
      <c r="GM10" s="19" t="n">
        <v>653390.9616948812</v>
      </c>
      <c r="GN10" s="19" t="n">
        <v>653390.9616948812</v>
      </c>
      <c r="GO10" s="19" t="n">
        <v>653390.9616948812</v>
      </c>
      <c r="GP10" s="19" t="n">
        <v>653390.9616948812</v>
      </c>
      <c r="GQ10" s="19" t="n">
        <v>659475.8095408011</v>
      </c>
      <c r="GR10" s="19" t="n">
        <v>659475.8095408011</v>
      </c>
      <c r="GS10" s="19" t="n">
        <v>659475.8095408011</v>
      </c>
      <c r="GT10" s="19" t="n">
        <v>659475.8095408011</v>
      </c>
      <c r="GU10" s="19" t="n">
        <v>659475.8095408011</v>
      </c>
      <c r="GV10" s="19" t="n">
        <v>659475.8095408011</v>
      </c>
      <c r="GW10" s="19" t="n">
        <v>659475.8095408011</v>
      </c>
      <c r="GX10" s="19" t="n">
        <v>659475.8095408011</v>
      </c>
      <c r="GY10" s="19" t="n">
        <v>659475.8095408011</v>
      </c>
      <c r="GZ10" s="19" t="n">
        <v>659475.8095408011</v>
      </c>
      <c r="HA10" s="19" t="n">
        <v>659475.8095408011</v>
      </c>
      <c r="HB10" s="19" t="n">
        <v>659475.8095408011</v>
      </c>
      <c r="HC10" s="19" t="n">
        <v>666777.626955905</v>
      </c>
      <c r="HD10" s="19" t="n">
        <v>666777.626955905</v>
      </c>
      <c r="HE10" s="19" t="n">
        <v>666777.626955905</v>
      </c>
      <c r="HF10" s="19" t="n">
        <v>666777.626955905</v>
      </c>
      <c r="HG10" s="19" t="n">
        <v>666777.626955905</v>
      </c>
      <c r="HH10" s="19" t="n">
        <v>666777.626955905</v>
      </c>
      <c r="HI10" s="19" t="n">
        <v>666777.626955905</v>
      </c>
      <c r="HJ10" s="19" t="n">
        <v>666777.626955905</v>
      </c>
      <c r="HK10" s="19" t="n">
        <v>666777.626955905</v>
      </c>
      <c r="HL10" s="19" t="n">
        <v>666777.626955905</v>
      </c>
      <c r="HM10" s="19" t="n">
        <v>666777.626955905</v>
      </c>
      <c r="HN10" s="19" t="n">
        <v>666777.626955905</v>
      </c>
      <c r="HO10" s="19" t="n">
        <v>674079.444371009</v>
      </c>
      <c r="HP10" s="19" t="n">
        <v>674079.444371009</v>
      </c>
      <c r="HQ10" s="19" t="n">
        <v>674079.444371009</v>
      </c>
      <c r="HR10" s="19" t="n">
        <v>674079.444371009</v>
      </c>
      <c r="HS10" s="19" t="n">
        <v>674079.444371009</v>
      </c>
      <c r="HT10" s="19" t="n">
        <v>674079.444371009</v>
      </c>
      <c r="HU10" s="19" t="n">
        <v>674079.444371009</v>
      </c>
      <c r="HV10" s="19" t="n">
        <v>674079.444371009</v>
      </c>
      <c r="HW10" s="19" t="n">
        <v>674079.444371009</v>
      </c>
      <c r="HX10" s="19" t="n">
        <v>674079.444371009</v>
      </c>
      <c r="HY10" s="19" t="n">
        <v>674079.444371009</v>
      </c>
      <c r="HZ10" s="19" t="n">
        <v>674079.444371009</v>
      </c>
      <c r="IA10" s="19" t="n">
        <v>681381.2617861128</v>
      </c>
      <c r="IB10" s="19" t="n">
        <v>681381.2617861128</v>
      </c>
      <c r="IC10" s="19" t="n">
        <v>681381.2617861128</v>
      </c>
      <c r="ID10" s="19" t="n">
        <v>681381.2617861128</v>
      </c>
      <c r="IE10" s="19" t="n">
        <v>681381.2617861128</v>
      </c>
      <c r="IF10" s="19" t="n">
        <v>681381.2617861128</v>
      </c>
      <c r="IG10" s="19" t="n">
        <v>681381.2617861128</v>
      </c>
      <c r="IH10" s="19" t="n">
        <v>681381.2617861128</v>
      </c>
      <c r="II10" s="19" t="n">
        <v>681381.2617861128</v>
      </c>
      <c r="IJ10" s="19" t="n">
        <v>681381.2617861128</v>
      </c>
      <c r="IK10" s="19" t="n">
        <v>681381.2617861128</v>
      </c>
      <c r="IL10" s="19" t="n">
        <v>681381.2617861128</v>
      </c>
      <c r="IM10" s="19" t="n">
        <v>688683.0792012167</v>
      </c>
      <c r="IN10" s="19" t="n">
        <v>688683.0792012167</v>
      </c>
      <c r="IO10" s="19" t="n">
        <v>688683.0792012167</v>
      </c>
      <c r="IP10" s="19" t="n">
        <v>688683.0792012167</v>
      </c>
      <c r="IQ10" s="19" t="n">
        <v>688683.0792012167</v>
      </c>
      <c r="IR10" s="19" t="n">
        <v>688683.0792012167</v>
      </c>
      <c r="IS10" s="19" t="n">
        <v>688683.0792012167</v>
      </c>
      <c r="IT10" s="19" t="n">
        <v>688683.0792012167</v>
      </c>
      <c r="IU10" s="19" t="n">
        <v>688683.0792012167</v>
      </c>
      <c r="IV10" s="19" t="n">
        <v>688683.0792012167</v>
      </c>
      <c r="IW10" s="19" t="n">
        <v>688683.0792012167</v>
      </c>
      <c r="IX10" s="19" t="n">
        <v>688683.0792012167</v>
      </c>
      <c r="IY10" s="19" t="n">
        <v>695984.8966163206</v>
      </c>
      <c r="IZ10" s="19" t="n">
        <v>695984.8966163206</v>
      </c>
      <c r="JA10" s="19" t="n">
        <v>695984.8966163206</v>
      </c>
      <c r="JB10" s="19" t="n">
        <v>695984.8966163206</v>
      </c>
      <c r="JC10" s="19" t="n">
        <v>695984.8966163206</v>
      </c>
      <c r="JD10" s="19" t="n">
        <v>695984.8966163206</v>
      </c>
      <c r="JE10" s="19" t="n">
        <v>695984.8966163206</v>
      </c>
      <c r="JF10" s="19" t="n">
        <v>695984.8966163206</v>
      </c>
      <c r="JG10" s="19" t="n">
        <v>695984.8966163206</v>
      </c>
      <c r="JH10" s="19" t="n">
        <v>695984.8966163206</v>
      </c>
      <c r="JI10" s="19" t="n">
        <v>695984.8966163206</v>
      </c>
      <c r="JJ10" s="19" t="n">
        <v>695984.8966163206</v>
      </c>
      <c r="JK10" s="19" t="n">
        <v>703286.7140314245</v>
      </c>
      <c r="JL10" s="19" t="n">
        <v>703286.7140314245</v>
      </c>
      <c r="JM10" s="19" t="n">
        <v>703286.7140314245</v>
      </c>
      <c r="JN10" s="19" t="n">
        <v>703286.7140314245</v>
      </c>
      <c r="JO10" s="19" t="n">
        <v>703286.7140314245</v>
      </c>
      <c r="JP10" s="19" t="n">
        <v>703286.7140314245</v>
      </c>
      <c r="JQ10" s="19" t="n">
        <v>703286.7140314245</v>
      </c>
      <c r="JR10" s="19" t="n">
        <v>703286.7140314245</v>
      </c>
      <c r="JS10" s="19" t="n">
        <v>703286.7140314245</v>
      </c>
      <c r="JT10" s="19" t="n">
        <v>703286.7140314245</v>
      </c>
      <c r="JU10" s="19" t="n">
        <v>703286.7140314245</v>
      </c>
      <c r="JV10" s="19" t="n">
        <v>703286.7140314245</v>
      </c>
      <c r="JW10" s="19" t="n">
        <v>711805.5010157124</v>
      </c>
      <c r="JX10" s="19" t="n">
        <v>711805.5010157124</v>
      </c>
      <c r="JY10" s="19" t="n">
        <v>711805.5010157124</v>
      </c>
      <c r="JZ10" s="19" t="n">
        <v>711805.5010157124</v>
      </c>
      <c r="KA10" s="19" t="n">
        <v>711805.5010157124</v>
      </c>
      <c r="KB10" s="19" t="n">
        <v>711805.5010157124</v>
      </c>
      <c r="KC10" s="19" t="n">
        <v>711805.5010157124</v>
      </c>
      <c r="KD10" s="19" t="n">
        <v>711805.5010157124</v>
      </c>
      <c r="KE10" s="19" t="n">
        <v>711805.5010157124</v>
      </c>
      <c r="KF10" s="19" t="n">
        <v>711805.5010157124</v>
      </c>
      <c r="KG10" s="19" t="n">
        <v>711805.5010157124</v>
      </c>
      <c r="KH10" s="19" t="n">
        <v>711805.5010157124</v>
      </c>
      <c r="KI10" s="19" t="n">
        <v>720324.2880000004</v>
      </c>
      <c r="KJ10" s="19" t="n">
        <v>720324.2880000004</v>
      </c>
      <c r="KK10" s="19" t="n">
        <v>720324.2880000004</v>
      </c>
      <c r="KL10" s="19" t="n">
        <v>720324.2880000004</v>
      </c>
      <c r="KM10" s="19" t="n">
        <v>720324.2880000004</v>
      </c>
      <c r="KN10" s="19" t="n">
        <v>720324.2880000004</v>
      </c>
      <c r="KO10" s="19" t="n">
        <v>720324.2880000004</v>
      </c>
      <c r="KP10" s="19" t="n">
        <v>720324.2880000004</v>
      </c>
      <c r="KQ10" s="19" t="n">
        <v>720324.2880000004</v>
      </c>
      <c r="KR10" s="19" t="n">
        <v>720324.2880000004</v>
      </c>
      <c r="KS10" s="19" t="n">
        <v>720324.2880000004</v>
      </c>
      <c r="KT10" s="19" t="n">
        <v>720324.2880000004</v>
      </c>
      <c r="KU10" s="19" t="n">
        <v>720324.2880000004</v>
      </c>
      <c r="KV10" s="19" t="n">
        <v>720324.2880000004</v>
      </c>
      <c r="KW10" s="19" t="n">
        <v>720324.2880000004</v>
      </c>
      <c r="KX10" s="19" t="n">
        <v>720324.2880000004</v>
      </c>
      <c r="KY10" s="19" t="n">
        <v>720324.2880000004</v>
      </c>
      <c r="KZ10" s="19" t="n">
        <v>720324.2880000004</v>
      </c>
      <c r="LA10" s="19" t="n">
        <v>720324.2880000004</v>
      </c>
      <c r="LB10" s="19" t="n">
        <v>720324.2880000004</v>
      </c>
      <c r="LC10" s="19" t="n">
        <v>720324.2880000004</v>
      </c>
      <c r="LD10" s="19" t="n">
        <v>0</v>
      </c>
      <c r="LE10" s="19" t="n">
        <v>0</v>
      </c>
      <c r="LF10" s="19" t="n">
        <v>0</v>
      </c>
      <c r="LG10" s="19" t="n">
        <v>0</v>
      </c>
      <c r="LH10" s="19" t="n">
        <v>0</v>
      </c>
      <c r="LI10" s="19" t="n">
        <v>0</v>
      </c>
    </row>
    <row r="11">
      <c r="B11" s="17" t="inlineStr">
        <is>
          <t>IPM mensual</t>
        </is>
      </c>
      <c r="D11" s="26">
        <f>((1+p_ipm)^(1/12)-1)*D7</f>
        <v/>
      </c>
      <c r="E11" s="26">
        <f>((1+p_ipm)^(1/12)-1)*E7</f>
        <v/>
      </c>
      <c r="F11" s="26">
        <f>((1+p_ipm)^(1/12)-1)*F7</f>
        <v/>
      </c>
      <c r="G11" s="26">
        <f>((1+p_ipm)^(1/12)-1)*G7</f>
        <v/>
      </c>
      <c r="H11" s="26">
        <f>((1+p_ipm)^(1/12)-1)*H7</f>
        <v/>
      </c>
      <c r="I11" s="26">
        <f>((1+p_ipm)^(1/12)-1)*I7</f>
        <v/>
      </c>
      <c r="J11" s="26">
        <f>((1+p_ipm)^(1/12)-1)*J7</f>
        <v/>
      </c>
      <c r="K11" s="26">
        <f>((1+p_ipm)^(1/12)-1)*K7</f>
        <v/>
      </c>
      <c r="L11" s="26">
        <f>((1+p_ipm)^(1/12)-1)*L7</f>
        <v/>
      </c>
      <c r="M11" s="26">
        <f>((1+p_ipm)^(1/12)-1)*M7</f>
        <v/>
      </c>
      <c r="N11" s="26">
        <f>((1+p_ipm)^(1/12)-1)*N7</f>
        <v/>
      </c>
      <c r="O11" s="26">
        <f>((1+p_ipm)^(1/12)-1)*O7</f>
        <v/>
      </c>
      <c r="P11" s="26">
        <f>((1+p_ipm)^(1/12)-1)*P7</f>
        <v/>
      </c>
      <c r="Q11" s="26">
        <f>((1+p_ipm)^(1/12)-1)*Q7</f>
        <v/>
      </c>
      <c r="R11" s="26">
        <f>((1+p_ipm)^(1/12)-1)*R7</f>
        <v/>
      </c>
      <c r="S11" s="26">
        <f>((1+p_ipm)^(1/12)-1)*S7</f>
        <v/>
      </c>
      <c r="T11" s="26">
        <f>((1+p_ipm)^(1/12)-1)*T7</f>
        <v/>
      </c>
      <c r="U11" s="26">
        <f>((1+p_ipm)^(1/12)-1)*U7</f>
        <v/>
      </c>
      <c r="V11" s="26">
        <f>((1+p_ipm)^(1/12)-1)*V7</f>
        <v/>
      </c>
      <c r="W11" s="26">
        <f>((1+p_ipm)^(1/12)-1)*W7</f>
        <v/>
      </c>
      <c r="X11" s="26">
        <f>((1+p_ipm)^(1/12)-1)*X7</f>
        <v/>
      </c>
      <c r="Y11" s="26">
        <f>((1+p_ipm)^(1/12)-1)*Y7</f>
        <v/>
      </c>
      <c r="Z11" s="26">
        <f>((1+p_ipm)^(1/12)-1)*Z7</f>
        <v/>
      </c>
      <c r="AA11" s="26">
        <f>((1+p_ipm)^(1/12)-1)*AA7</f>
        <v/>
      </c>
      <c r="AB11" s="26">
        <f>((1+p_ipm)^(1/12)-1)*AB7</f>
        <v/>
      </c>
      <c r="AC11" s="26">
        <f>((1+p_ipm)^(1/12)-1)*AC7</f>
        <v/>
      </c>
      <c r="AD11" s="26">
        <f>((1+p_ipm)^(1/12)-1)*AD7</f>
        <v/>
      </c>
      <c r="AE11" s="26">
        <f>((1+p_ipm)^(1/12)-1)*AE7</f>
        <v/>
      </c>
      <c r="AF11" s="26">
        <f>((1+p_ipm)^(1/12)-1)*AF7</f>
        <v/>
      </c>
      <c r="AG11" s="26">
        <f>((1+p_ipm)^(1/12)-1)*AG7</f>
        <v/>
      </c>
      <c r="AH11" s="26">
        <f>((1+p_ipm)^(1/12)-1)*AH7</f>
        <v/>
      </c>
      <c r="AI11" s="26">
        <f>((1+p_ipm)^(1/12)-1)*AI7</f>
        <v/>
      </c>
      <c r="AJ11" s="26">
        <f>((1+p_ipm)^(1/12)-1)*AJ7</f>
        <v/>
      </c>
      <c r="AK11" s="26">
        <f>((1+p_ipm)^(1/12)-1)*AK7</f>
        <v/>
      </c>
      <c r="AL11" s="26">
        <f>((1+p_ipm)^(1/12)-1)*AL7</f>
        <v/>
      </c>
      <c r="AM11" s="26">
        <f>((1+p_ipm)^(1/12)-1)*AM7</f>
        <v/>
      </c>
      <c r="AN11" s="26">
        <f>((1+p_ipm)^(1/12)-1)*AN7</f>
        <v/>
      </c>
      <c r="AO11" s="26">
        <f>((1+p_ipm)^(1/12)-1)*AO7</f>
        <v/>
      </c>
      <c r="AP11" s="26">
        <f>((1+p_ipm)^(1/12)-1)*AP7</f>
        <v/>
      </c>
      <c r="AQ11" s="26">
        <f>((1+p_ipm)^(1/12)-1)*AQ7</f>
        <v/>
      </c>
      <c r="AR11" s="26">
        <f>((1+p_ipm)^(1/12)-1)*AR7</f>
        <v/>
      </c>
      <c r="AS11" s="26">
        <f>((1+p_ipm)^(1/12)-1)*AS7</f>
        <v/>
      </c>
      <c r="AT11" s="26">
        <f>((1+p_ipm)^(1/12)-1)*AT7</f>
        <v/>
      </c>
      <c r="AU11" s="26">
        <f>((1+p_ipm)^(1/12)-1)*AU7</f>
        <v/>
      </c>
      <c r="AV11" s="26">
        <f>((1+p_ipm)^(1/12)-1)*AV7</f>
        <v/>
      </c>
      <c r="AW11" s="26">
        <f>((1+p_ipm)^(1/12)-1)*AW7</f>
        <v/>
      </c>
      <c r="AX11" s="26">
        <f>((1+p_ipm)^(1/12)-1)*AX7</f>
        <v/>
      </c>
      <c r="AY11" s="26">
        <f>((1+p_ipm)^(1/12)-1)*AY7</f>
        <v/>
      </c>
      <c r="AZ11" s="26">
        <f>((1+p_ipm)^(1/12)-1)*AZ7</f>
        <v/>
      </c>
      <c r="BA11" s="26">
        <f>((1+p_ipm)^(1/12)-1)*BA7</f>
        <v/>
      </c>
      <c r="BB11" s="26">
        <f>((1+p_ipm)^(1/12)-1)*BB7</f>
        <v/>
      </c>
      <c r="BC11" s="26">
        <f>((1+p_ipm)^(1/12)-1)*BC7</f>
        <v/>
      </c>
      <c r="BD11" s="26">
        <f>((1+p_ipm)^(1/12)-1)*BD7</f>
        <v/>
      </c>
      <c r="BE11" s="26">
        <f>((1+p_ipm)^(1/12)-1)*BE7</f>
        <v/>
      </c>
      <c r="BF11" s="26">
        <f>((1+p_ipm)^(1/12)-1)*BF7</f>
        <v/>
      </c>
      <c r="BG11" s="26">
        <f>((1+p_ipm)^(1/12)-1)*BG7</f>
        <v/>
      </c>
      <c r="BH11" s="26">
        <f>((1+p_ipm)^(1/12)-1)*BH7</f>
        <v/>
      </c>
      <c r="BI11" s="26">
        <f>((1+p_ipm)^(1/12)-1)*BI7</f>
        <v/>
      </c>
      <c r="BJ11" s="26">
        <f>((1+p_ipm)^(1/12)-1)*BJ7</f>
        <v/>
      </c>
      <c r="BK11" s="26">
        <f>((1+p_ipm)^(1/12)-1)*BK7</f>
        <v/>
      </c>
      <c r="BL11" s="26">
        <f>((1+p_ipm)^(1/12)-1)*BL7</f>
        <v/>
      </c>
      <c r="BM11" s="26">
        <f>((1+p_ipm)^(1/12)-1)*BM7</f>
        <v/>
      </c>
      <c r="BN11" s="26">
        <f>((1+p_ipm)^(1/12)-1)*BN7</f>
        <v/>
      </c>
      <c r="BO11" s="26">
        <f>((1+p_ipm)^(1/12)-1)*BO7</f>
        <v/>
      </c>
      <c r="BP11" s="26">
        <f>((1+p_ipm)^(1/12)-1)*BP7</f>
        <v/>
      </c>
      <c r="BQ11" s="26">
        <f>((1+p_ipm)^(1/12)-1)*BQ7</f>
        <v/>
      </c>
      <c r="BR11" s="26">
        <f>((1+p_ipm)^(1/12)-1)*BR7</f>
        <v/>
      </c>
      <c r="BS11" s="26">
        <f>((1+p_ipm)^(1/12)-1)*BS7</f>
        <v/>
      </c>
      <c r="BT11" s="26">
        <f>((1+p_ipm)^(1/12)-1)*BT7</f>
        <v/>
      </c>
      <c r="BU11" s="26">
        <f>((1+p_ipm)^(1/12)-1)*BU7</f>
        <v/>
      </c>
      <c r="BV11" s="26">
        <f>((1+p_ipm)^(1/12)-1)*BV7</f>
        <v/>
      </c>
      <c r="BW11" s="26">
        <f>((1+p_ipm)^(1/12)-1)*BW7</f>
        <v/>
      </c>
      <c r="BX11" s="26">
        <f>((1+p_ipm)^(1/12)-1)*BX7</f>
        <v/>
      </c>
      <c r="BY11" s="26">
        <f>((1+p_ipm)^(1/12)-1)*BY7</f>
        <v/>
      </c>
      <c r="BZ11" s="26">
        <f>((1+p_ipm)^(1/12)-1)*BZ7</f>
        <v/>
      </c>
      <c r="CA11" s="26">
        <f>((1+p_ipm)^(1/12)-1)*CA7</f>
        <v/>
      </c>
      <c r="CB11" s="26">
        <f>((1+p_ipm)^(1/12)-1)*CB7</f>
        <v/>
      </c>
      <c r="CC11" s="26">
        <f>((1+p_ipm)^(1/12)-1)*CC7</f>
        <v/>
      </c>
      <c r="CD11" s="26">
        <f>((1+p_ipm)^(1/12)-1)*CD7</f>
        <v/>
      </c>
      <c r="CE11" s="26">
        <f>((1+p_ipm)^(1/12)-1)*CE7</f>
        <v/>
      </c>
      <c r="CF11" s="26">
        <f>((1+p_ipm)^(1/12)-1)*CF7</f>
        <v/>
      </c>
      <c r="CG11" s="26">
        <f>((1+p_ipm)^(1/12)-1)*CG7</f>
        <v/>
      </c>
      <c r="CH11" s="26">
        <f>((1+p_ipm)^(1/12)-1)*CH7</f>
        <v/>
      </c>
      <c r="CI11" s="26">
        <f>((1+p_ipm)^(1/12)-1)*CI7</f>
        <v/>
      </c>
      <c r="CJ11" s="26">
        <f>((1+p_ipm)^(1/12)-1)*CJ7</f>
        <v/>
      </c>
      <c r="CK11" s="26">
        <f>((1+p_ipm)^(1/12)-1)*CK7</f>
        <v/>
      </c>
      <c r="CL11" s="26">
        <f>((1+p_ipm)^(1/12)-1)*CL7</f>
        <v/>
      </c>
      <c r="CM11" s="26">
        <f>((1+p_ipm)^(1/12)-1)*CM7</f>
        <v/>
      </c>
      <c r="CN11" s="26">
        <f>((1+p_ipm)^(1/12)-1)*CN7</f>
        <v/>
      </c>
      <c r="CO11" s="26">
        <f>((1+p_ipm)^(1/12)-1)*CO7</f>
        <v/>
      </c>
      <c r="CP11" s="26">
        <f>((1+p_ipm)^(1/12)-1)*CP7</f>
        <v/>
      </c>
      <c r="CQ11" s="26">
        <f>((1+p_ipm)^(1/12)-1)*CQ7</f>
        <v/>
      </c>
      <c r="CR11" s="26">
        <f>((1+p_ipm)^(1/12)-1)*CR7</f>
        <v/>
      </c>
      <c r="CS11" s="26">
        <f>((1+p_ipm)^(1/12)-1)*CS7</f>
        <v/>
      </c>
      <c r="CT11" s="26">
        <f>((1+p_ipm)^(1/12)-1)*CT7</f>
        <v/>
      </c>
      <c r="CU11" s="26">
        <f>((1+p_ipm)^(1/12)-1)*CU7</f>
        <v/>
      </c>
      <c r="CV11" s="26">
        <f>((1+p_ipm)^(1/12)-1)*CV7</f>
        <v/>
      </c>
      <c r="CW11" s="26">
        <f>((1+p_ipm)^(1/12)-1)*CW7</f>
        <v/>
      </c>
      <c r="CX11" s="26">
        <f>((1+p_ipm)^(1/12)-1)*CX7</f>
        <v/>
      </c>
      <c r="CY11" s="26">
        <f>((1+p_ipm)^(1/12)-1)*CY7</f>
        <v/>
      </c>
      <c r="CZ11" s="26">
        <f>((1+p_ipm)^(1/12)-1)*CZ7</f>
        <v/>
      </c>
      <c r="DA11" s="26">
        <f>((1+p_ipm)^(1/12)-1)*DA7</f>
        <v/>
      </c>
      <c r="DB11" s="26">
        <f>((1+p_ipm)^(1/12)-1)*DB7</f>
        <v/>
      </c>
      <c r="DC11" s="26">
        <f>((1+p_ipm)^(1/12)-1)*DC7</f>
        <v/>
      </c>
      <c r="DD11" s="26">
        <f>((1+p_ipm)^(1/12)-1)*DD7</f>
        <v/>
      </c>
      <c r="DE11" s="26">
        <f>((1+p_ipm)^(1/12)-1)*DE7</f>
        <v/>
      </c>
      <c r="DF11" s="26">
        <f>((1+p_ipm)^(1/12)-1)*DF7</f>
        <v/>
      </c>
      <c r="DG11" s="26">
        <f>((1+p_ipm)^(1/12)-1)*DG7</f>
        <v/>
      </c>
      <c r="DH11" s="26">
        <f>((1+p_ipm)^(1/12)-1)*DH7</f>
        <v/>
      </c>
      <c r="DI11" s="26">
        <f>((1+p_ipm)^(1/12)-1)*DI7</f>
        <v/>
      </c>
      <c r="DJ11" s="26">
        <f>((1+p_ipm)^(1/12)-1)*DJ7</f>
        <v/>
      </c>
      <c r="DK11" s="26">
        <f>((1+p_ipm)^(1/12)-1)*DK7</f>
        <v/>
      </c>
      <c r="DL11" s="26">
        <f>((1+p_ipm)^(1/12)-1)*DL7</f>
        <v/>
      </c>
      <c r="DM11" s="26">
        <f>((1+p_ipm)^(1/12)-1)*DM7</f>
        <v/>
      </c>
      <c r="DN11" s="26">
        <f>((1+p_ipm)^(1/12)-1)*DN7</f>
        <v/>
      </c>
      <c r="DO11" s="26">
        <f>((1+p_ipm)^(1/12)-1)*DO7</f>
        <v/>
      </c>
      <c r="DP11" s="26">
        <f>((1+p_ipm)^(1/12)-1)*DP7</f>
        <v/>
      </c>
      <c r="DQ11" s="26">
        <f>((1+p_ipm)^(1/12)-1)*DQ7</f>
        <v/>
      </c>
      <c r="DR11" s="26">
        <f>((1+p_ipm)^(1/12)-1)*DR7</f>
        <v/>
      </c>
      <c r="DS11" s="26">
        <f>((1+p_ipm)^(1/12)-1)*DS7</f>
        <v/>
      </c>
      <c r="DT11" s="26">
        <f>((1+p_ipm)^(1/12)-1)*DT7</f>
        <v/>
      </c>
      <c r="DU11" s="26">
        <f>((1+p_ipm)^(1/12)-1)*DU7</f>
        <v/>
      </c>
      <c r="DV11" s="26">
        <f>((1+p_ipm)^(1/12)-1)*DV7</f>
        <v/>
      </c>
      <c r="DW11" s="26">
        <f>((1+p_ipm)^(1/12)-1)*DW7</f>
        <v/>
      </c>
      <c r="DX11" s="26">
        <f>((1+p_ipm)^(1/12)-1)*DX7</f>
        <v/>
      </c>
      <c r="DY11" s="26">
        <f>((1+p_ipm)^(1/12)-1)*DY7</f>
        <v/>
      </c>
      <c r="DZ11" s="26">
        <f>((1+p_ipm)^(1/12)-1)*DZ7</f>
        <v/>
      </c>
      <c r="EA11" s="26">
        <f>((1+p_ipm)^(1/12)-1)*EA7</f>
        <v/>
      </c>
      <c r="EB11" s="26">
        <f>((1+p_ipm)^(1/12)-1)*EB7</f>
        <v/>
      </c>
      <c r="EC11" s="26">
        <f>((1+p_ipm)^(1/12)-1)*EC7</f>
        <v/>
      </c>
      <c r="ED11" s="26">
        <f>((1+p_ipm)^(1/12)-1)*ED7</f>
        <v/>
      </c>
      <c r="EE11" s="26">
        <f>((1+p_ipm)^(1/12)-1)*EE7</f>
        <v/>
      </c>
      <c r="EF11" s="26">
        <f>((1+p_ipm)^(1/12)-1)*EF7</f>
        <v/>
      </c>
      <c r="EG11" s="26">
        <f>((1+p_ipm)^(1/12)-1)*EG7</f>
        <v/>
      </c>
      <c r="EH11" s="26">
        <f>((1+p_ipm)^(1/12)-1)*EH7</f>
        <v/>
      </c>
      <c r="EI11" s="26">
        <f>((1+p_ipm)^(1/12)-1)*EI7</f>
        <v/>
      </c>
      <c r="EJ11" s="26">
        <f>((1+p_ipm)^(1/12)-1)*EJ7</f>
        <v/>
      </c>
      <c r="EK11" s="26">
        <f>((1+p_ipm)^(1/12)-1)*EK7</f>
        <v/>
      </c>
      <c r="EL11" s="26">
        <f>((1+p_ipm)^(1/12)-1)*EL7</f>
        <v/>
      </c>
      <c r="EM11" s="26">
        <f>((1+p_ipm)^(1/12)-1)*EM7</f>
        <v/>
      </c>
      <c r="EN11" s="26">
        <f>((1+p_ipm)^(1/12)-1)*EN7</f>
        <v/>
      </c>
      <c r="EO11" s="26">
        <f>((1+p_ipm)^(1/12)-1)*EO7</f>
        <v/>
      </c>
      <c r="EP11" s="26">
        <f>((1+p_ipm)^(1/12)-1)*EP7</f>
        <v/>
      </c>
      <c r="EQ11" s="26">
        <f>((1+p_ipm)^(1/12)-1)*EQ7</f>
        <v/>
      </c>
      <c r="ER11" s="26">
        <f>((1+p_ipm)^(1/12)-1)*ER7</f>
        <v/>
      </c>
      <c r="ES11" s="26">
        <f>((1+p_ipm)^(1/12)-1)*ES7</f>
        <v/>
      </c>
      <c r="ET11" s="26">
        <f>((1+p_ipm)^(1/12)-1)*ET7</f>
        <v/>
      </c>
      <c r="EU11" s="26">
        <f>((1+p_ipm)^(1/12)-1)*EU7</f>
        <v/>
      </c>
      <c r="EV11" s="26">
        <f>((1+p_ipm)^(1/12)-1)*EV7</f>
        <v/>
      </c>
      <c r="EW11" s="26">
        <f>((1+p_ipm)^(1/12)-1)*EW7</f>
        <v/>
      </c>
      <c r="EX11" s="26">
        <f>((1+p_ipm)^(1/12)-1)*EX7</f>
        <v/>
      </c>
      <c r="EY11" s="26">
        <f>((1+p_ipm)^(1/12)-1)*EY7</f>
        <v/>
      </c>
      <c r="EZ11" s="26">
        <f>((1+p_ipm)^(1/12)-1)*EZ7</f>
        <v/>
      </c>
      <c r="FA11" s="26">
        <f>((1+p_ipm)^(1/12)-1)*FA7</f>
        <v/>
      </c>
      <c r="FB11" s="26">
        <f>((1+p_ipm)^(1/12)-1)*FB7</f>
        <v/>
      </c>
      <c r="FC11" s="26">
        <f>((1+p_ipm)^(1/12)-1)*FC7</f>
        <v/>
      </c>
      <c r="FD11" s="26">
        <f>((1+p_ipm)^(1/12)-1)*FD7</f>
        <v/>
      </c>
      <c r="FE11" s="26">
        <f>((1+p_ipm)^(1/12)-1)*FE7</f>
        <v/>
      </c>
      <c r="FF11" s="26">
        <f>((1+p_ipm)^(1/12)-1)*FF7</f>
        <v/>
      </c>
      <c r="FG11" s="26">
        <f>((1+p_ipm)^(1/12)-1)*FG7</f>
        <v/>
      </c>
      <c r="FH11" s="26">
        <f>((1+p_ipm)^(1/12)-1)*FH7</f>
        <v/>
      </c>
      <c r="FI11" s="26">
        <f>((1+p_ipm)^(1/12)-1)*FI7</f>
        <v/>
      </c>
      <c r="FJ11" s="26">
        <f>((1+p_ipm)^(1/12)-1)*FJ7</f>
        <v/>
      </c>
      <c r="FK11" s="26">
        <f>((1+p_ipm)^(1/12)-1)*FK7</f>
        <v/>
      </c>
      <c r="FL11" s="26">
        <f>((1+p_ipm)^(1/12)-1)*FL7</f>
        <v/>
      </c>
      <c r="FM11" s="26">
        <f>((1+p_ipm)^(1/12)-1)*FM7</f>
        <v/>
      </c>
      <c r="FN11" s="26">
        <f>((1+p_ipm)^(1/12)-1)*FN7</f>
        <v/>
      </c>
      <c r="FO11" s="26">
        <f>((1+p_ipm)^(1/12)-1)*FO7</f>
        <v/>
      </c>
      <c r="FP11" s="26">
        <f>((1+p_ipm)^(1/12)-1)*FP7</f>
        <v/>
      </c>
      <c r="FQ11" s="26">
        <f>((1+p_ipm)^(1/12)-1)*FQ7</f>
        <v/>
      </c>
      <c r="FR11" s="26">
        <f>((1+p_ipm)^(1/12)-1)*FR7</f>
        <v/>
      </c>
      <c r="FS11" s="26">
        <f>((1+p_ipm)^(1/12)-1)*FS7</f>
        <v/>
      </c>
      <c r="FT11" s="26">
        <f>((1+p_ipm)^(1/12)-1)*FT7</f>
        <v/>
      </c>
      <c r="FU11" s="26">
        <f>((1+p_ipm)^(1/12)-1)*FU7</f>
        <v/>
      </c>
      <c r="FV11" s="26">
        <f>((1+p_ipm)^(1/12)-1)*FV7</f>
        <v/>
      </c>
      <c r="FW11" s="26">
        <f>((1+p_ipm)^(1/12)-1)*FW7</f>
        <v/>
      </c>
      <c r="FX11" s="26">
        <f>((1+p_ipm)^(1/12)-1)*FX7</f>
        <v/>
      </c>
      <c r="FY11" s="26">
        <f>((1+p_ipm)^(1/12)-1)*FY7</f>
        <v/>
      </c>
      <c r="FZ11" s="26">
        <f>((1+p_ipm)^(1/12)-1)*FZ7</f>
        <v/>
      </c>
      <c r="GA11" s="26">
        <f>((1+p_ipm)^(1/12)-1)*GA7</f>
        <v/>
      </c>
      <c r="GB11" s="26">
        <f>((1+p_ipm)^(1/12)-1)*GB7</f>
        <v/>
      </c>
      <c r="GC11" s="26">
        <f>((1+p_ipm)^(1/12)-1)*GC7</f>
        <v/>
      </c>
      <c r="GD11" s="26">
        <f>((1+p_ipm)^(1/12)-1)*GD7</f>
        <v/>
      </c>
      <c r="GE11" s="26">
        <f>((1+p_ipm)^(1/12)-1)*GE7</f>
        <v/>
      </c>
      <c r="GF11" s="26">
        <f>((1+p_ipm)^(1/12)-1)*GF7</f>
        <v/>
      </c>
      <c r="GG11" s="26">
        <f>((1+p_ipm)^(1/12)-1)*GG7</f>
        <v/>
      </c>
      <c r="GH11" s="26">
        <f>((1+p_ipm)^(1/12)-1)*GH7</f>
        <v/>
      </c>
      <c r="GI11" s="26">
        <f>((1+p_ipm)^(1/12)-1)*GI7</f>
        <v/>
      </c>
      <c r="GJ11" s="26">
        <f>((1+p_ipm)^(1/12)-1)*GJ7</f>
        <v/>
      </c>
      <c r="GK11" s="26">
        <f>((1+p_ipm)^(1/12)-1)*GK7</f>
        <v/>
      </c>
      <c r="GL11" s="26">
        <f>((1+p_ipm)^(1/12)-1)*GL7</f>
        <v/>
      </c>
      <c r="GM11" s="26">
        <f>((1+p_ipm)^(1/12)-1)*GM7</f>
        <v/>
      </c>
      <c r="GN11" s="26">
        <f>((1+p_ipm)^(1/12)-1)*GN7</f>
        <v/>
      </c>
      <c r="GO11" s="26">
        <f>((1+p_ipm)^(1/12)-1)*GO7</f>
        <v/>
      </c>
      <c r="GP11" s="26">
        <f>((1+p_ipm)^(1/12)-1)*GP7</f>
        <v/>
      </c>
      <c r="GQ11" s="26">
        <f>((1+p_ipm)^(1/12)-1)*GQ7</f>
        <v/>
      </c>
      <c r="GR11" s="26">
        <f>((1+p_ipm)^(1/12)-1)*GR7</f>
        <v/>
      </c>
      <c r="GS11" s="26">
        <f>((1+p_ipm)^(1/12)-1)*GS7</f>
        <v/>
      </c>
      <c r="GT11" s="26">
        <f>((1+p_ipm)^(1/12)-1)*GT7</f>
        <v/>
      </c>
      <c r="GU11" s="26">
        <f>((1+p_ipm)^(1/12)-1)*GU7</f>
        <v/>
      </c>
      <c r="GV11" s="26">
        <f>((1+p_ipm)^(1/12)-1)*GV7</f>
        <v/>
      </c>
      <c r="GW11" s="26">
        <f>((1+p_ipm)^(1/12)-1)*GW7</f>
        <v/>
      </c>
      <c r="GX11" s="26">
        <f>((1+p_ipm)^(1/12)-1)*GX7</f>
        <v/>
      </c>
      <c r="GY11" s="26">
        <f>((1+p_ipm)^(1/12)-1)*GY7</f>
        <v/>
      </c>
      <c r="GZ11" s="26">
        <f>((1+p_ipm)^(1/12)-1)*GZ7</f>
        <v/>
      </c>
      <c r="HA11" s="26">
        <f>((1+p_ipm)^(1/12)-1)*HA7</f>
        <v/>
      </c>
      <c r="HB11" s="26">
        <f>((1+p_ipm)^(1/12)-1)*HB7</f>
        <v/>
      </c>
      <c r="HC11" s="26">
        <f>((1+p_ipm)^(1/12)-1)*HC7</f>
        <v/>
      </c>
      <c r="HD11" s="26">
        <f>((1+p_ipm)^(1/12)-1)*HD7</f>
        <v/>
      </c>
      <c r="HE11" s="26">
        <f>((1+p_ipm)^(1/12)-1)*HE7</f>
        <v/>
      </c>
      <c r="HF11" s="26">
        <f>((1+p_ipm)^(1/12)-1)*HF7</f>
        <v/>
      </c>
      <c r="HG11" s="26">
        <f>((1+p_ipm)^(1/12)-1)*HG7</f>
        <v/>
      </c>
      <c r="HH11" s="26">
        <f>((1+p_ipm)^(1/12)-1)*HH7</f>
        <v/>
      </c>
      <c r="HI11" s="26">
        <f>((1+p_ipm)^(1/12)-1)*HI7</f>
        <v/>
      </c>
      <c r="HJ11" s="26">
        <f>((1+p_ipm)^(1/12)-1)*HJ7</f>
        <v/>
      </c>
      <c r="HK11" s="26">
        <f>((1+p_ipm)^(1/12)-1)*HK7</f>
        <v/>
      </c>
      <c r="HL11" s="26">
        <f>((1+p_ipm)^(1/12)-1)*HL7</f>
        <v/>
      </c>
      <c r="HM11" s="26">
        <f>((1+p_ipm)^(1/12)-1)*HM7</f>
        <v/>
      </c>
      <c r="HN11" s="26">
        <f>((1+p_ipm)^(1/12)-1)*HN7</f>
        <v/>
      </c>
      <c r="HO11" s="26">
        <f>((1+p_ipm)^(1/12)-1)*HO7</f>
        <v/>
      </c>
      <c r="HP11" s="26">
        <f>((1+p_ipm)^(1/12)-1)*HP7</f>
        <v/>
      </c>
      <c r="HQ11" s="26">
        <f>((1+p_ipm)^(1/12)-1)*HQ7</f>
        <v/>
      </c>
      <c r="HR11" s="26">
        <f>((1+p_ipm)^(1/12)-1)*HR7</f>
        <v/>
      </c>
      <c r="HS11" s="26">
        <f>((1+p_ipm)^(1/12)-1)*HS7</f>
        <v/>
      </c>
      <c r="HT11" s="26">
        <f>((1+p_ipm)^(1/12)-1)*HT7</f>
        <v/>
      </c>
      <c r="HU11" s="26">
        <f>((1+p_ipm)^(1/12)-1)*HU7</f>
        <v/>
      </c>
      <c r="HV11" s="26">
        <f>((1+p_ipm)^(1/12)-1)*HV7</f>
        <v/>
      </c>
      <c r="HW11" s="26">
        <f>((1+p_ipm)^(1/12)-1)*HW7</f>
        <v/>
      </c>
      <c r="HX11" s="26">
        <f>((1+p_ipm)^(1/12)-1)*HX7</f>
        <v/>
      </c>
      <c r="HY11" s="26">
        <f>((1+p_ipm)^(1/12)-1)*HY7</f>
        <v/>
      </c>
      <c r="HZ11" s="26">
        <f>((1+p_ipm)^(1/12)-1)*HZ7</f>
        <v/>
      </c>
      <c r="IA11" s="26">
        <f>((1+p_ipm)^(1/12)-1)*IA7</f>
        <v/>
      </c>
      <c r="IB11" s="26">
        <f>((1+p_ipm)^(1/12)-1)*IB7</f>
        <v/>
      </c>
      <c r="IC11" s="26">
        <f>((1+p_ipm)^(1/12)-1)*IC7</f>
        <v/>
      </c>
      <c r="ID11" s="26">
        <f>((1+p_ipm)^(1/12)-1)*ID7</f>
        <v/>
      </c>
      <c r="IE11" s="26">
        <f>((1+p_ipm)^(1/12)-1)*IE7</f>
        <v/>
      </c>
      <c r="IF11" s="26">
        <f>((1+p_ipm)^(1/12)-1)*IF7</f>
        <v/>
      </c>
      <c r="IG11" s="26">
        <f>((1+p_ipm)^(1/12)-1)*IG7</f>
        <v/>
      </c>
      <c r="IH11" s="26">
        <f>((1+p_ipm)^(1/12)-1)*IH7</f>
        <v/>
      </c>
      <c r="II11" s="26">
        <f>((1+p_ipm)^(1/12)-1)*II7</f>
        <v/>
      </c>
      <c r="IJ11" s="26">
        <f>((1+p_ipm)^(1/12)-1)*IJ7</f>
        <v/>
      </c>
      <c r="IK11" s="26">
        <f>((1+p_ipm)^(1/12)-1)*IK7</f>
        <v/>
      </c>
      <c r="IL11" s="26">
        <f>((1+p_ipm)^(1/12)-1)*IL7</f>
        <v/>
      </c>
      <c r="IM11" s="26">
        <f>((1+p_ipm)^(1/12)-1)*IM7</f>
        <v/>
      </c>
      <c r="IN11" s="26">
        <f>((1+p_ipm)^(1/12)-1)*IN7</f>
        <v/>
      </c>
      <c r="IO11" s="26">
        <f>((1+p_ipm)^(1/12)-1)*IO7</f>
        <v/>
      </c>
      <c r="IP11" s="26">
        <f>((1+p_ipm)^(1/12)-1)*IP7</f>
        <v/>
      </c>
      <c r="IQ11" s="26">
        <f>((1+p_ipm)^(1/12)-1)*IQ7</f>
        <v/>
      </c>
      <c r="IR11" s="26">
        <f>((1+p_ipm)^(1/12)-1)*IR7</f>
        <v/>
      </c>
      <c r="IS11" s="26">
        <f>((1+p_ipm)^(1/12)-1)*IS7</f>
        <v/>
      </c>
      <c r="IT11" s="26">
        <f>((1+p_ipm)^(1/12)-1)*IT7</f>
        <v/>
      </c>
      <c r="IU11" s="26">
        <f>((1+p_ipm)^(1/12)-1)*IU7</f>
        <v/>
      </c>
      <c r="IV11" s="26">
        <f>((1+p_ipm)^(1/12)-1)*IV7</f>
        <v/>
      </c>
      <c r="IW11" s="26">
        <f>((1+p_ipm)^(1/12)-1)*IW7</f>
        <v/>
      </c>
      <c r="IX11" s="26">
        <f>((1+p_ipm)^(1/12)-1)*IX7</f>
        <v/>
      </c>
      <c r="IY11" s="26">
        <f>((1+p_ipm)^(1/12)-1)*IY7</f>
        <v/>
      </c>
      <c r="IZ11" s="26">
        <f>((1+p_ipm)^(1/12)-1)*IZ7</f>
        <v/>
      </c>
      <c r="JA11" s="26">
        <f>((1+p_ipm)^(1/12)-1)*JA7</f>
        <v/>
      </c>
      <c r="JB11" s="26">
        <f>((1+p_ipm)^(1/12)-1)*JB7</f>
        <v/>
      </c>
      <c r="JC11" s="26">
        <f>((1+p_ipm)^(1/12)-1)*JC7</f>
        <v/>
      </c>
      <c r="JD11" s="26">
        <f>((1+p_ipm)^(1/12)-1)*JD7</f>
        <v/>
      </c>
      <c r="JE11" s="26">
        <f>((1+p_ipm)^(1/12)-1)*JE7</f>
        <v/>
      </c>
      <c r="JF11" s="26">
        <f>((1+p_ipm)^(1/12)-1)*JF7</f>
        <v/>
      </c>
      <c r="JG11" s="26">
        <f>((1+p_ipm)^(1/12)-1)*JG7</f>
        <v/>
      </c>
      <c r="JH11" s="26">
        <f>((1+p_ipm)^(1/12)-1)*JH7</f>
        <v/>
      </c>
      <c r="JI11" s="26">
        <f>((1+p_ipm)^(1/12)-1)*JI7</f>
        <v/>
      </c>
      <c r="JJ11" s="26">
        <f>((1+p_ipm)^(1/12)-1)*JJ7</f>
        <v/>
      </c>
      <c r="JK11" s="26">
        <f>((1+p_ipm)^(1/12)-1)*JK7</f>
        <v/>
      </c>
      <c r="JL11" s="26">
        <f>((1+p_ipm)^(1/12)-1)*JL7</f>
        <v/>
      </c>
      <c r="JM11" s="26">
        <f>((1+p_ipm)^(1/12)-1)*JM7</f>
        <v/>
      </c>
      <c r="JN11" s="26">
        <f>((1+p_ipm)^(1/12)-1)*JN7</f>
        <v/>
      </c>
      <c r="JO11" s="26">
        <f>((1+p_ipm)^(1/12)-1)*JO7</f>
        <v/>
      </c>
      <c r="JP11" s="26">
        <f>((1+p_ipm)^(1/12)-1)*JP7</f>
        <v/>
      </c>
      <c r="JQ11" s="26">
        <f>((1+p_ipm)^(1/12)-1)*JQ7</f>
        <v/>
      </c>
      <c r="JR11" s="26">
        <f>((1+p_ipm)^(1/12)-1)*JR7</f>
        <v/>
      </c>
      <c r="JS11" s="26">
        <f>((1+p_ipm)^(1/12)-1)*JS7</f>
        <v/>
      </c>
      <c r="JT11" s="26">
        <f>((1+p_ipm)^(1/12)-1)*JT7</f>
        <v/>
      </c>
      <c r="JU11" s="26">
        <f>((1+p_ipm)^(1/12)-1)*JU7</f>
        <v/>
      </c>
      <c r="JV11" s="26">
        <f>((1+p_ipm)^(1/12)-1)*JV7</f>
        <v/>
      </c>
      <c r="JW11" s="26">
        <f>((1+p_ipm)^(1/12)-1)*JW7</f>
        <v/>
      </c>
      <c r="JX11" s="26">
        <f>((1+p_ipm)^(1/12)-1)*JX7</f>
        <v/>
      </c>
      <c r="JY11" s="26">
        <f>((1+p_ipm)^(1/12)-1)*JY7</f>
        <v/>
      </c>
      <c r="JZ11" s="26">
        <f>((1+p_ipm)^(1/12)-1)*JZ7</f>
        <v/>
      </c>
      <c r="KA11" s="26">
        <f>((1+p_ipm)^(1/12)-1)*KA7</f>
        <v/>
      </c>
      <c r="KB11" s="26">
        <f>((1+p_ipm)^(1/12)-1)*KB7</f>
        <v/>
      </c>
      <c r="KC11" s="26">
        <f>((1+p_ipm)^(1/12)-1)*KC7</f>
        <v/>
      </c>
      <c r="KD11" s="26">
        <f>((1+p_ipm)^(1/12)-1)*KD7</f>
        <v/>
      </c>
      <c r="KE11" s="26">
        <f>((1+p_ipm)^(1/12)-1)*KE7</f>
        <v/>
      </c>
      <c r="KF11" s="26">
        <f>((1+p_ipm)^(1/12)-1)*KF7</f>
        <v/>
      </c>
      <c r="KG11" s="26">
        <f>((1+p_ipm)^(1/12)-1)*KG7</f>
        <v/>
      </c>
      <c r="KH11" s="26">
        <f>((1+p_ipm)^(1/12)-1)*KH7</f>
        <v/>
      </c>
      <c r="KI11" s="26">
        <f>((1+p_ipm)^(1/12)-1)*KI7</f>
        <v/>
      </c>
      <c r="KJ11" s="26">
        <f>((1+p_ipm)^(1/12)-1)*KJ7</f>
        <v/>
      </c>
      <c r="KK11" s="26">
        <f>((1+p_ipm)^(1/12)-1)*KK7</f>
        <v/>
      </c>
      <c r="KL11" s="26">
        <f>((1+p_ipm)^(1/12)-1)*KL7</f>
        <v/>
      </c>
      <c r="KM11" s="26">
        <f>((1+p_ipm)^(1/12)-1)*KM7</f>
        <v/>
      </c>
      <c r="KN11" s="26">
        <f>((1+p_ipm)^(1/12)-1)*KN7</f>
        <v/>
      </c>
      <c r="KO11" s="26">
        <f>((1+p_ipm)^(1/12)-1)*KO7</f>
        <v/>
      </c>
      <c r="KP11" s="26">
        <f>((1+p_ipm)^(1/12)-1)*KP7</f>
        <v/>
      </c>
      <c r="KQ11" s="26">
        <f>((1+p_ipm)^(1/12)-1)*KQ7</f>
        <v/>
      </c>
      <c r="KR11" s="26">
        <f>((1+p_ipm)^(1/12)-1)*KR7</f>
        <v/>
      </c>
      <c r="KS11" s="26">
        <f>((1+p_ipm)^(1/12)-1)*KS7</f>
        <v/>
      </c>
      <c r="KT11" s="26">
        <f>((1+p_ipm)^(1/12)-1)*KT7</f>
        <v/>
      </c>
      <c r="KU11" s="26">
        <f>((1+p_ipm)^(1/12)-1)*KU7</f>
        <v/>
      </c>
      <c r="KV11" s="26">
        <f>((1+p_ipm)^(1/12)-1)*KV7</f>
        <v/>
      </c>
      <c r="KW11" s="26">
        <f>((1+p_ipm)^(1/12)-1)*KW7</f>
        <v/>
      </c>
      <c r="KX11" s="26">
        <f>((1+p_ipm)^(1/12)-1)*KX7</f>
        <v/>
      </c>
      <c r="KY11" s="26">
        <f>((1+p_ipm)^(1/12)-1)*KY7</f>
        <v/>
      </c>
      <c r="KZ11" s="26">
        <f>((1+p_ipm)^(1/12)-1)*KZ7</f>
        <v/>
      </c>
      <c r="LA11" s="26">
        <f>((1+p_ipm)^(1/12)-1)*LA7</f>
        <v/>
      </c>
      <c r="LB11" s="26">
        <f>((1+p_ipm)^(1/12)-1)*LB7</f>
        <v/>
      </c>
      <c r="LC11" s="26">
        <f>((1+p_ipm)^(1/12)-1)*LC7</f>
        <v/>
      </c>
      <c r="LD11" s="26">
        <f>((1+p_ipm)^(1/12)-1)*LD7</f>
        <v/>
      </c>
      <c r="LE11" s="26">
        <f>((1+p_ipm)^(1/12)-1)*LE7</f>
        <v/>
      </c>
      <c r="LF11" s="26">
        <f>((1+p_ipm)^(1/12)-1)*LF7</f>
        <v/>
      </c>
      <c r="LG11" s="26">
        <f>((1+p_ipm)^(1/12)-1)*LG7</f>
        <v/>
      </c>
      <c r="LH11" s="26">
        <f>((1+p_ipm)^(1/12)-1)*LH7</f>
        <v/>
      </c>
      <c r="LI11" s="26">
        <f>((1+p_ipm)^(1/12)-1)*LI7</f>
        <v/>
      </c>
    </row>
    <row r="12">
      <c r="B12" s="17" t="inlineStr">
        <is>
          <t>Acumulado pendiente</t>
        </is>
      </c>
      <c r="D12" s="26">
        <f>IF($D11=0,0,$D11)</f>
        <v/>
      </c>
      <c r="E12" s="26">
        <f>IF(E11=0,0,SUM($D11:E11)-SUM($D13:D13))</f>
        <v/>
      </c>
      <c r="F12" s="26">
        <f>IF(F11=0,0,SUM($D11:F11)-SUM($D13:E13))</f>
        <v/>
      </c>
      <c r="G12" s="26">
        <f>IF(G11=0,0,SUM($D11:G11)-SUM($D13:F13))</f>
        <v/>
      </c>
      <c r="H12" s="26">
        <f>IF(H11=0,0,SUM($D11:H11)-SUM($D13:G13))</f>
        <v/>
      </c>
      <c r="I12" s="26">
        <f>IF(I11=0,0,SUM($D11:I11)-SUM($D13:H13))</f>
        <v/>
      </c>
      <c r="J12" s="26">
        <f>IF(J11=0,0,SUM($D11:J11)-SUM($D13:I13))</f>
        <v/>
      </c>
      <c r="K12" s="26">
        <f>IF(K11=0,0,SUM($D11:K11)-SUM($D13:J13))</f>
        <v/>
      </c>
      <c r="L12" s="26">
        <f>IF(L11=0,0,SUM($D11:L11)-SUM($D13:K13))</f>
        <v/>
      </c>
      <c r="M12" s="26">
        <f>IF(M11=0,0,SUM($D11:M11)-SUM($D13:L13))</f>
        <v/>
      </c>
      <c r="N12" s="26">
        <f>IF(N11=0,0,SUM($D11:N11)-SUM($D13:M13))</f>
        <v/>
      </c>
      <c r="O12" s="26">
        <f>IF(O11=0,0,SUM($D11:O11)-SUM($D13:N13))</f>
        <v/>
      </c>
      <c r="P12" s="26">
        <f>IF(P11=0,0,SUM($D11:P11)-SUM($D13:O13))</f>
        <v/>
      </c>
      <c r="Q12" s="26">
        <f>IF(Q11=0,0,SUM($D11:Q11)-SUM($D13:P13))</f>
        <v/>
      </c>
      <c r="R12" s="26">
        <f>IF(R11=0,0,SUM($D11:R11)-SUM($D13:Q13))</f>
        <v/>
      </c>
      <c r="S12" s="26">
        <f>IF(S11=0,0,SUM($D11:S11)-SUM($D13:R13))</f>
        <v/>
      </c>
      <c r="T12" s="26">
        <f>IF(T11=0,0,SUM($D11:T11)-SUM($D13:S13))</f>
        <v/>
      </c>
      <c r="U12" s="26">
        <f>IF(U11=0,0,SUM($D11:U11)-SUM($D13:T13))</f>
        <v/>
      </c>
      <c r="V12" s="26">
        <f>IF(V11=0,0,SUM($D11:V11)-SUM($D13:U13))</f>
        <v/>
      </c>
      <c r="W12" s="26">
        <f>IF(W11=0,0,SUM($D11:W11)-SUM($D13:V13))</f>
        <v/>
      </c>
      <c r="X12" s="26">
        <f>IF(X11=0,0,SUM($D11:X11)-SUM($D13:W13))</f>
        <v/>
      </c>
      <c r="Y12" s="26">
        <f>IF(Y11=0,0,SUM($D11:Y11)-SUM($D13:X13))</f>
        <v/>
      </c>
      <c r="Z12" s="26">
        <f>IF(Z11=0,0,SUM($D11:Z11)-SUM($D13:Y13))</f>
        <v/>
      </c>
      <c r="AA12" s="26">
        <f>IF(AA11=0,0,SUM($D11:AA11)-SUM($D13:Z13))</f>
        <v/>
      </c>
      <c r="AB12" s="26">
        <f>IF(AB11=0,0,SUM($D11:AB11)-SUM($D13:AA13))</f>
        <v/>
      </c>
      <c r="AC12" s="26">
        <f>IF(AC11=0,0,SUM($D11:AC11)-SUM($D13:AB13))</f>
        <v/>
      </c>
      <c r="AD12" s="26">
        <f>IF(AD11=0,0,SUM($D11:AD11)-SUM($D13:AC13))</f>
        <v/>
      </c>
      <c r="AE12" s="26">
        <f>IF(AE11=0,0,SUM($D11:AE11)-SUM($D13:AD13))</f>
        <v/>
      </c>
      <c r="AF12" s="26">
        <f>IF(AF11=0,0,SUM($D11:AF11)-SUM($D13:AE13))</f>
        <v/>
      </c>
      <c r="AG12" s="26">
        <f>IF(AG11=0,0,SUM($D11:AG11)-SUM($D13:AF13))</f>
        <v/>
      </c>
      <c r="AH12" s="26">
        <f>IF(AH11=0,0,SUM($D11:AH11)-SUM($D13:AG13))</f>
        <v/>
      </c>
      <c r="AI12" s="26">
        <f>IF(AI11=0,0,SUM($D11:AI11)-SUM($D13:AH13))</f>
        <v/>
      </c>
      <c r="AJ12" s="26">
        <f>IF(AJ11=0,0,SUM($D11:AJ11)-SUM($D13:AI13))</f>
        <v/>
      </c>
      <c r="AK12" s="26">
        <f>IF(AK11=0,0,SUM($D11:AK11)-SUM($D13:AJ13))</f>
        <v/>
      </c>
      <c r="AL12" s="26">
        <f>IF(AL11=0,0,SUM($D11:AL11)-SUM($D13:AK13))</f>
        <v/>
      </c>
      <c r="AM12" s="26">
        <f>IF(AM11=0,0,SUM($D11:AM11)-SUM($D13:AL13))</f>
        <v/>
      </c>
      <c r="AN12" s="26">
        <f>IF(AN11=0,0,SUM($D11:AN11)-SUM($D13:AM13))</f>
        <v/>
      </c>
      <c r="AO12" s="26">
        <f>IF(AO11=0,0,SUM($D11:AO11)-SUM($D13:AN13))</f>
        <v/>
      </c>
      <c r="AP12" s="26">
        <f>IF(AP11=0,0,SUM($D11:AP11)-SUM($D13:AO13))</f>
        <v/>
      </c>
      <c r="AQ12" s="26">
        <f>IF(AQ11=0,0,SUM($D11:AQ11)-SUM($D13:AP13))</f>
        <v/>
      </c>
      <c r="AR12" s="26">
        <f>IF(AR11=0,0,SUM($D11:AR11)-SUM($D13:AQ13))</f>
        <v/>
      </c>
      <c r="AS12" s="26">
        <f>IF(AS11=0,0,SUM($D11:AS11)-SUM($D13:AR13))</f>
        <v/>
      </c>
      <c r="AT12" s="26">
        <f>IF(AT11=0,0,SUM($D11:AT11)-SUM($D13:AS13))</f>
        <v/>
      </c>
      <c r="AU12" s="26">
        <f>IF(AU11=0,0,SUM($D11:AU11)-SUM($D13:AT13))</f>
        <v/>
      </c>
      <c r="AV12" s="26">
        <f>IF(AV11=0,0,SUM($D11:AV11)-SUM($D13:AU13))</f>
        <v/>
      </c>
      <c r="AW12" s="26">
        <f>IF(AW11=0,0,SUM($D11:AW11)-SUM($D13:AV13))</f>
        <v/>
      </c>
      <c r="AX12" s="26">
        <f>IF(AX11=0,0,SUM($D11:AX11)-SUM($D13:AW13))</f>
        <v/>
      </c>
      <c r="AY12" s="26">
        <f>IF(AY11=0,0,SUM($D11:AY11)-SUM($D13:AX13))</f>
        <v/>
      </c>
      <c r="AZ12" s="26">
        <f>IF(AZ11=0,0,SUM($D11:AZ11)-SUM($D13:AY13))</f>
        <v/>
      </c>
      <c r="BA12" s="26">
        <f>IF(BA11=0,0,SUM($D11:BA11)-SUM($D13:AZ13))</f>
        <v/>
      </c>
      <c r="BB12" s="26">
        <f>IF(BB11=0,0,SUM($D11:BB11)-SUM($D13:BA13))</f>
        <v/>
      </c>
      <c r="BC12" s="26">
        <f>IF(BC11=0,0,SUM($D11:BC11)-SUM($D13:BB13))</f>
        <v/>
      </c>
      <c r="BD12" s="26">
        <f>IF(BD11=0,0,SUM($D11:BD11)-SUM($D13:BC13))</f>
        <v/>
      </c>
      <c r="BE12" s="26">
        <f>IF(BE11=0,0,SUM($D11:BE11)-SUM($D13:BD13))</f>
        <v/>
      </c>
      <c r="BF12" s="26">
        <f>IF(BF11=0,0,SUM($D11:BF11)-SUM($D13:BE13))</f>
        <v/>
      </c>
      <c r="BG12" s="26">
        <f>IF(BG11=0,0,SUM($D11:BG11)-SUM($D13:BF13))</f>
        <v/>
      </c>
      <c r="BH12" s="26">
        <f>IF(BH11=0,0,SUM($D11:BH11)-SUM($D13:BG13))</f>
        <v/>
      </c>
      <c r="BI12" s="26">
        <f>IF(BI11=0,0,SUM($D11:BI11)-SUM($D13:BH13))</f>
        <v/>
      </c>
      <c r="BJ12" s="26">
        <f>IF(BJ11=0,0,SUM($D11:BJ11)-SUM($D13:BI13))</f>
        <v/>
      </c>
      <c r="BK12" s="26">
        <f>IF(BK11=0,0,SUM($D11:BK11)-SUM($D13:BJ13))</f>
        <v/>
      </c>
      <c r="BL12" s="26">
        <f>IF(BL11=0,0,SUM($D11:BL11)-SUM($D13:BK13))</f>
        <v/>
      </c>
      <c r="BM12" s="26">
        <f>IF(BM11=0,0,SUM($D11:BM11)-SUM($D13:BL13))</f>
        <v/>
      </c>
      <c r="BN12" s="26">
        <f>IF(BN11=0,0,SUM($D11:BN11)-SUM($D13:BM13))</f>
        <v/>
      </c>
      <c r="BO12" s="26">
        <f>IF(BO11=0,0,SUM($D11:BO11)-SUM($D13:BN13))</f>
        <v/>
      </c>
      <c r="BP12" s="26">
        <f>IF(BP11=0,0,SUM($D11:BP11)-SUM($D13:BO13))</f>
        <v/>
      </c>
      <c r="BQ12" s="26">
        <f>IF(BQ11=0,0,SUM($D11:BQ11)-SUM($D13:BP13))</f>
        <v/>
      </c>
      <c r="BR12" s="26">
        <f>IF(BR11=0,0,SUM($D11:BR11)-SUM($D13:BQ13))</f>
        <v/>
      </c>
      <c r="BS12" s="26">
        <f>IF(BS11=0,0,SUM($D11:BS11)-SUM($D13:BR13))</f>
        <v/>
      </c>
      <c r="BT12" s="26">
        <f>IF(BT11=0,0,SUM($D11:BT11)-SUM($D13:BS13))</f>
        <v/>
      </c>
      <c r="BU12" s="26">
        <f>IF(BU11=0,0,SUM($D11:BU11)-SUM($D13:BT13))</f>
        <v/>
      </c>
      <c r="BV12" s="26">
        <f>IF(BV11=0,0,SUM($D11:BV11)-SUM($D13:BU13))</f>
        <v/>
      </c>
      <c r="BW12" s="26">
        <f>IF(BW11=0,0,SUM($D11:BW11)-SUM($D13:BV13))</f>
        <v/>
      </c>
      <c r="BX12" s="26">
        <f>IF(BX11=0,0,SUM($D11:BX11)-SUM($D13:BW13))</f>
        <v/>
      </c>
      <c r="BY12" s="26">
        <f>IF(BY11=0,0,SUM($D11:BY11)-SUM($D13:BX13))</f>
        <v/>
      </c>
      <c r="BZ12" s="26">
        <f>IF(BZ11=0,0,SUM($D11:BZ11)-SUM($D13:BY13))</f>
        <v/>
      </c>
      <c r="CA12" s="26">
        <f>IF(CA11=0,0,SUM($D11:CA11)-SUM($D13:BZ13))</f>
        <v/>
      </c>
      <c r="CB12" s="26">
        <f>IF(CB11=0,0,SUM($D11:CB11)-SUM($D13:CA13))</f>
        <v/>
      </c>
      <c r="CC12" s="26">
        <f>IF(CC11=0,0,SUM($D11:CC11)-SUM($D13:CB13))</f>
        <v/>
      </c>
      <c r="CD12" s="26">
        <f>IF(CD11=0,0,SUM($D11:CD11)-SUM($D13:CC13))</f>
        <v/>
      </c>
      <c r="CE12" s="26">
        <f>IF(CE11=0,0,SUM($D11:CE11)-SUM($D13:CD13))</f>
        <v/>
      </c>
      <c r="CF12" s="26">
        <f>IF(CF11=0,0,SUM($D11:CF11)-SUM($D13:CE13))</f>
        <v/>
      </c>
      <c r="CG12" s="26">
        <f>IF(CG11=0,0,SUM($D11:CG11)-SUM($D13:CF13))</f>
        <v/>
      </c>
      <c r="CH12" s="26">
        <f>IF(CH11=0,0,SUM($D11:CH11)-SUM($D13:CG13))</f>
        <v/>
      </c>
      <c r="CI12" s="26">
        <f>IF(CI11=0,0,SUM($D11:CI11)-SUM($D13:CH13))</f>
        <v/>
      </c>
      <c r="CJ12" s="26">
        <f>IF(CJ11=0,0,SUM($D11:CJ11)-SUM($D13:CI13))</f>
        <v/>
      </c>
      <c r="CK12" s="26">
        <f>IF(CK11=0,0,SUM($D11:CK11)-SUM($D13:CJ13))</f>
        <v/>
      </c>
      <c r="CL12" s="26">
        <f>IF(CL11=0,0,SUM($D11:CL11)-SUM($D13:CK13))</f>
        <v/>
      </c>
      <c r="CM12" s="26">
        <f>IF(CM11=0,0,SUM($D11:CM11)-SUM($D13:CL13))</f>
        <v/>
      </c>
      <c r="CN12" s="26">
        <f>IF(CN11=0,0,SUM($D11:CN11)-SUM($D13:CM13))</f>
        <v/>
      </c>
      <c r="CO12" s="26">
        <f>IF(CO11=0,0,SUM($D11:CO11)-SUM($D13:CN13))</f>
        <v/>
      </c>
      <c r="CP12" s="26">
        <f>IF(CP11=0,0,SUM($D11:CP11)-SUM($D13:CO13))</f>
        <v/>
      </c>
      <c r="CQ12" s="26">
        <f>IF(CQ11=0,0,SUM($D11:CQ11)-SUM($D13:CP13))</f>
        <v/>
      </c>
      <c r="CR12" s="26">
        <f>IF(CR11=0,0,SUM($D11:CR11)-SUM($D13:CQ13))</f>
        <v/>
      </c>
      <c r="CS12" s="26">
        <f>IF(CS11=0,0,SUM($D11:CS11)-SUM($D13:CR13))</f>
        <v/>
      </c>
      <c r="CT12" s="26">
        <f>IF(CT11=0,0,SUM($D11:CT11)-SUM($D13:CS13))</f>
        <v/>
      </c>
      <c r="CU12" s="26">
        <f>IF(CU11=0,0,SUM($D11:CU11)-SUM($D13:CT13))</f>
        <v/>
      </c>
      <c r="CV12" s="26">
        <f>IF(CV11=0,0,SUM($D11:CV11)-SUM($D13:CU13))</f>
        <v/>
      </c>
      <c r="CW12" s="26">
        <f>IF(CW11=0,0,SUM($D11:CW11)-SUM($D13:CV13))</f>
        <v/>
      </c>
      <c r="CX12" s="26">
        <f>IF(CX11=0,0,SUM($D11:CX11)-SUM($D13:CW13))</f>
        <v/>
      </c>
      <c r="CY12" s="26">
        <f>IF(CY11=0,0,SUM($D11:CY11)-SUM($D13:CX13))</f>
        <v/>
      </c>
      <c r="CZ12" s="26">
        <f>IF(CZ11=0,0,SUM($D11:CZ11)-SUM($D13:CY13))</f>
        <v/>
      </c>
      <c r="DA12" s="26">
        <f>IF(DA11=0,0,SUM($D11:DA11)-SUM($D13:CZ13))</f>
        <v/>
      </c>
      <c r="DB12" s="26">
        <f>IF(DB11=0,0,SUM($D11:DB11)-SUM($D13:DA13))</f>
        <v/>
      </c>
      <c r="DC12" s="26">
        <f>IF(DC11=0,0,SUM($D11:DC11)-SUM($D13:DB13))</f>
        <v/>
      </c>
      <c r="DD12" s="26">
        <f>IF(DD11=0,0,SUM($D11:DD11)-SUM($D13:DC13))</f>
        <v/>
      </c>
      <c r="DE12" s="26">
        <f>IF(DE11=0,0,SUM($D11:DE11)-SUM($D13:DD13))</f>
        <v/>
      </c>
      <c r="DF12" s="26">
        <f>IF(DF11=0,0,SUM($D11:DF11)-SUM($D13:DE13))</f>
        <v/>
      </c>
      <c r="DG12" s="26">
        <f>IF(DG11=0,0,SUM($D11:DG11)-SUM($D13:DF13))</f>
        <v/>
      </c>
      <c r="DH12" s="26">
        <f>IF(DH11=0,0,SUM($D11:DH11)-SUM($D13:DG13))</f>
        <v/>
      </c>
      <c r="DI12" s="26">
        <f>IF(DI11=0,0,SUM($D11:DI11)-SUM($D13:DH13))</f>
        <v/>
      </c>
      <c r="DJ12" s="26">
        <f>IF(DJ11=0,0,SUM($D11:DJ11)-SUM($D13:DI13))</f>
        <v/>
      </c>
      <c r="DK12" s="26">
        <f>IF(DK11=0,0,SUM($D11:DK11)-SUM($D13:DJ13))</f>
        <v/>
      </c>
      <c r="DL12" s="26">
        <f>IF(DL11=0,0,SUM($D11:DL11)-SUM($D13:DK13))</f>
        <v/>
      </c>
      <c r="DM12" s="26">
        <f>IF(DM11=0,0,SUM($D11:DM11)-SUM($D13:DL13))</f>
        <v/>
      </c>
      <c r="DN12" s="26">
        <f>IF(DN11=0,0,SUM($D11:DN11)-SUM($D13:DM13))</f>
        <v/>
      </c>
      <c r="DO12" s="26">
        <f>IF(DO11=0,0,SUM($D11:DO11)-SUM($D13:DN13))</f>
        <v/>
      </c>
      <c r="DP12" s="26">
        <f>IF(DP11=0,0,SUM($D11:DP11)-SUM($D13:DO13))</f>
        <v/>
      </c>
      <c r="DQ12" s="26">
        <f>IF(DQ11=0,0,SUM($D11:DQ11)-SUM($D13:DP13))</f>
        <v/>
      </c>
      <c r="DR12" s="26">
        <f>IF(DR11=0,0,SUM($D11:DR11)-SUM($D13:DQ13))</f>
        <v/>
      </c>
      <c r="DS12" s="26">
        <f>IF(DS11=0,0,SUM($D11:DS11)-SUM($D13:DR13))</f>
        <v/>
      </c>
      <c r="DT12" s="26">
        <f>IF(DT11=0,0,SUM($D11:DT11)-SUM($D13:DS13))</f>
        <v/>
      </c>
      <c r="DU12" s="26">
        <f>IF(DU11=0,0,SUM($D11:DU11)-SUM($D13:DT13))</f>
        <v/>
      </c>
      <c r="DV12" s="26">
        <f>IF(DV11=0,0,SUM($D11:DV11)-SUM($D13:DU13))</f>
        <v/>
      </c>
      <c r="DW12" s="26">
        <f>IF(DW11=0,0,SUM($D11:DW11)-SUM($D13:DV13))</f>
        <v/>
      </c>
      <c r="DX12" s="26">
        <f>IF(DX11=0,0,SUM($D11:DX11)-SUM($D13:DW13))</f>
        <v/>
      </c>
      <c r="DY12" s="26">
        <f>IF(DY11=0,0,SUM($D11:DY11)-SUM($D13:DX13))</f>
        <v/>
      </c>
      <c r="DZ12" s="26">
        <f>IF(DZ11=0,0,SUM($D11:DZ11)-SUM($D13:DY13))</f>
        <v/>
      </c>
      <c r="EA12" s="26">
        <f>IF(EA11=0,0,SUM($D11:EA11)-SUM($D13:DZ13))</f>
        <v/>
      </c>
      <c r="EB12" s="26">
        <f>IF(EB11=0,0,SUM($D11:EB11)-SUM($D13:EA13))</f>
        <v/>
      </c>
      <c r="EC12" s="26">
        <f>IF(EC11=0,0,SUM($D11:EC11)-SUM($D13:EB13))</f>
        <v/>
      </c>
      <c r="ED12" s="26">
        <f>IF(ED11=0,0,SUM($D11:ED11)-SUM($D13:EC13))</f>
        <v/>
      </c>
      <c r="EE12" s="26">
        <f>IF(EE11=0,0,SUM($D11:EE11)-SUM($D13:ED13))</f>
        <v/>
      </c>
      <c r="EF12" s="26">
        <f>IF(EF11=0,0,SUM($D11:EF11)-SUM($D13:EE13))</f>
        <v/>
      </c>
      <c r="EG12" s="26">
        <f>IF(EG11=0,0,SUM($D11:EG11)-SUM($D13:EF13))</f>
        <v/>
      </c>
      <c r="EH12" s="26">
        <f>IF(EH11=0,0,SUM($D11:EH11)-SUM($D13:EG13))</f>
        <v/>
      </c>
      <c r="EI12" s="26">
        <f>IF(EI11=0,0,SUM($D11:EI11)-SUM($D13:EH13))</f>
        <v/>
      </c>
      <c r="EJ12" s="26">
        <f>IF(EJ11=0,0,SUM($D11:EJ11)-SUM($D13:EI13))</f>
        <v/>
      </c>
      <c r="EK12" s="26">
        <f>IF(EK11=0,0,SUM($D11:EK11)-SUM($D13:EJ13))</f>
        <v/>
      </c>
      <c r="EL12" s="26">
        <f>IF(EL11=0,0,SUM($D11:EL11)-SUM($D13:EK13))</f>
        <v/>
      </c>
      <c r="EM12" s="26">
        <f>IF(EM11=0,0,SUM($D11:EM11)-SUM($D13:EL13))</f>
        <v/>
      </c>
      <c r="EN12" s="26">
        <f>IF(EN11=0,0,SUM($D11:EN11)-SUM($D13:EM13))</f>
        <v/>
      </c>
      <c r="EO12" s="26">
        <f>IF(EO11=0,0,SUM($D11:EO11)-SUM($D13:EN13))</f>
        <v/>
      </c>
      <c r="EP12" s="26">
        <f>IF(EP11=0,0,SUM($D11:EP11)-SUM($D13:EO13))</f>
        <v/>
      </c>
      <c r="EQ12" s="26">
        <f>IF(EQ11=0,0,SUM($D11:EQ11)-SUM($D13:EP13))</f>
        <v/>
      </c>
      <c r="ER12" s="26">
        <f>IF(ER11=0,0,SUM($D11:ER11)-SUM($D13:EQ13))</f>
        <v/>
      </c>
      <c r="ES12" s="26">
        <f>IF(ES11=0,0,SUM($D11:ES11)-SUM($D13:ER13))</f>
        <v/>
      </c>
      <c r="ET12" s="26">
        <f>IF(ET11=0,0,SUM($D11:ET11)-SUM($D13:ES13))</f>
        <v/>
      </c>
      <c r="EU12" s="26">
        <f>IF(EU11=0,0,SUM($D11:EU11)-SUM($D13:ET13))</f>
        <v/>
      </c>
      <c r="EV12" s="26">
        <f>IF(EV11=0,0,SUM($D11:EV11)-SUM($D13:EU13))</f>
        <v/>
      </c>
      <c r="EW12" s="26">
        <f>IF(EW11=0,0,SUM($D11:EW11)-SUM($D13:EV13))</f>
        <v/>
      </c>
      <c r="EX12" s="26">
        <f>IF(EX11=0,0,SUM($D11:EX11)-SUM($D13:EW13))</f>
        <v/>
      </c>
      <c r="EY12" s="26">
        <f>IF(EY11=0,0,SUM($D11:EY11)-SUM($D13:EX13))</f>
        <v/>
      </c>
      <c r="EZ12" s="26">
        <f>IF(EZ11=0,0,SUM($D11:EZ11)-SUM($D13:EY13))</f>
        <v/>
      </c>
      <c r="FA12" s="26">
        <f>IF(FA11=0,0,SUM($D11:FA11)-SUM($D13:EZ13))</f>
        <v/>
      </c>
      <c r="FB12" s="26">
        <f>IF(FB11=0,0,SUM($D11:FB11)-SUM($D13:FA13))</f>
        <v/>
      </c>
      <c r="FC12" s="26">
        <f>IF(FC11=0,0,SUM($D11:FC11)-SUM($D13:FB13))</f>
        <v/>
      </c>
      <c r="FD12" s="26">
        <f>IF(FD11=0,0,SUM($D11:FD11)-SUM($D13:FC13))</f>
        <v/>
      </c>
      <c r="FE12" s="26">
        <f>IF(FE11=0,0,SUM($D11:FE11)-SUM($D13:FD13))</f>
        <v/>
      </c>
      <c r="FF12" s="26">
        <f>IF(FF11=0,0,SUM($D11:FF11)-SUM($D13:FE13))</f>
        <v/>
      </c>
      <c r="FG12" s="26">
        <f>IF(FG11=0,0,SUM($D11:FG11)-SUM($D13:FF13))</f>
        <v/>
      </c>
      <c r="FH12" s="26">
        <f>IF(FH11=0,0,SUM($D11:FH11)-SUM($D13:FG13))</f>
        <v/>
      </c>
      <c r="FI12" s="26">
        <f>IF(FI11=0,0,SUM($D11:FI11)-SUM($D13:FH13))</f>
        <v/>
      </c>
      <c r="FJ12" s="26">
        <f>IF(FJ11=0,0,SUM($D11:FJ11)-SUM($D13:FI13))</f>
        <v/>
      </c>
      <c r="FK12" s="26">
        <f>IF(FK11=0,0,SUM($D11:FK11)-SUM($D13:FJ13))</f>
        <v/>
      </c>
      <c r="FL12" s="26">
        <f>IF(FL11=0,0,SUM($D11:FL11)-SUM($D13:FK13))</f>
        <v/>
      </c>
      <c r="FM12" s="26">
        <f>IF(FM11=0,0,SUM($D11:FM11)-SUM($D13:FL13))</f>
        <v/>
      </c>
      <c r="FN12" s="26">
        <f>IF(FN11=0,0,SUM($D11:FN11)-SUM($D13:FM13))</f>
        <v/>
      </c>
      <c r="FO12" s="26">
        <f>IF(FO11=0,0,SUM($D11:FO11)-SUM($D13:FN13))</f>
        <v/>
      </c>
      <c r="FP12" s="26">
        <f>IF(FP11=0,0,SUM($D11:FP11)-SUM($D13:FO13))</f>
        <v/>
      </c>
      <c r="FQ12" s="26">
        <f>IF(FQ11=0,0,SUM($D11:FQ11)-SUM($D13:FP13))</f>
        <v/>
      </c>
      <c r="FR12" s="26">
        <f>IF(FR11=0,0,SUM($D11:FR11)-SUM($D13:FQ13))</f>
        <v/>
      </c>
      <c r="FS12" s="26">
        <f>IF(FS11=0,0,SUM($D11:FS11)-SUM($D13:FR13))</f>
        <v/>
      </c>
      <c r="FT12" s="26">
        <f>IF(FT11=0,0,SUM($D11:FT11)-SUM($D13:FS13))</f>
        <v/>
      </c>
      <c r="FU12" s="26">
        <f>IF(FU11=0,0,SUM($D11:FU11)-SUM($D13:FT13))</f>
        <v/>
      </c>
      <c r="FV12" s="26">
        <f>IF(FV11=0,0,SUM($D11:FV11)-SUM($D13:FU13))</f>
        <v/>
      </c>
      <c r="FW12" s="26">
        <f>IF(FW11=0,0,SUM($D11:FW11)-SUM($D13:FV13))</f>
        <v/>
      </c>
      <c r="FX12" s="26">
        <f>IF(FX11=0,0,SUM($D11:FX11)-SUM($D13:FW13))</f>
        <v/>
      </c>
      <c r="FY12" s="26">
        <f>IF(FY11=0,0,SUM($D11:FY11)-SUM($D13:FX13))</f>
        <v/>
      </c>
      <c r="FZ12" s="26">
        <f>IF(FZ11=0,0,SUM($D11:FZ11)-SUM($D13:FY13))</f>
        <v/>
      </c>
      <c r="GA12" s="26">
        <f>IF(GA11=0,0,SUM($D11:GA11)-SUM($D13:FZ13))</f>
        <v/>
      </c>
      <c r="GB12" s="26">
        <f>IF(GB11=0,0,SUM($D11:GB11)-SUM($D13:GA13))</f>
        <v/>
      </c>
      <c r="GC12" s="26">
        <f>IF(GC11=0,0,SUM($D11:GC11)-SUM($D13:GB13))</f>
        <v/>
      </c>
      <c r="GD12" s="26">
        <f>IF(GD11=0,0,SUM($D11:GD11)-SUM($D13:GC13))</f>
        <v/>
      </c>
      <c r="GE12" s="26">
        <f>IF(GE11=0,0,SUM($D11:GE11)-SUM($D13:GD13))</f>
        <v/>
      </c>
      <c r="GF12" s="26">
        <f>IF(GF11=0,0,SUM($D11:GF11)-SUM($D13:GE13))</f>
        <v/>
      </c>
      <c r="GG12" s="26">
        <f>IF(GG11=0,0,SUM($D11:GG11)-SUM($D13:GF13))</f>
        <v/>
      </c>
      <c r="GH12" s="26">
        <f>IF(GH11=0,0,SUM($D11:GH11)-SUM($D13:GG13))</f>
        <v/>
      </c>
      <c r="GI12" s="26">
        <f>IF(GI11=0,0,SUM($D11:GI11)-SUM($D13:GH13))</f>
        <v/>
      </c>
      <c r="GJ12" s="26">
        <f>IF(GJ11=0,0,SUM($D11:GJ11)-SUM($D13:GI13))</f>
        <v/>
      </c>
      <c r="GK12" s="26">
        <f>IF(GK11=0,0,SUM($D11:GK11)-SUM($D13:GJ13))</f>
        <v/>
      </c>
      <c r="GL12" s="26">
        <f>IF(GL11=0,0,SUM($D11:GL11)-SUM($D13:GK13))</f>
        <v/>
      </c>
      <c r="GM12" s="26">
        <f>IF(GM11=0,0,SUM($D11:GM11)-SUM($D13:GL13))</f>
        <v/>
      </c>
      <c r="GN12" s="26">
        <f>IF(GN11=0,0,SUM($D11:GN11)-SUM($D13:GM13))</f>
        <v/>
      </c>
      <c r="GO12" s="26">
        <f>IF(GO11=0,0,SUM($D11:GO11)-SUM($D13:GN13))</f>
        <v/>
      </c>
      <c r="GP12" s="26">
        <f>IF(GP11=0,0,SUM($D11:GP11)-SUM($D13:GO13))</f>
        <v/>
      </c>
      <c r="GQ12" s="26">
        <f>IF(GQ11=0,0,SUM($D11:GQ11)-SUM($D13:GP13))</f>
        <v/>
      </c>
      <c r="GR12" s="26">
        <f>IF(GR11=0,0,SUM($D11:GR11)-SUM($D13:GQ13))</f>
        <v/>
      </c>
      <c r="GS12" s="26">
        <f>IF(GS11=0,0,SUM($D11:GS11)-SUM($D13:GR13))</f>
        <v/>
      </c>
      <c r="GT12" s="26">
        <f>IF(GT11=0,0,SUM($D11:GT11)-SUM($D13:GS13))</f>
        <v/>
      </c>
      <c r="GU12" s="26">
        <f>IF(GU11=0,0,SUM($D11:GU11)-SUM($D13:GT13))</f>
        <v/>
      </c>
      <c r="GV12" s="26">
        <f>IF(GV11=0,0,SUM($D11:GV11)-SUM($D13:GU13))</f>
        <v/>
      </c>
      <c r="GW12" s="26">
        <f>IF(GW11=0,0,SUM($D11:GW11)-SUM($D13:GV13))</f>
        <v/>
      </c>
      <c r="GX12" s="26">
        <f>IF(GX11=0,0,SUM($D11:GX11)-SUM($D13:GW13))</f>
        <v/>
      </c>
      <c r="GY12" s="26">
        <f>IF(GY11=0,0,SUM($D11:GY11)-SUM($D13:GX13))</f>
        <v/>
      </c>
      <c r="GZ12" s="26">
        <f>IF(GZ11=0,0,SUM($D11:GZ11)-SUM($D13:GY13))</f>
        <v/>
      </c>
      <c r="HA12" s="26">
        <f>IF(HA11=0,0,SUM($D11:HA11)-SUM($D13:GZ13))</f>
        <v/>
      </c>
      <c r="HB12" s="26">
        <f>IF(HB11=0,0,SUM($D11:HB11)-SUM($D13:HA13))</f>
        <v/>
      </c>
      <c r="HC12" s="26">
        <f>IF(HC11=0,0,SUM($D11:HC11)-SUM($D13:HB13))</f>
        <v/>
      </c>
      <c r="HD12" s="26">
        <f>IF(HD11=0,0,SUM($D11:HD11)-SUM($D13:HC13))</f>
        <v/>
      </c>
      <c r="HE12" s="26">
        <f>IF(HE11=0,0,SUM($D11:HE11)-SUM($D13:HD13))</f>
        <v/>
      </c>
      <c r="HF12" s="26">
        <f>IF(HF11=0,0,SUM($D11:HF11)-SUM($D13:HE13))</f>
        <v/>
      </c>
      <c r="HG12" s="26">
        <f>IF(HG11=0,0,SUM($D11:HG11)-SUM($D13:HF13))</f>
        <v/>
      </c>
      <c r="HH12" s="26">
        <f>IF(HH11=0,0,SUM($D11:HH11)-SUM($D13:HG13))</f>
        <v/>
      </c>
      <c r="HI12" s="26">
        <f>IF(HI11=0,0,SUM($D11:HI11)-SUM($D13:HH13))</f>
        <v/>
      </c>
      <c r="HJ12" s="26">
        <f>IF(HJ11=0,0,SUM($D11:HJ11)-SUM($D13:HI13))</f>
        <v/>
      </c>
      <c r="HK12" s="26">
        <f>IF(HK11=0,0,SUM($D11:HK11)-SUM($D13:HJ13))</f>
        <v/>
      </c>
      <c r="HL12" s="26">
        <f>IF(HL11=0,0,SUM($D11:HL11)-SUM($D13:HK13))</f>
        <v/>
      </c>
      <c r="HM12" s="26">
        <f>IF(HM11=0,0,SUM($D11:HM11)-SUM($D13:HL13))</f>
        <v/>
      </c>
      <c r="HN12" s="26">
        <f>IF(HN11=0,0,SUM($D11:HN11)-SUM($D13:HM13))</f>
        <v/>
      </c>
      <c r="HO12" s="26">
        <f>IF(HO11=0,0,SUM($D11:HO11)-SUM($D13:HN13))</f>
        <v/>
      </c>
      <c r="HP12" s="26">
        <f>IF(HP11=0,0,SUM($D11:HP11)-SUM($D13:HO13))</f>
        <v/>
      </c>
      <c r="HQ12" s="26">
        <f>IF(HQ11=0,0,SUM($D11:HQ11)-SUM($D13:HP13))</f>
        <v/>
      </c>
      <c r="HR12" s="26">
        <f>IF(HR11=0,0,SUM($D11:HR11)-SUM($D13:HQ13))</f>
        <v/>
      </c>
      <c r="HS12" s="26">
        <f>IF(HS11=0,0,SUM($D11:HS11)-SUM($D13:HR13))</f>
        <v/>
      </c>
      <c r="HT12" s="26">
        <f>IF(HT11=0,0,SUM($D11:HT11)-SUM($D13:HS13))</f>
        <v/>
      </c>
      <c r="HU12" s="26">
        <f>IF(HU11=0,0,SUM($D11:HU11)-SUM($D13:HT13))</f>
        <v/>
      </c>
      <c r="HV12" s="26">
        <f>IF(HV11=0,0,SUM($D11:HV11)-SUM($D13:HU13))</f>
        <v/>
      </c>
      <c r="HW12" s="26">
        <f>IF(HW11=0,0,SUM($D11:HW11)-SUM($D13:HV13))</f>
        <v/>
      </c>
      <c r="HX12" s="26">
        <f>IF(HX11=0,0,SUM($D11:HX11)-SUM($D13:HW13))</f>
        <v/>
      </c>
      <c r="HY12" s="26">
        <f>IF(HY11=0,0,SUM($D11:HY11)-SUM($D13:HX13))</f>
        <v/>
      </c>
      <c r="HZ12" s="26">
        <f>IF(HZ11=0,0,SUM($D11:HZ11)-SUM($D13:HY13))</f>
        <v/>
      </c>
      <c r="IA12" s="26">
        <f>IF(IA11=0,0,SUM($D11:IA11)-SUM($D13:HZ13))</f>
        <v/>
      </c>
      <c r="IB12" s="26">
        <f>IF(IB11=0,0,SUM($D11:IB11)-SUM($D13:IA13))</f>
        <v/>
      </c>
      <c r="IC12" s="26">
        <f>IF(IC11=0,0,SUM($D11:IC11)-SUM($D13:IB13))</f>
        <v/>
      </c>
      <c r="ID12" s="26">
        <f>IF(ID11=0,0,SUM($D11:ID11)-SUM($D13:IC13))</f>
        <v/>
      </c>
      <c r="IE12" s="26">
        <f>IF(IE11=0,0,SUM($D11:IE11)-SUM($D13:ID13))</f>
        <v/>
      </c>
      <c r="IF12" s="26">
        <f>IF(IF11=0,0,SUM($D11:IF11)-SUM($D13:IE13))</f>
        <v/>
      </c>
      <c r="IG12" s="26">
        <f>IF(IG11=0,0,SUM($D11:IG11)-SUM($D13:IF13))</f>
        <v/>
      </c>
      <c r="IH12" s="26">
        <f>IF(IH11=0,0,SUM($D11:IH11)-SUM($D13:IG13))</f>
        <v/>
      </c>
      <c r="II12" s="26">
        <f>IF(II11=0,0,SUM($D11:II11)-SUM($D13:IH13))</f>
        <v/>
      </c>
      <c r="IJ12" s="26">
        <f>IF(IJ11=0,0,SUM($D11:IJ11)-SUM($D13:II13))</f>
        <v/>
      </c>
      <c r="IK12" s="26">
        <f>IF(IK11=0,0,SUM($D11:IK11)-SUM($D13:IJ13))</f>
        <v/>
      </c>
      <c r="IL12" s="26">
        <f>IF(IL11=0,0,SUM($D11:IL11)-SUM($D13:IK13))</f>
        <v/>
      </c>
      <c r="IM12" s="26">
        <f>IF(IM11=0,0,SUM($D11:IM11)-SUM($D13:IL13))</f>
        <v/>
      </c>
      <c r="IN12" s="26">
        <f>IF(IN11=0,0,SUM($D11:IN11)-SUM($D13:IM13))</f>
        <v/>
      </c>
      <c r="IO12" s="26">
        <f>IF(IO11=0,0,SUM($D11:IO11)-SUM($D13:IN13))</f>
        <v/>
      </c>
      <c r="IP12" s="26">
        <f>IF(IP11=0,0,SUM($D11:IP11)-SUM($D13:IO13))</f>
        <v/>
      </c>
      <c r="IQ12" s="26">
        <f>IF(IQ11=0,0,SUM($D11:IQ11)-SUM($D13:IP13))</f>
        <v/>
      </c>
      <c r="IR12" s="26">
        <f>IF(IR11=0,0,SUM($D11:IR11)-SUM($D13:IQ13))</f>
        <v/>
      </c>
      <c r="IS12" s="26">
        <f>IF(IS11=0,0,SUM($D11:IS11)-SUM($D13:IR13))</f>
        <v/>
      </c>
      <c r="IT12" s="26">
        <f>IF(IT11=0,0,SUM($D11:IT11)-SUM($D13:IS13))</f>
        <v/>
      </c>
      <c r="IU12" s="26">
        <f>IF(IU11=0,0,SUM($D11:IU11)-SUM($D13:IT13))</f>
        <v/>
      </c>
      <c r="IV12" s="26">
        <f>IF(IV11=0,0,SUM($D11:IV11)-SUM($D13:IU13))</f>
        <v/>
      </c>
      <c r="IW12" s="26">
        <f>IF(IW11=0,0,SUM($D11:IW11)-SUM($D13:IV13))</f>
        <v/>
      </c>
      <c r="IX12" s="26">
        <f>IF(IX11=0,0,SUM($D11:IX11)-SUM($D13:IW13))</f>
        <v/>
      </c>
      <c r="IY12" s="26">
        <f>IF(IY11=0,0,SUM($D11:IY11)-SUM($D13:IX13))</f>
        <v/>
      </c>
      <c r="IZ12" s="26">
        <f>IF(IZ11=0,0,SUM($D11:IZ11)-SUM($D13:IY13))</f>
        <v/>
      </c>
      <c r="JA12" s="26">
        <f>IF(JA11=0,0,SUM($D11:JA11)-SUM($D13:IZ13))</f>
        <v/>
      </c>
      <c r="JB12" s="26">
        <f>IF(JB11=0,0,SUM($D11:JB11)-SUM($D13:JA13))</f>
        <v/>
      </c>
      <c r="JC12" s="26">
        <f>IF(JC11=0,0,SUM($D11:JC11)-SUM($D13:JB13))</f>
        <v/>
      </c>
      <c r="JD12" s="26">
        <f>IF(JD11=0,0,SUM($D11:JD11)-SUM($D13:JC13))</f>
        <v/>
      </c>
      <c r="JE12" s="26">
        <f>IF(JE11=0,0,SUM($D11:JE11)-SUM($D13:JD13))</f>
        <v/>
      </c>
      <c r="JF12" s="26">
        <f>IF(JF11=0,0,SUM($D11:JF11)-SUM($D13:JE13))</f>
        <v/>
      </c>
      <c r="JG12" s="26">
        <f>IF(JG11=0,0,SUM($D11:JG11)-SUM($D13:JF13))</f>
        <v/>
      </c>
      <c r="JH12" s="26">
        <f>IF(JH11=0,0,SUM($D11:JH11)-SUM($D13:JG13))</f>
        <v/>
      </c>
      <c r="JI12" s="26">
        <f>IF(JI11=0,0,SUM($D11:JI11)-SUM($D13:JH13))</f>
        <v/>
      </c>
      <c r="JJ12" s="26">
        <f>IF(JJ11=0,0,SUM($D11:JJ11)-SUM($D13:JI13))</f>
        <v/>
      </c>
      <c r="JK12" s="26">
        <f>IF(JK11=0,0,SUM($D11:JK11)-SUM($D13:JJ13))</f>
        <v/>
      </c>
      <c r="JL12" s="26">
        <f>IF(JL11=0,0,SUM($D11:JL11)-SUM($D13:JK13))</f>
        <v/>
      </c>
      <c r="JM12" s="26">
        <f>IF(JM11=0,0,SUM($D11:JM11)-SUM($D13:JL13))</f>
        <v/>
      </c>
      <c r="JN12" s="26">
        <f>IF(JN11=0,0,SUM($D11:JN11)-SUM($D13:JM13))</f>
        <v/>
      </c>
      <c r="JO12" s="26">
        <f>IF(JO11=0,0,SUM($D11:JO11)-SUM($D13:JN13))</f>
        <v/>
      </c>
      <c r="JP12" s="26">
        <f>IF(JP11=0,0,SUM($D11:JP11)-SUM($D13:JO13))</f>
        <v/>
      </c>
      <c r="JQ12" s="26">
        <f>IF(JQ11=0,0,SUM($D11:JQ11)-SUM($D13:JP13))</f>
        <v/>
      </c>
      <c r="JR12" s="26">
        <f>IF(JR11=0,0,SUM($D11:JR11)-SUM($D13:JQ13))</f>
        <v/>
      </c>
      <c r="JS12" s="26">
        <f>IF(JS11=0,0,SUM($D11:JS11)-SUM($D13:JR13))</f>
        <v/>
      </c>
      <c r="JT12" s="26">
        <f>IF(JT11=0,0,SUM($D11:JT11)-SUM($D13:JS13))</f>
        <v/>
      </c>
      <c r="JU12" s="26">
        <f>IF(JU11=0,0,SUM($D11:JU11)-SUM($D13:JT13))</f>
        <v/>
      </c>
      <c r="JV12" s="26">
        <f>IF(JV11=0,0,SUM($D11:JV11)-SUM($D13:JU13))</f>
        <v/>
      </c>
      <c r="JW12" s="26">
        <f>IF(JW11=0,0,SUM($D11:JW11)-SUM($D13:JV13))</f>
        <v/>
      </c>
      <c r="JX12" s="26">
        <f>IF(JX11=0,0,SUM($D11:JX11)-SUM($D13:JW13))</f>
        <v/>
      </c>
      <c r="JY12" s="26">
        <f>IF(JY11=0,0,SUM($D11:JY11)-SUM($D13:JX13))</f>
        <v/>
      </c>
      <c r="JZ12" s="26">
        <f>IF(JZ11=0,0,SUM($D11:JZ11)-SUM($D13:JY13))</f>
        <v/>
      </c>
      <c r="KA12" s="26">
        <f>IF(KA11=0,0,SUM($D11:KA11)-SUM($D13:JZ13))</f>
        <v/>
      </c>
      <c r="KB12" s="26">
        <f>IF(KB11=0,0,SUM($D11:KB11)-SUM($D13:KA13))</f>
        <v/>
      </c>
      <c r="KC12" s="26">
        <f>IF(KC11=0,0,SUM($D11:KC11)-SUM($D13:KB13))</f>
        <v/>
      </c>
      <c r="KD12" s="26">
        <f>IF(KD11=0,0,SUM($D11:KD11)-SUM($D13:KC13))</f>
        <v/>
      </c>
      <c r="KE12" s="26">
        <f>IF(KE11=0,0,SUM($D11:KE11)-SUM($D13:KD13))</f>
        <v/>
      </c>
      <c r="KF12" s="26">
        <f>IF(KF11=0,0,SUM($D11:KF11)-SUM($D13:KE13))</f>
        <v/>
      </c>
      <c r="KG12" s="26">
        <f>IF(KG11=0,0,SUM($D11:KG11)-SUM($D13:KF13))</f>
        <v/>
      </c>
      <c r="KH12" s="26">
        <f>IF(KH11=0,0,SUM($D11:KH11)-SUM($D13:KG13))</f>
        <v/>
      </c>
      <c r="KI12" s="26">
        <f>IF(KI11=0,0,SUM($D11:KI11)-SUM($D13:KH13))</f>
        <v/>
      </c>
      <c r="KJ12" s="26">
        <f>IF(KJ11=0,0,SUM($D11:KJ11)-SUM($D13:KI13))</f>
        <v/>
      </c>
      <c r="KK12" s="26">
        <f>IF(KK11=0,0,SUM($D11:KK11)-SUM($D13:KJ13))</f>
        <v/>
      </c>
      <c r="KL12" s="26">
        <f>IF(KL11=0,0,SUM($D11:KL11)-SUM($D13:KK13))</f>
        <v/>
      </c>
      <c r="KM12" s="26">
        <f>IF(KM11=0,0,SUM($D11:KM11)-SUM($D13:KL13))</f>
        <v/>
      </c>
      <c r="KN12" s="26">
        <f>IF(KN11=0,0,SUM($D11:KN11)-SUM($D13:KM13))</f>
        <v/>
      </c>
      <c r="KO12" s="26">
        <f>IF(KO11=0,0,SUM($D11:KO11)-SUM($D13:KN13))</f>
        <v/>
      </c>
      <c r="KP12" s="26">
        <f>IF(KP11=0,0,SUM($D11:KP11)-SUM($D13:KO13))</f>
        <v/>
      </c>
      <c r="KQ12" s="26">
        <f>IF(KQ11=0,0,SUM($D11:KQ11)-SUM($D13:KP13))</f>
        <v/>
      </c>
      <c r="KR12" s="26">
        <f>IF(KR11=0,0,SUM($D11:KR11)-SUM($D13:KQ13))</f>
        <v/>
      </c>
      <c r="KS12" s="26">
        <f>IF(KS11=0,0,SUM($D11:KS11)-SUM($D13:KR13))</f>
        <v/>
      </c>
      <c r="KT12" s="26">
        <f>IF(KT11=0,0,SUM($D11:KT11)-SUM($D13:KS13))</f>
        <v/>
      </c>
      <c r="KU12" s="26">
        <f>IF(KU11=0,0,SUM($D11:KU11)-SUM($D13:KT13))</f>
        <v/>
      </c>
      <c r="KV12" s="26">
        <f>IF(KV11=0,0,SUM($D11:KV11)-SUM($D13:KU13))</f>
        <v/>
      </c>
      <c r="KW12" s="26">
        <f>IF(KW11=0,0,SUM($D11:KW11)-SUM($D13:KV13))</f>
        <v/>
      </c>
      <c r="KX12" s="26">
        <f>IF(KX11=0,0,SUM($D11:KX11)-SUM($D13:KW13))</f>
        <v/>
      </c>
      <c r="KY12" s="26">
        <f>IF(KY11=0,0,SUM($D11:KY11)-SUM($D13:KX13))</f>
        <v/>
      </c>
      <c r="KZ12" s="26">
        <f>IF(KZ11=0,0,SUM($D11:KZ11)-SUM($D13:KY13))</f>
        <v/>
      </c>
      <c r="LA12" s="26">
        <f>IF(LA11=0,0,SUM($D11:LA11)-SUM($D13:KZ13))</f>
        <v/>
      </c>
      <c r="LB12" s="26">
        <f>IF(LB11=0,0,SUM($D11:LB11)-SUM($D13:LA13))</f>
        <v/>
      </c>
      <c r="LC12" s="26">
        <f>IF(LC11=0,0,SUM($D11:LC11)-SUM($D13:LB13))</f>
        <v/>
      </c>
      <c r="LD12" s="26">
        <f>IF(LD11=0,0,SUM($D11:LD11)-SUM($D13:LC13))</f>
        <v/>
      </c>
      <c r="LE12" s="26">
        <f>IF(LE11=0,0,SUM($D11:LE11)-SUM($D13:LD13))</f>
        <v/>
      </c>
      <c r="LF12" s="26">
        <f>IF(LF11=0,0,SUM($D11:LF11)-SUM($D13:LE13))</f>
        <v/>
      </c>
      <c r="LG12" s="26">
        <f>IF(LG11=0,0,SUM($D11:LG11)-SUM($D13:LF13))</f>
        <v/>
      </c>
      <c r="LH12" s="26">
        <f>IF(LH11=0,0,SUM($D11:LH11)-SUM($D13:LG13))</f>
        <v/>
      </c>
      <c r="LI12" s="26">
        <f>IF(LI11=0,0,SUM($D11:LI11)-SUM($D13:LH13))</f>
        <v/>
      </c>
    </row>
    <row r="13">
      <c r="B13" s="17" t="inlineStr">
        <is>
          <t>Ajuste liberado</t>
        </is>
      </c>
      <c r="D13" s="26">
        <f>IF(D12&gt;=p_gatillo,D12,0)</f>
        <v/>
      </c>
      <c r="E13" s="26">
        <f>IF(E12&gt;=p_gatillo,E12,0)</f>
        <v/>
      </c>
      <c r="F13" s="26">
        <f>IF(F12&gt;=p_gatillo,F12,0)</f>
        <v/>
      </c>
      <c r="G13" s="26">
        <f>IF(G12&gt;=p_gatillo,G12,0)</f>
        <v/>
      </c>
      <c r="H13" s="26">
        <f>IF(H12&gt;=p_gatillo,H12,0)</f>
        <v/>
      </c>
      <c r="I13" s="26">
        <f>IF(I12&gt;=p_gatillo,I12,0)</f>
        <v/>
      </c>
      <c r="J13" s="26">
        <f>IF(J12&gt;=p_gatillo,J12,0)</f>
        <v/>
      </c>
      <c r="K13" s="26">
        <f>IF(K12&gt;=p_gatillo,K12,0)</f>
        <v/>
      </c>
      <c r="L13" s="26">
        <f>IF(L12&gt;=p_gatillo,L12,0)</f>
        <v/>
      </c>
      <c r="M13" s="26">
        <f>IF(M12&gt;=p_gatillo,M12,0)</f>
        <v/>
      </c>
      <c r="N13" s="26">
        <f>IF(N12&gt;=p_gatillo,N12,0)</f>
        <v/>
      </c>
      <c r="O13" s="26">
        <f>IF(O12&gt;=p_gatillo,O12,0)</f>
        <v/>
      </c>
      <c r="P13" s="26">
        <f>IF(P12&gt;=p_gatillo,P12,0)</f>
        <v/>
      </c>
      <c r="Q13" s="26">
        <f>IF(Q12&gt;=p_gatillo,Q12,0)</f>
        <v/>
      </c>
      <c r="R13" s="26">
        <f>IF(R12&gt;=p_gatillo,R12,0)</f>
        <v/>
      </c>
      <c r="S13" s="26">
        <f>IF(S12&gt;=p_gatillo,S12,0)</f>
        <v/>
      </c>
      <c r="T13" s="26">
        <f>IF(T12&gt;=p_gatillo,T12,0)</f>
        <v/>
      </c>
      <c r="U13" s="26">
        <f>IF(U12&gt;=p_gatillo,U12,0)</f>
        <v/>
      </c>
      <c r="V13" s="26">
        <f>IF(V12&gt;=p_gatillo,V12,0)</f>
        <v/>
      </c>
      <c r="W13" s="26">
        <f>IF(W12&gt;=p_gatillo,W12,0)</f>
        <v/>
      </c>
      <c r="X13" s="26">
        <f>IF(X12&gt;=p_gatillo,X12,0)</f>
        <v/>
      </c>
      <c r="Y13" s="26">
        <f>IF(Y12&gt;=p_gatillo,Y12,0)</f>
        <v/>
      </c>
      <c r="Z13" s="26">
        <f>IF(Z12&gt;=p_gatillo,Z12,0)</f>
        <v/>
      </c>
      <c r="AA13" s="26">
        <f>IF(AA12&gt;=p_gatillo,AA12,0)</f>
        <v/>
      </c>
      <c r="AB13" s="26">
        <f>IF(AB12&gt;=p_gatillo,AB12,0)</f>
        <v/>
      </c>
      <c r="AC13" s="26">
        <f>IF(AC12&gt;=p_gatillo,AC12,0)</f>
        <v/>
      </c>
      <c r="AD13" s="26">
        <f>IF(AD12&gt;=p_gatillo,AD12,0)</f>
        <v/>
      </c>
      <c r="AE13" s="26">
        <f>IF(AE12&gt;=p_gatillo,AE12,0)</f>
        <v/>
      </c>
      <c r="AF13" s="26">
        <f>IF(AF12&gt;=p_gatillo,AF12,0)</f>
        <v/>
      </c>
      <c r="AG13" s="26">
        <f>IF(AG12&gt;=p_gatillo,AG12,0)</f>
        <v/>
      </c>
      <c r="AH13" s="26">
        <f>IF(AH12&gt;=p_gatillo,AH12,0)</f>
        <v/>
      </c>
      <c r="AI13" s="26">
        <f>IF(AI12&gt;=p_gatillo,AI12,0)</f>
        <v/>
      </c>
      <c r="AJ13" s="26">
        <f>IF(AJ12&gt;=p_gatillo,AJ12,0)</f>
        <v/>
      </c>
      <c r="AK13" s="26">
        <f>IF(AK12&gt;=p_gatillo,AK12,0)</f>
        <v/>
      </c>
      <c r="AL13" s="26">
        <f>IF(AL12&gt;=p_gatillo,AL12,0)</f>
        <v/>
      </c>
      <c r="AM13" s="26">
        <f>IF(AM12&gt;=p_gatillo,AM12,0)</f>
        <v/>
      </c>
      <c r="AN13" s="26">
        <f>IF(AN12&gt;=p_gatillo,AN12,0)</f>
        <v/>
      </c>
      <c r="AO13" s="26">
        <f>IF(AO12&gt;=p_gatillo,AO12,0)</f>
        <v/>
      </c>
      <c r="AP13" s="26">
        <f>IF(AP12&gt;=p_gatillo,AP12,0)</f>
        <v/>
      </c>
      <c r="AQ13" s="26">
        <f>IF(AQ12&gt;=p_gatillo,AQ12,0)</f>
        <v/>
      </c>
      <c r="AR13" s="26">
        <f>IF(AR12&gt;=p_gatillo,AR12,0)</f>
        <v/>
      </c>
      <c r="AS13" s="26">
        <f>IF(AS12&gt;=p_gatillo,AS12,0)</f>
        <v/>
      </c>
      <c r="AT13" s="26">
        <f>IF(AT12&gt;=p_gatillo,AT12,0)</f>
        <v/>
      </c>
      <c r="AU13" s="26">
        <f>IF(AU12&gt;=p_gatillo,AU12,0)</f>
        <v/>
      </c>
      <c r="AV13" s="26">
        <f>IF(AV12&gt;=p_gatillo,AV12,0)</f>
        <v/>
      </c>
      <c r="AW13" s="26">
        <f>IF(AW12&gt;=p_gatillo,AW12,0)</f>
        <v/>
      </c>
      <c r="AX13" s="26">
        <f>IF(AX12&gt;=p_gatillo,AX12,0)</f>
        <v/>
      </c>
      <c r="AY13" s="26">
        <f>IF(AY12&gt;=p_gatillo,AY12,0)</f>
        <v/>
      </c>
      <c r="AZ13" s="26">
        <f>IF(AZ12&gt;=p_gatillo,AZ12,0)</f>
        <v/>
      </c>
      <c r="BA13" s="26">
        <f>IF(BA12&gt;=p_gatillo,BA12,0)</f>
        <v/>
      </c>
      <c r="BB13" s="26">
        <f>IF(BB12&gt;=p_gatillo,BB12,0)</f>
        <v/>
      </c>
      <c r="BC13" s="26">
        <f>IF(BC12&gt;=p_gatillo,BC12,0)</f>
        <v/>
      </c>
      <c r="BD13" s="26">
        <f>IF(BD12&gt;=p_gatillo,BD12,0)</f>
        <v/>
      </c>
      <c r="BE13" s="26">
        <f>IF(BE12&gt;=p_gatillo,BE12,0)</f>
        <v/>
      </c>
      <c r="BF13" s="26">
        <f>IF(BF12&gt;=p_gatillo,BF12,0)</f>
        <v/>
      </c>
      <c r="BG13" s="26">
        <f>IF(BG12&gt;=p_gatillo,BG12,0)</f>
        <v/>
      </c>
      <c r="BH13" s="26">
        <f>IF(BH12&gt;=p_gatillo,BH12,0)</f>
        <v/>
      </c>
      <c r="BI13" s="26">
        <f>IF(BI12&gt;=p_gatillo,BI12,0)</f>
        <v/>
      </c>
      <c r="BJ13" s="26">
        <f>IF(BJ12&gt;=p_gatillo,BJ12,0)</f>
        <v/>
      </c>
      <c r="BK13" s="26">
        <f>IF(BK12&gt;=p_gatillo,BK12,0)</f>
        <v/>
      </c>
      <c r="BL13" s="26">
        <f>IF(BL12&gt;=p_gatillo,BL12,0)</f>
        <v/>
      </c>
      <c r="BM13" s="26">
        <f>IF(BM12&gt;=p_gatillo,BM12,0)</f>
        <v/>
      </c>
      <c r="BN13" s="26">
        <f>IF(BN12&gt;=p_gatillo,BN12,0)</f>
        <v/>
      </c>
      <c r="BO13" s="26">
        <f>IF(BO12&gt;=p_gatillo,BO12,0)</f>
        <v/>
      </c>
      <c r="BP13" s="26">
        <f>IF(BP12&gt;=p_gatillo,BP12,0)</f>
        <v/>
      </c>
      <c r="BQ13" s="26">
        <f>IF(BQ12&gt;=p_gatillo,BQ12,0)</f>
        <v/>
      </c>
      <c r="BR13" s="26">
        <f>IF(BR12&gt;=p_gatillo,BR12,0)</f>
        <v/>
      </c>
      <c r="BS13" s="26">
        <f>IF(BS12&gt;=p_gatillo,BS12,0)</f>
        <v/>
      </c>
      <c r="BT13" s="26">
        <f>IF(BT12&gt;=p_gatillo,BT12,0)</f>
        <v/>
      </c>
      <c r="BU13" s="26">
        <f>IF(BU12&gt;=p_gatillo,BU12,0)</f>
        <v/>
      </c>
      <c r="BV13" s="26">
        <f>IF(BV12&gt;=p_gatillo,BV12,0)</f>
        <v/>
      </c>
      <c r="BW13" s="26">
        <f>IF(BW12&gt;=p_gatillo,BW12,0)</f>
        <v/>
      </c>
      <c r="BX13" s="26">
        <f>IF(BX12&gt;=p_gatillo,BX12,0)</f>
        <v/>
      </c>
      <c r="BY13" s="26">
        <f>IF(BY12&gt;=p_gatillo,BY12,0)</f>
        <v/>
      </c>
      <c r="BZ13" s="26">
        <f>IF(BZ12&gt;=p_gatillo,BZ12,0)</f>
        <v/>
      </c>
      <c r="CA13" s="26">
        <f>IF(CA12&gt;=p_gatillo,CA12,0)</f>
        <v/>
      </c>
      <c r="CB13" s="26">
        <f>IF(CB12&gt;=p_gatillo,CB12,0)</f>
        <v/>
      </c>
      <c r="CC13" s="26">
        <f>IF(CC12&gt;=p_gatillo,CC12,0)</f>
        <v/>
      </c>
      <c r="CD13" s="26">
        <f>IF(CD12&gt;=p_gatillo,CD12,0)</f>
        <v/>
      </c>
      <c r="CE13" s="26">
        <f>IF(CE12&gt;=p_gatillo,CE12,0)</f>
        <v/>
      </c>
      <c r="CF13" s="26">
        <f>IF(CF12&gt;=p_gatillo,CF12,0)</f>
        <v/>
      </c>
      <c r="CG13" s="26">
        <f>IF(CG12&gt;=p_gatillo,CG12,0)</f>
        <v/>
      </c>
      <c r="CH13" s="26">
        <f>IF(CH12&gt;=p_gatillo,CH12,0)</f>
        <v/>
      </c>
      <c r="CI13" s="26">
        <f>IF(CI12&gt;=p_gatillo,CI12,0)</f>
        <v/>
      </c>
      <c r="CJ13" s="26">
        <f>IF(CJ12&gt;=p_gatillo,CJ12,0)</f>
        <v/>
      </c>
      <c r="CK13" s="26">
        <f>IF(CK12&gt;=p_gatillo,CK12,0)</f>
        <v/>
      </c>
      <c r="CL13" s="26">
        <f>IF(CL12&gt;=p_gatillo,CL12,0)</f>
        <v/>
      </c>
      <c r="CM13" s="26">
        <f>IF(CM12&gt;=p_gatillo,CM12,0)</f>
        <v/>
      </c>
      <c r="CN13" s="26">
        <f>IF(CN12&gt;=p_gatillo,CN12,0)</f>
        <v/>
      </c>
      <c r="CO13" s="26">
        <f>IF(CO12&gt;=p_gatillo,CO12,0)</f>
        <v/>
      </c>
      <c r="CP13" s="26">
        <f>IF(CP12&gt;=p_gatillo,CP12,0)</f>
        <v/>
      </c>
      <c r="CQ13" s="26">
        <f>IF(CQ12&gt;=p_gatillo,CQ12,0)</f>
        <v/>
      </c>
      <c r="CR13" s="26">
        <f>IF(CR12&gt;=p_gatillo,CR12,0)</f>
        <v/>
      </c>
      <c r="CS13" s="26">
        <f>IF(CS12&gt;=p_gatillo,CS12,0)</f>
        <v/>
      </c>
      <c r="CT13" s="26">
        <f>IF(CT12&gt;=p_gatillo,CT12,0)</f>
        <v/>
      </c>
      <c r="CU13" s="26">
        <f>IF(CU12&gt;=p_gatillo,CU12,0)</f>
        <v/>
      </c>
      <c r="CV13" s="26">
        <f>IF(CV12&gt;=p_gatillo,CV12,0)</f>
        <v/>
      </c>
      <c r="CW13" s="26">
        <f>IF(CW12&gt;=p_gatillo,CW12,0)</f>
        <v/>
      </c>
      <c r="CX13" s="26">
        <f>IF(CX12&gt;=p_gatillo,CX12,0)</f>
        <v/>
      </c>
      <c r="CY13" s="26">
        <f>IF(CY12&gt;=p_gatillo,CY12,0)</f>
        <v/>
      </c>
      <c r="CZ13" s="26">
        <f>IF(CZ12&gt;=p_gatillo,CZ12,0)</f>
        <v/>
      </c>
      <c r="DA13" s="26">
        <f>IF(DA12&gt;=p_gatillo,DA12,0)</f>
        <v/>
      </c>
      <c r="DB13" s="26">
        <f>IF(DB12&gt;=p_gatillo,DB12,0)</f>
        <v/>
      </c>
      <c r="DC13" s="26">
        <f>IF(DC12&gt;=p_gatillo,DC12,0)</f>
        <v/>
      </c>
      <c r="DD13" s="26">
        <f>IF(DD12&gt;=p_gatillo,DD12,0)</f>
        <v/>
      </c>
      <c r="DE13" s="26">
        <f>IF(DE12&gt;=p_gatillo,DE12,0)</f>
        <v/>
      </c>
      <c r="DF13" s="26">
        <f>IF(DF12&gt;=p_gatillo,DF12,0)</f>
        <v/>
      </c>
      <c r="DG13" s="26">
        <f>IF(DG12&gt;=p_gatillo,DG12,0)</f>
        <v/>
      </c>
      <c r="DH13" s="26">
        <f>IF(DH12&gt;=p_gatillo,DH12,0)</f>
        <v/>
      </c>
      <c r="DI13" s="26">
        <f>IF(DI12&gt;=p_gatillo,DI12,0)</f>
        <v/>
      </c>
      <c r="DJ13" s="26">
        <f>IF(DJ12&gt;=p_gatillo,DJ12,0)</f>
        <v/>
      </c>
      <c r="DK13" s="26">
        <f>IF(DK12&gt;=p_gatillo,DK12,0)</f>
        <v/>
      </c>
      <c r="DL13" s="26">
        <f>IF(DL12&gt;=p_gatillo,DL12,0)</f>
        <v/>
      </c>
      <c r="DM13" s="26">
        <f>IF(DM12&gt;=p_gatillo,DM12,0)</f>
        <v/>
      </c>
      <c r="DN13" s="26">
        <f>IF(DN12&gt;=p_gatillo,DN12,0)</f>
        <v/>
      </c>
      <c r="DO13" s="26">
        <f>IF(DO12&gt;=p_gatillo,DO12,0)</f>
        <v/>
      </c>
      <c r="DP13" s="26">
        <f>IF(DP12&gt;=p_gatillo,DP12,0)</f>
        <v/>
      </c>
      <c r="DQ13" s="26">
        <f>IF(DQ12&gt;=p_gatillo,DQ12,0)</f>
        <v/>
      </c>
      <c r="DR13" s="26">
        <f>IF(DR12&gt;=p_gatillo,DR12,0)</f>
        <v/>
      </c>
      <c r="DS13" s="26">
        <f>IF(DS12&gt;=p_gatillo,DS12,0)</f>
        <v/>
      </c>
      <c r="DT13" s="26">
        <f>IF(DT12&gt;=p_gatillo,DT12,0)</f>
        <v/>
      </c>
      <c r="DU13" s="26">
        <f>IF(DU12&gt;=p_gatillo,DU12,0)</f>
        <v/>
      </c>
      <c r="DV13" s="26">
        <f>IF(DV12&gt;=p_gatillo,DV12,0)</f>
        <v/>
      </c>
      <c r="DW13" s="26">
        <f>IF(DW12&gt;=p_gatillo,DW12,0)</f>
        <v/>
      </c>
      <c r="DX13" s="26">
        <f>IF(DX12&gt;=p_gatillo,DX12,0)</f>
        <v/>
      </c>
      <c r="DY13" s="26">
        <f>IF(DY12&gt;=p_gatillo,DY12,0)</f>
        <v/>
      </c>
      <c r="DZ13" s="26">
        <f>IF(DZ12&gt;=p_gatillo,DZ12,0)</f>
        <v/>
      </c>
      <c r="EA13" s="26">
        <f>IF(EA12&gt;=p_gatillo,EA12,0)</f>
        <v/>
      </c>
      <c r="EB13" s="26">
        <f>IF(EB12&gt;=p_gatillo,EB12,0)</f>
        <v/>
      </c>
      <c r="EC13" s="26">
        <f>IF(EC12&gt;=p_gatillo,EC12,0)</f>
        <v/>
      </c>
      <c r="ED13" s="26">
        <f>IF(ED12&gt;=p_gatillo,ED12,0)</f>
        <v/>
      </c>
      <c r="EE13" s="26">
        <f>IF(EE12&gt;=p_gatillo,EE12,0)</f>
        <v/>
      </c>
      <c r="EF13" s="26">
        <f>IF(EF12&gt;=p_gatillo,EF12,0)</f>
        <v/>
      </c>
      <c r="EG13" s="26">
        <f>IF(EG12&gt;=p_gatillo,EG12,0)</f>
        <v/>
      </c>
      <c r="EH13" s="26">
        <f>IF(EH12&gt;=p_gatillo,EH12,0)</f>
        <v/>
      </c>
      <c r="EI13" s="26">
        <f>IF(EI12&gt;=p_gatillo,EI12,0)</f>
        <v/>
      </c>
      <c r="EJ13" s="26">
        <f>IF(EJ12&gt;=p_gatillo,EJ12,0)</f>
        <v/>
      </c>
      <c r="EK13" s="26">
        <f>IF(EK12&gt;=p_gatillo,EK12,0)</f>
        <v/>
      </c>
      <c r="EL13" s="26">
        <f>IF(EL12&gt;=p_gatillo,EL12,0)</f>
        <v/>
      </c>
      <c r="EM13" s="26">
        <f>IF(EM12&gt;=p_gatillo,EM12,0)</f>
        <v/>
      </c>
      <c r="EN13" s="26">
        <f>IF(EN12&gt;=p_gatillo,EN12,0)</f>
        <v/>
      </c>
      <c r="EO13" s="26">
        <f>IF(EO12&gt;=p_gatillo,EO12,0)</f>
        <v/>
      </c>
      <c r="EP13" s="26">
        <f>IF(EP12&gt;=p_gatillo,EP12,0)</f>
        <v/>
      </c>
      <c r="EQ13" s="26">
        <f>IF(EQ12&gt;=p_gatillo,EQ12,0)</f>
        <v/>
      </c>
      <c r="ER13" s="26">
        <f>IF(ER12&gt;=p_gatillo,ER12,0)</f>
        <v/>
      </c>
      <c r="ES13" s="26">
        <f>IF(ES12&gt;=p_gatillo,ES12,0)</f>
        <v/>
      </c>
      <c r="ET13" s="26">
        <f>IF(ET12&gt;=p_gatillo,ET12,0)</f>
        <v/>
      </c>
      <c r="EU13" s="26">
        <f>IF(EU12&gt;=p_gatillo,EU12,0)</f>
        <v/>
      </c>
      <c r="EV13" s="26">
        <f>IF(EV12&gt;=p_gatillo,EV12,0)</f>
        <v/>
      </c>
      <c r="EW13" s="26">
        <f>IF(EW12&gt;=p_gatillo,EW12,0)</f>
        <v/>
      </c>
      <c r="EX13" s="26">
        <f>IF(EX12&gt;=p_gatillo,EX12,0)</f>
        <v/>
      </c>
      <c r="EY13" s="26">
        <f>IF(EY12&gt;=p_gatillo,EY12,0)</f>
        <v/>
      </c>
      <c r="EZ13" s="26">
        <f>IF(EZ12&gt;=p_gatillo,EZ12,0)</f>
        <v/>
      </c>
      <c r="FA13" s="26">
        <f>IF(FA12&gt;=p_gatillo,FA12,0)</f>
        <v/>
      </c>
      <c r="FB13" s="26">
        <f>IF(FB12&gt;=p_gatillo,FB12,0)</f>
        <v/>
      </c>
      <c r="FC13" s="26">
        <f>IF(FC12&gt;=p_gatillo,FC12,0)</f>
        <v/>
      </c>
      <c r="FD13" s="26">
        <f>IF(FD12&gt;=p_gatillo,FD12,0)</f>
        <v/>
      </c>
      <c r="FE13" s="26">
        <f>IF(FE12&gt;=p_gatillo,FE12,0)</f>
        <v/>
      </c>
      <c r="FF13" s="26">
        <f>IF(FF12&gt;=p_gatillo,FF12,0)</f>
        <v/>
      </c>
      <c r="FG13" s="26">
        <f>IF(FG12&gt;=p_gatillo,FG12,0)</f>
        <v/>
      </c>
      <c r="FH13" s="26">
        <f>IF(FH12&gt;=p_gatillo,FH12,0)</f>
        <v/>
      </c>
      <c r="FI13" s="26">
        <f>IF(FI12&gt;=p_gatillo,FI12,0)</f>
        <v/>
      </c>
      <c r="FJ13" s="26">
        <f>IF(FJ12&gt;=p_gatillo,FJ12,0)</f>
        <v/>
      </c>
      <c r="FK13" s="26">
        <f>IF(FK12&gt;=p_gatillo,FK12,0)</f>
        <v/>
      </c>
      <c r="FL13" s="26">
        <f>IF(FL12&gt;=p_gatillo,FL12,0)</f>
        <v/>
      </c>
      <c r="FM13" s="26">
        <f>IF(FM12&gt;=p_gatillo,FM12,0)</f>
        <v/>
      </c>
      <c r="FN13" s="26">
        <f>IF(FN12&gt;=p_gatillo,FN12,0)</f>
        <v/>
      </c>
      <c r="FO13" s="26">
        <f>IF(FO12&gt;=p_gatillo,FO12,0)</f>
        <v/>
      </c>
      <c r="FP13" s="26">
        <f>IF(FP12&gt;=p_gatillo,FP12,0)</f>
        <v/>
      </c>
      <c r="FQ13" s="26">
        <f>IF(FQ12&gt;=p_gatillo,FQ12,0)</f>
        <v/>
      </c>
      <c r="FR13" s="26">
        <f>IF(FR12&gt;=p_gatillo,FR12,0)</f>
        <v/>
      </c>
      <c r="FS13" s="26">
        <f>IF(FS12&gt;=p_gatillo,FS12,0)</f>
        <v/>
      </c>
      <c r="FT13" s="26">
        <f>IF(FT12&gt;=p_gatillo,FT12,0)</f>
        <v/>
      </c>
      <c r="FU13" s="26">
        <f>IF(FU12&gt;=p_gatillo,FU12,0)</f>
        <v/>
      </c>
      <c r="FV13" s="26">
        <f>IF(FV12&gt;=p_gatillo,FV12,0)</f>
        <v/>
      </c>
      <c r="FW13" s="26">
        <f>IF(FW12&gt;=p_gatillo,FW12,0)</f>
        <v/>
      </c>
      <c r="FX13" s="26">
        <f>IF(FX12&gt;=p_gatillo,FX12,0)</f>
        <v/>
      </c>
      <c r="FY13" s="26">
        <f>IF(FY12&gt;=p_gatillo,FY12,0)</f>
        <v/>
      </c>
      <c r="FZ13" s="26">
        <f>IF(FZ12&gt;=p_gatillo,FZ12,0)</f>
        <v/>
      </c>
      <c r="GA13" s="26">
        <f>IF(GA12&gt;=p_gatillo,GA12,0)</f>
        <v/>
      </c>
      <c r="GB13" s="26">
        <f>IF(GB12&gt;=p_gatillo,GB12,0)</f>
        <v/>
      </c>
      <c r="GC13" s="26">
        <f>IF(GC12&gt;=p_gatillo,GC12,0)</f>
        <v/>
      </c>
      <c r="GD13" s="26">
        <f>IF(GD12&gt;=p_gatillo,GD12,0)</f>
        <v/>
      </c>
      <c r="GE13" s="26">
        <f>IF(GE12&gt;=p_gatillo,GE12,0)</f>
        <v/>
      </c>
      <c r="GF13" s="26">
        <f>IF(GF12&gt;=p_gatillo,GF12,0)</f>
        <v/>
      </c>
      <c r="GG13" s="26">
        <f>IF(GG12&gt;=p_gatillo,GG12,0)</f>
        <v/>
      </c>
      <c r="GH13" s="26">
        <f>IF(GH12&gt;=p_gatillo,GH12,0)</f>
        <v/>
      </c>
      <c r="GI13" s="26">
        <f>IF(GI12&gt;=p_gatillo,GI12,0)</f>
        <v/>
      </c>
      <c r="GJ13" s="26">
        <f>IF(GJ12&gt;=p_gatillo,GJ12,0)</f>
        <v/>
      </c>
      <c r="GK13" s="26">
        <f>IF(GK12&gt;=p_gatillo,GK12,0)</f>
        <v/>
      </c>
      <c r="GL13" s="26">
        <f>IF(GL12&gt;=p_gatillo,GL12,0)</f>
        <v/>
      </c>
      <c r="GM13" s="26">
        <f>IF(GM12&gt;=p_gatillo,GM12,0)</f>
        <v/>
      </c>
      <c r="GN13" s="26">
        <f>IF(GN12&gt;=p_gatillo,GN12,0)</f>
        <v/>
      </c>
      <c r="GO13" s="26">
        <f>IF(GO12&gt;=p_gatillo,GO12,0)</f>
        <v/>
      </c>
      <c r="GP13" s="26">
        <f>IF(GP12&gt;=p_gatillo,GP12,0)</f>
        <v/>
      </c>
      <c r="GQ13" s="26">
        <f>IF(GQ12&gt;=p_gatillo,GQ12,0)</f>
        <v/>
      </c>
      <c r="GR13" s="26">
        <f>IF(GR12&gt;=p_gatillo,GR12,0)</f>
        <v/>
      </c>
      <c r="GS13" s="26">
        <f>IF(GS12&gt;=p_gatillo,GS12,0)</f>
        <v/>
      </c>
      <c r="GT13" s="26">
        <f>IF(GT12&gt;=p_gatillo,GT12,0)</f>
        <v/>
      </c>
      <c r="GU13" s="26">
        <f>IF(GU12&gt;=p_gatillo,GU12,0)</f>
        <v/>
      </c>
      <c r="GV13" s="26">
        <f>IF(GV12&gt;=p_gatillo,GV12,0)</f>
        <v/>
      </c>
      <c r="GW13" s="26">
        <f>IF(GW12&gt;=p_gatillo,GW12,0)</f>
        <v/>
      </c>
      <c r="GX13" s="26">
        <f>IF(GX12&gt;=p_gatillo,GX12,0)</f>
        <v/>
      </c>
      <c r="GY13" s="26">
        <f>IF(GY12&gt;=p_gatillo,GY12,0)</f>
        <v/>
      </c>
      <c r="GZ13" s="26">
        <f>IF(GZ12&gt;=p_gatillo,GZ12,0)</f>
        <v/>
      </c>
      <c r="HA13" s="26">
        <f>IF(HA12&gt;=p_gatillo,HA12,0)</f>
        <v/>
      </c>
      <c r="HB13" s="26">
        <f>IF(HB12&gt;=p_gatillo,HB12,0)</f>
        <v/>
      </c>
      <c r="HC13" s="26">
        <f>IF(HC12&gt;=p_gatillo,HC12,0)</f>
        <v/>
      </c>
      <c r="HD13" s="26">
        <f>IF(HD12&gt;=p_gatillo,HD12,0)</f>
        <v/>
      </c>
      <c r="HE13" s="26">
        <f>IF(HE12&gt;=p_gatillo,HE12,0)</f>
        <v/>
      </c>
      <c r="HF13" s="26">
        <f>IF(HF12&gt;=p_gatillo,HF12,0)</f>
        <v/>
      </c>
      <c r="HG13" s="26">
        <f>IF(HG12&gt;=p_gatillo,HG12,0)</f>
        <v/>
      </c>
      <c r="HH13" s="26">
        <f>IF(HH12&gt;=p_gatillo,HH12,0)</f>
        <v/>
      </c>
      <c r="HI13" s="26">
        <f>IF(HI12&gt;=p_gatillo,HI12,0)</f>
        <v/>
      </c>
      <c r="HJ13" s="26">
        <f>IF(HJ12&gt;=p_gatillo,HJ12,0)</f>
        <v/>
      </c>
      <c r="HK13" s="26">
        <f>IF(HK12&gt;=p_gatillo,HK12,0)</f>
        <v/>
      </c>
      <c r="HL13" s="26">
        <f>IF(HL12&gt;=p_gatillo,HL12,0)</f>
        <v/>
      </c>
      <c r="HM13" s="26">
        <f>IF(HM12&gt;=p_gatillo,HM12,0)</f>
        <v/>
      </c>
      <c r="HN13" s="26">
        <f>IF(HN12&gt;=p_gatillo,HN12,0)</f>
        <v/>
      </c>
      <c r="HO13" s="26">
        <f>IF(HO12&gt;=p_gatillo,HO12,0)</f>
        <v/>
      </c>
      <c r="HP13" s="26">
        <f>IF(HP12&gt;=p_gatillo,HP12,0)</f>
        <v/>
      </c>
      <c r="HQ13" s="26">
        <f>IF(HQ12&gt;=p_gatillo,HQ12,0)</f>
        <v/>
      </c>
      <c r="HR13" s="26">
        <f>IF(HR12&gt;=p_gatillo,HR12,0)</f>
        <v/>
      </c>
      <c r="HS13" s="26">
        <f>IF(HS12&gt;=p_gatillo,HS12,0)</f>
        <v/>
      </c>
      <c r="HT13" s="26">
        <f>IF(HT12&gt;=p_gatillo,HT12,0)</f>
        <v/>
      </c>
      <c r="HU13" s="26">
        <f>IF(HU12&gt;=p_gatillo,HU12,0)</f>
        <v/>
      </c>
      <c r="HV13" s="26">
        <f>IF(HV12&gt;=p_gatillo,HV12,0)</f>
        <v/>
      </c>
      <c r="HW13" s="26">
        <f>IF(HW12&gt;=p_gatillo,HW12,0)</f>
        <v/>
      </c>
      <c r="HX13" s="26">
        <f>IF(HX12&gt;=p_gatillo,HX12,0)</f>
        <v/>
      </c>
      <c r="HY13" s="26">
        <f>IF(HY12&gt;=p_gatillo,HY12,0)</f>
        <v/>
      </c>
      <c r="HZ13" s="26">
        <f>IF(HZ12&gt;=p_gatillo,HZ12,0)</f>
        <v/>
      </c>
      <c r="IA13" s="26">
        <f>IF(IA12&gt;=p_gatillo,IA12,0)</f>
        <v/>
      </c>
      <c r="IB13" s="26">
        <f>IF(IB12&gt;=p_gatillo,IB12,0)</f>
        <v/>
      </c>
      <c r="IC13" s="26">
        <f>IF(IC12&gt;=p_gatillo,IC12,0)</f>
        <v/>
      </c>
      <c r="ID13" s="26">
        <f>IF(ID12&gt;=p_gatillo,ID12,0)</f>
        <v/>
      </c>
      <c r="IE13" s="26">
        <f>IF(IE12&gt;=p_gatillo,IE12,0)</f>
        <v/>
      </c>
      <c r="IF13" s="26">
        <f>IF(IF12&gt;=p_gatillo,IF12,0)</f>
        <v/>
      </c>
      <c r="IG13" s="26">
        <f>IF(IG12&gt;=p_gatillo,IG12,0)</f>
        <v/>
      </c>
      <c r="IH13" s="26">
        <f>IF(IH12&gt;=p_gatillo,IH12,0)</f>
        <v/>
      </c>
      <c r="II13" s="26">
        <f>IF(II12&gt;=p_gatillo,II12,0)</f>
        <v/>
      </c>
      <c r="IJ13" s="26">
        <f>IF(IJ12&gt;=p_gatillo,IJ12,0)</f>
        <v/>
      </c>
      <c r="IK13" s="26">
        <f>IF(IK12&gt;=p_gatillo,IK12,0)</f>
        <v/>
      </c>
      <c r="IL13" s="26">
        <f>IF(IL12&gt;=p_gatillo,IL12,0)</f>
        <v/>
      </c>
      <c r="IM13" s="26">
        <f>IF(IM12&gt;=p_gatillo,IM12,0)</f>
        <v/>
      </c>
      <c r="IN13" s="26">
        <f>IF(IN12&gt;=p_gatillo,IN12,0)</f>
        <v/>
      </c>
      <c r="IO13" s="26">
        <f>IF(IO12&gt;=p_gatillo,IO12,0)</f>
        <v/>
      </c>
      <c r="IP13" s="26">
        <f>IF(IP12&gt;=p_gatillo,IP12,0)</f>
        <v/>
      </c>
      <c r="IQ13" s="26">
        <f>IF(IQ12&gt;=p_gatillo,IQ12,0)</f>
        <v/>
      </c>
      <c r="IR13" s="26">
        <f>IF(IR12&gt;=p_gatillo,IR12,0)</f>
        <v/>
      </c>
      <c r="IS13" s="26">
        <f>IF(IS12&gt;=p_gatillo,IS12,0)</f>
        <v/>
      </c>
      <c r="IT13" s="26">
        <f>IF(IT12&gt;=p_gatillo,IT12,0)</f>
        <v/>
      </c>
      <c r="IU13" s="26">
        <f>IF(IU12&gt;=p_gatillo,IU12,0)</f>
        <v/>
      </c>
      <c r="IV13" s="26">
        <f>IF(IV12&gt;=p_gatillo,IV12,0)</f>
        <v/>
      </c>
      <c r="IW13" s="26">
        <f>IF(IW12&gt;=p_gatillo,IW12,0)</f>
        <v/>
      </c>
      <c r="IX13" s="26">
        <f>IF(IX12&gt;=p_gatillo,IX12,0)</f>
        <v/>
      </c>
      <c r="IY13" s="26">
        <f>IF(IY12&gt;=p_gatillo,IY12,0)</f>
        <v/>
      </c>
      <c r="IZ13" s="26">
        <f>IF(IZ12&gt;=p_gatillo,IZ12,0)</f>
        <v/>
      </c>
      <c r="JA13" s="26">
        <f>IF(JA12&gt;=p_gatillo,JA12,0)</f>
        <v/>
      </c>
      <c r="JB13" s="26">
        <f>IF(JB12&gt;=p_gatillo,JB12,0)</f>
        <v/>
      </c>
      <c r="JC13" s="26">
        <f>IF(JC12&gt;=p_gatillo,JC12,0)</f>
        <v/>
      </c>
      <c r="JD13" s="26">
        <f>IF(JD12&gt;=p_gatillo,JD12,0)</f>
        <v/>
      </c>
      <c r="JE13" s="26">
        <f>IF(JE12&gt;=p_gatillo,JE12,0)</f>
        <v/>
      </c>
      <c r="JF13" s="26">
        <f>IF(JF12&gt;=p_gatillo,JF12,0)</f>
        <v/>
      </c>
      <c r="JG13" s="26">
        <f>IF(JG12&gt;=p_gatillo,JG12,0)</f>
        <v/>
      </c>
      <c r="JH13" s="26">
        <f>IF(JH12&gt;=p_gatillo,JH12,0)</f>
        <v/>
      </c>
      <c r="JI13" s="26">
        <f>IF(JI12&gt;=p_gatillo,JI12,0)</f>
        <v/>
      </c>
      <c r="JJ13" s="26">
        <f>IF(JJ12&gt;=p_gatillo,JJ12,0)</f>
        <v/>
      </c>
      <c r="JK13" s="26">
        <f>IF(JK12&gt;=p_gatillo,JK12,0)</f>
        <v/>
      </c>
      <c r="JL13" s="26">
        <f>IF(JL12&gt;=p_gatillo,JL12,0)</f>
        <v/>
      </c>
      <c r="JM13" s="26">
        <f>IF(JM12&gt;=p_gatillo,JM12,0)</f>
        <v/>
      </c>
      <c r="JN13" s="26">
        <f>IF(JN12&gt;=p_gatillo,JN12,0)</f>
        <v/>
      </c>
      <c r="JO13" s="26">
        <f>IF(JO12&gt;=p_gatillo,JO12,0)</f>
        <v/>
      </c>
      <c r="JP13" s="26">
        <f>IF(JP12&gt;=p_gatillo,JP12,0)</f>
        <v/>
      </c>
      <c r="JQ13" s="26">
        <f>IF(JQ12&gt;=p_gatillo,JQ12,0)</f>
        <v/>
      </c>
      <c r="JR13" s="26">
        <f>IF(JR12&gt;=p_gatillo,JR12,0)</f>
        <v/>
      </c>
      <c r="JS13" s="26">
        <f>IF(JS12&gt;=p_gatillo,JS12,0)</f>
        <v/>
      </c>
      <c r="JT13" s="26">
        <f>IF(JT12&gt;=p_gatillo,JT12,0)</f>
        <v/>
      </c>
      <c r="JU13" s="26">
        <f>IF(JU12&gt;=p_gatillo,JU12,0)</f>
        <v/>
      </c>
      <c r="JV13" s="26">
        <f>IF(JV12&gt;=p_gatillo,JV12,0)</f>
        <v/>
      </c>
      <c r="JW13" s="26">
        <f>IF(JW12&gt;=p_gatillo,JW12,0)</f>
        <v/>
      </c>
      <c r="JX13" s="26">
        <f>IF(JX12&gt;=p_gatillo,JX12,0)</f>
        <v/>
      </c>
      <c r="JY13" s="26">
        <f>IF(JY12&gt;=p_gatillo,JY12,0)</f>
        <v/>
      </c>
      <c r="JZ13" s="26">
        <f>IF(JZ12&gt;=p_gatillo,JZ12,0)</f>
        <v/>
      </c>
      <c r="KA13" s="26">
        <f>IF(KA12&gt;=p_gatillo,KA12,0)</f>
        <v/>
      </c>
      <c r="KB13" s="26">
        <f>IF(KB12&gt;=p_gatillo,KB12,0)</f>
        <v/>
      </c>
      <c r="KC13" s="26">
        <f>IF(KC12&gt;=p_gatillo,KC12,0)</f>
        <v/>
      </c>
      <c r="KD13" s="26">
        <f>IF(KD12&gt;=p_gatillo,KD12,0)</f>
        <v/>
      </c>
      <c r="KE13" s="26">
        <f>IF(KE12&gt;=p_gatillo,KE12,0)</f>
        <v/>
      </c>
      <c r="KF13" s="26">
        <f>IF(KF12&gt;=p_gatillo,KF12,0)</f>
        <v/>
      </c>
      <c r="KG13" s="26">
        <f>IF(KG12&gt;=p_gatillo,KG12,0)</f>
        <v/>
      </c>
      <c r="KH13" s="26">
        <f>IF(KH12&gt;=p_gatillo,KH12,0)</f>
        <v/>
      </c>
      <c r="KI13" s="26">
        <f>IF(KI12&gt;=p_gatillo,KI12,0)</f>
        <v/>
      </c>
      <c r="KJ13" s="26">
        <f>IF(KJ12&gt;=p_gatillo,KJ12,0)</f>
        <v/>
      </c>
      <c r="KK13" s="26">
        <f>IF(KK12&gt;=p_gatillo,KK12,0)</f>
        <v/>
      </c>
      <c r="KL13" s="26">
        <f>IF(KL12&gt;=p_gatillo,KL12,0)</f>
        <v/>
      </c>
      <c r="KM13" s="26">
        <f>IF(KM12&gt;=p_gatillo,KM12,0)</f>
        <v/>
      </c>
      <c r="KN13" s="26">
        <f>IF(KN12&gt;=p_gatillo,KN12,0)</f>
        <v/>
      </c>
      <c r="KO13" s="26">
        <f>IF(KO12&gt;=p_gatillo,KO12,0)</f>
        <v/>
      </c>
      <c r="KP13" s="26">
        <f>IF(KP12&gt;=p_gatillo,KP12,0)</f>
        <v/>
      </c>
      <c r="KQ13" s="26">
        <f>IF(KQ12&gt;=p_gatillo,KQ12,0)</f>
        <v/>
      </c>
      <c r="KR13" s="26">
        <f>IF(KR12&gt;=p_gatillo,KR12,0)</f>
        <v/>
      </c>
      <c r="KS13" s="26">
        <f>IF(KS12&gt;=p_gatillo,KS12,0)</f>
        <v/>
      </c>
      <c r="KT13" s="26">
        <f>IF(KT12&gt;=p_gatillo,KT12,0)</f>
        <v/>
      </c>
      <c r="KU13" s="26">
        <f>IF(KU12&gt;=p_gatillo,KU12,0)</f>
        <v/>
      </c>
      <c r="KV13" s="26">
        <f>IF(KV12&gt;=p_gatillo,KV12,0)</f>
        <v/>
      </c>
      <c r="KW13" s="26">
        <f>IF(KW12&gt;=p_gatillo,KW12,0)</f>
        <v/>
      </c>
      <c r="KX13" s="26">
        <f>IF(KX12&gt;=p_gatillo,KX12,0)</f>
        <v/>
      </c>
      <c r="KY13" s="26">
        <f>IF(KY12&gt;=p_gatillo,KY12,0)</f>
        <v/>
      </c>
      <c r="KZ13" s="26">
        <f>IF(KZ12&gt;=p_gatillo,KZ12,0)</f>
        <v/>
      </c>
      <c r="LA13" s="26">
        <f>IF(LA12&gt;=p_gatillo,LA12,0)</f>
        <v/>
      </c>
      <c r="LB13" s="26">
        <f>IF(LB12&gt;=p_gatillo,LB12,0)</f>
        <v/>
      </c>
      <c r="LC13" s="26">
        <f>IF(LC12&gt;=p_gatillo,LC12,0)</f>
        <v/>
      </c>
      <c r="LD13" s="26">
        <f>IF(LD12&gt;=p_gatillo,LD12,0)</f>
        <v/>
      </c>
      <c r="LE13" s="26">
        <f>IF(LE12&gt;=p_gatillo,LE12,0)</f>
        <v/>
      </c>
      <c r="LF13" s="26">
        <f>IF(LF12&gt;=p_gatillo,LF12,0)</f>
        <v/>
      </c>
      <c r="LG13" s="26">
        <f>IF(LG12&gt;=p_gatillo,LG12,0)</f>
        <v/>
      </c>
      <c r="LH13" s="26">
        <f>IF(LH12&gt;=p_gatillo,LH12,0)</f>
        <v/>
      </c>
      <c r="LI13" s="26">
        <f>IF(LI12&gt;=p_gatillo,LI12,0)</f>
        <v/>
      </c>
    </row>
    <row r="14">
      <c r="B14" s="17" t="inlineStr">
        <is>
          <t>Factor de reajuste</t>
        </is>
      </c>
      <c r="D14" s="27">
        <f>TRUNC(IF(D7=0,1,1*(1+D13)*D7),5)</f>
        <v/>
      </c>
      <c r="E14" s="27">
        <f>TRUNC(IF(E7=0,1,D14*(1+E13)*E7),5)</f>
        <v/>
      </c>
      <c r="F14" s="27">
        <f>TRUNC(IF(F7=0,1,E14*(1+F13)*F7),5)</f>
        <v/>
      </c>
      <c r="G14" s="27">
        <f>TRUNC(IF(G7=0,1,F14*(1+G13)*G7),5)</f>
        <v/>
      </c>
      <c r="H14" s="27">
        <f>TRUNC(IF(H7=0,1,G14*(1+H13)*H7),5)</f>
        <v/>
      </c>
      <c r="I14" s="27">
        <f>TRUNC(IF(I7=0,1,H14*(1+I13)*I7),5)</f>
        <v/>
      </c>
      <c r="J14" s="27">
        <f>TRUNC(IF(J7=0,1,I14*(1+J13)*J7),5)</f>
        <v/>
      </c>
      <c r="K14" s="27">
        <f>TRUNC(IF(K7=0,1,J14*(1+K13)*K7),5)</f>
        <v/>
      </c>
      <c r="L14" s="27">
        <f>TRUNC(IF(L7=0,1,K14*(1+L13)*L7),5)</f>
        <v/>
      </c>
      <c r="M14" s="27">
        <f>TRUNC(IF(M7=0,1,L14*(1+M13)*M7),5)</f>
        <v/>
      </c>
      <c r="N14" s="27">
        <f>TRUNC(IF(N7=0,1,M14*(1+N13)*N7),5)</f>
        <v/>
      </c>
      <c r="O14" s="27">
        <f>TRUNC(IF(O7=0,1,N14*(1+O13)*O7),5)</f>
        <v/>
      </c>
      <c r="P14" s="27">
        <f>TRUNC(IF(P7=0,1,O14*(1+P13)*P7),5)</f>
        <v/>
      </c>
      <c r="Q14" s="27">
        <f>TRUNC(IF(Q7=0,1,P14*(1+Q13)*Q7),5)</f>
        <v/>
      </c>
      <c r="R14" s="27">
        <f>TRUNC(IF(R7=0,1,Q14*(1+R13)*R7),5)</f>
        <v/>
      </c>
      <c r="S14" s="27">
        <f>TRUNC(IF(S7=0,1,R14*(1+S13)*S7),5)</f>
        <v/>
      </c>
      <c r="T14" s="27">
        <f>TRUNC(IF(T7=0,1,S14*(1+T13)*T7),5)</f>
        <v/>
      </c>
      <c r="U14" s="27">
        <f>TRUNC(IF(U7=0,1,T14*(1+U13)*U7),5)</f>
        <v/>
      </c>
      <c r="V14" s="27">
        <f>TRUNC(IF(V7=0,1,U14*(1+V13)*V7),5)</f>
        <v/>
      </c>
      <c r="W14" s="27">
        <f>TRUNC(IF(W7=0,1,V14*(1+W13)*W7),5)</f>
        <v/>
      </c>
      <c r="X14" s="27">
        <f>TRUNC(IF(X7=0,1,W14*(1+X13)*X7),5)</f>
        <v/>
      </c>
      <c r="Y14" s="27">
        <f>TRUNC(IF(Y7=0,1,X14*(1+Y13)*Y7),5)</f>
        <v/>
      </c>
      <c r="Z14" s="27">
        <f>TRUNC(IF(Z7=0,1,Y14*(1+Z13)*Z7),5)</f>
        <v/>
      </c>
      <c r="AA14" s="27">
        <f>TRUNC(IF(AA7=0,1,Z14*(1+AA13)*AA7),5)</f>
        <v/>
      </c>
      <c r="AB14" s="27">
        <f>TRUNC(IF(AB7=0,1,AA14*(1+AB13)*AB7),5)</f>
        <v/>
      </c>
      <c r="AC14" s="27">
        <f>TRUNC(IF(AC7=0,1,AB14*(1+AC13)*AC7),5)</f>
        <v/>
      </c>
      <c r="AD14" s="27">
        <f>TRUNC(IF(AD7=0,1,AC14*(1+AD13)*AD7),5)</f>
        <v/>
      </c>
      <c r="AE14" s="27">
        <f>TRUNC(IF(AE7=0,1,AD14*(1+AE13)*AE7),5)</f>
        <v/>
      </c>
      <c r="AF14" s="27">
        <f>TRUNC(IF(AF7=0,1,AE14*(1+AF13)*AF7),5)</f>
        <v/>
      </c>
      <c r="AG14" s="27">
        <f>TRUNC(IF(AG7=0,1,AF14*(1+AG13)*AG7),5)</f>
        <v/>
      </c>
      <c r="AH14" s="27">
        <f>TRUNC(IF(AH7=0,1,AG14*(1+AH13)*AH7),5)</f>
        <v/>
      </c>
      <c r="AI14" s="27">
        <f>TRUNC(IF(AI7=0,1,AH14*(1+AI13)*AI7),5)</f>
        <v/>
      </c>
      <c r="AJ14" s="27">
        <f>TRUNC(IF(AJ7=0,1,AI14*(1+AJ13)*AJ7),5)</f>
        <v/>
      </c>
      <c r="AK14" s="27">
        <f>TRUNC(IF(AK7=0,1,AJ14*(1+AK13)*AK7),5)</f>
        <v/>
      </c>
      <c r="AL14" s="27">
        <f>TRUNC(IF(AL7=0,1,AK14*(1+AL13)*AL7),5)</f>
        <v/>
      </c>
      <c r="AM14" s="27">
        <f>TRUNC(IF(AM7=0,1,AL14*(1+AM13)*AM7),5)</f>
        <v/>
      </c>
      <c r="AN14" s="27">
        <f>TRUNC(IF(AN7=0,1,AM14*(1+AN13)*AN7),5)</f>
        <v/>
      </c>
      <c r="AO14" s="27">
        <f>TRUNC(IF(AO7=0,1,AN14*(1+AO13)*AO7),5)</f>
        <v/>
      </c>
      <c r="AP14" s="27">
        <f>TRUNC(IF(AP7=0,1,AO14*(1+AP13)*AP7),5)</f>
        <v/>
      </c>
      <c r="AQ14" s="27">
        <f>TRUNC(IF(AQ7=0,1,AP14*(1+AQ13)*AQ7),5)</f>
        <v/>
      </c>
      <c r="AR14" s="27">
        <f>TRUNC(IF(AR7=0,1,AQ14*(1+AR13)*AR7),5)</f>
        <v/>
      </c>
      <c r="AS14" s="27">
        <f>TRUNC(IF(AS7=0,1,AR14*(1+AS13)*AS7),5)</f>
        <v/>
      </c>
      <c r="AT14" s="27">
        <f>TRUNC(IF(AT7=0,1,AS14*(1+AT13)*AT7),5)</f>
        <v/>
      </c>
      <c r="AU14" s="27">
        <f>TRUNC(IF(AU7=0,1,AT14*(1+AU13)*AU7),5)</f>
        <v/>
      </c>
      <c r="AV14" s="27">
        <f>TRUNC(IF(AV7=0,1,AU14*(1+AV13)*AV7),5)</f>
        <v/>
      </c>
      <c r="AW14" s="27">
        <f>TRUNC(IF(AW7=0,1,AV14*(1+AW13)*AW7),5)</f>
        <v/>
      </c>
      <c r="AX14" s="27">
        <f>TRUNC(IF(AX7=0,1,AW14*(1+AX13)*AX7),5)</f>
        <v/>
      </c>
      <c r="AY14" s="27">
        <f>TRUNC(IF(AY7=0,1,AX14*(1+AY13)*AY7),5)</f>
        <v/>
      </c>
      <c r="AZ14" s="27">
        <f>TRUNC(IF(AZ7=0,1,AY14*(1+AZ13)*AZ7),5)</f>
        <v/>
      </c>
      <c r="BA14" s="27">
        <f>TRUNC(IF(BA7=0,1,AZ14*(1+BA13)*BA7),5)</f>
        <v/>
      </c>
      <c r="BB14" s="27">
        <f>TRUNC(IF(BB7=0,1,BA14*(1+BB13)*BB7),5)</f>
        <v/>
      </c>
      <c r="BC14" s="27">
        <f>TRUNC(IF(BC7=0,1,BB14*(1+BC13)*BC7),5)</f>
        <v/>
      </c>
      <c r="BD14" s="27">
        <f>TRUNC(IF(BD7=0,1,BC14*(1+BD13)*BD7),5)</f>
        <v/>
      </c>
      <c r="BE14" s="27">
        <f>TRUNC(IF(BE7=0,1,BD14*(1+BE13)*BE7),5)</f>
        <v/>
      </c>
      <c r="BF14" s="27">
        <f>TRUNC(IF(BF7=0,1,BE14*(1+BF13)*BF7),5)</f>
        <v/>
      </c>
      <c r="BG14" s="27">
        <f>TRUNC(IF(BG7=0,1,BF14*(1+BG13)*BG7),5)</f>
        <v/>
      </c>
      <c r="BH14" s="27">
        <f>TRUNC(IF(BH7=0,1,BG14*(1+BH13)*BH7),5)</f>
        <v/>
      </c>
      <c r="BI14" s="27">
        <f>TRUNC(IF(BI7=0,1,BH14*(1+BI13)*BI7),5)</f>
        <v/>
      </c>
      <c r="BJ14" s="27">
        <f>TRUNC(IF(BJ7=0,1,BI14*(1+BJ13)*BJ7),5)</f>
        <v/>
      </c>
      <c r="BK14" s="27">
        <f>TRUNC(IF(BK7=0,1,BJ14*(1+BK13)*BK7),5)</f>
        <v/>
      </c>
      <c r="BL14" s="27">
        <f>TRUNC(IF(BL7=0,1,BK14*(1+BL13)*BL7),5)</f>
        <v/>
      </c>
      <c r="BM14" s="27">
        <f>TRUNC(IF(BM7=0,1,BL14*(1+BM13)*BM7),5)</f>
        <v/>
      </c>
      <c r="BN14" s="27">
        <f>TRUNC(IF(BN7=0,1,BM14*(1+BN13)*BN7),5)</f>
        <v/>
      </c>
      <c r="BO14" s="27">
        <f>TRUNC(IF(BO7=0,1,BN14*(1+BO13)*BO7),5)</f>
        <v/>
      </c>
      <c r="BP14" s="27">
        <f>TRUNC(IF(BP7=0,1,BO14*(1+BP13)*BP7),5)</f>
        <v/>
      </c>
      <c r="BQ14" s="27">
        <f>TRUNC(IF(BQ7=0,1,BP14*(1+BQ13)*BQ7),5)</f>
        <v/>
      </c>
      <c r="BR14" s="27">
        <f>TRUNC(IF(BR7=0,1,BQ14*(1+BR13)*BR7),5)</f>
        <v/>
      </c>
      <c r="BS14" s="27">
        <f>TRUNC(IF(BS7=0,1,BR14*(1+BS13)*BS7),5)</f>
        <v/>
      </c>
      <c r="BT14" s="27">
        <f>TRUNC(IF(BT7=0,1,BS14*(1+BT13)*BT7),5)</f>
        <v/>
      </c>
      <c r="BU14" s="27">
        <f>TRUNC(IF(BU7=0,1,BT14*(1+BU13)*BU7),5)</f>
        <v/>
      </c>
      <c r="BV14" s="27">
        <f>TRUNC(IF(BV7=0,1,BU14*(1+BV13)*BV7),5)</f>
        <v/>
      </c>
      <c r="BW14" s="27">
        <f>TRUNC(IF(BW7=0,1,BV14*(1+BW13)*BW7),5)</f>
        <v/>
      </c>
      <c r="BX14" s="27">
        <f>TRUNC(IF(BX7=0,1,BW14*(1+BX13)*BX7),5)</f>
        <v/>
      </c>
      <c r="BY14" s="27">
        <f>TRUNC(IF(BY7=0,1,BX14*(1+BY13)*BY7),5)</f>
        <v/>
      </c>
      <c r="BZ14" s="27">
        <f>TRUNC(IF(BZ7=0,1,BY14*(1+BZ13)*BZ7),5)</f>
        <v/>
      </c>
      <c r="CA14" s="27">
        <f>TRUNC(IF(CA7=0,1,BZ14*(1+CA13)*CA7),5)</f>
        <v/>
      </c>
      <c r="CB14" s="27">
        <f>TRUNC(IF(CB7=0,1,CA14*(1+CB13)*CB7),5)</f>
        <v/>
      </c>
      <c r="CC14" s="27">
        <f>TRUNC(IF(CC7=0,1,CB14*(1+CC13)*CC7),5)</f>
        <v/>
      </c>
      <c r="CD14" s="27">
        <f>TRUNC(IF(CD7=0,1,CC14*(1+CD13)*CD7),5)</f>
        <v/>
      </c>
      <c r="CE14" s="27">
        <f>TRUNC(IF(CE7=0,1,CD14*(1+CE13)*CE7),5)</f>
        <v/>
      </c>
      <c r="CF14" s="27">
        <f>TRUNC(IF(CF7=0,1,CE14*(1+CF13)*CF7),5)</f>
        <v/>
      </c>
      <c r="CG14" s="27">
        <f>TRUNC(IF(CG7=0,1,CF14*(1+CG13)*CG7),5)</f>
        <v/>
      </c>
      <c r="CH14" s="27">
        <f>TRUNC(IF(CH7=0,1,CG14*(1+CH13)*CH7),5)</f>
        <v/>
      </c>
      <c r="CI14" s="27">
        <f>TRUNC(IF(CI7=0,1,CH14*(1+CI13)*CI7),5)</f>
        <v/>
      </c>
      <c r="CJ14" s="27">
        <f>TRUNC(IF(CJ7=0,1,CI14*(1+CJ13)*CJ7),5)</f>
        <v/>
      </c>
      <c r="CK14" s="27">
        <f>TRUNC(IF(CK7=0,1,CJ14*(1+CK13)*CK7),5)</f>
        <v/>
      </c>
      <c r="CL14" s="27">
        <f>TRUNC(IF(CL7=0,1,CK14*(1+CL13)*CL7),5)</f>
        <v/>
      </c>
      <c r="CM14" s="27">
        <f>TRUNC(IF(CM7=0,1,CL14*(1+CM13)*CM7),5)</f>
        <v/>
      </c>
      <c r="CN14" s="27">
        <f>TRUNC(IF(CN7=0,1,CM14*(1+CN13)*CN7),5)</f>
        <v/>
      </c>
      <c r="CO14" s="27">
        <f>TRUNC(IF(CO7=0,1,CN14*(1+CO13)*CO7),5)</f>
        <v/>
      </c>
      <c r="CP14" s="27">
        <f>TRUNC(IF(CP7=0,1,CO14*(1+CP13)*CP7),5)</f>
        <v/>
      </c>
      <c r="CQ14" s="27">
        <f>TRUNC(IF(CQ7=0,1,CP14*(1+CQ13)*CQ7),5)</f>
        <v/>
      </c>
      <c r="CR14" s="27">
        <f>TRUNC(IF(CR7=0,1,CQ14*(1+CR13)*CR7),5)</f>
        <v/>
      </c>
      <c r="CS14" s="27">
        <f>TRUNC(IF(CS7=0,1,CR14*(1+CS13)*CS7),5)</f>
        <v/>
      </c>
      <c r="CT14" s="27">
        <f>TRUNC(IF(CT7=0,1,CS14*(1+CT13)*CT7),5)</f>
        <v/>
      </c>
      <c r="CU14" s="27">
        <f>TRUNC(IF(CU7=0,1,CT14*(1+CU13)*CU7),5)</f>
        <v/>
      </c>
      <c r="CV14" s="27">
        <f>TRUNC(IF(CV7=0,1,CU14*(1+CV13)*CV7),5)</f>
        <v/>
      </c>
      <c r="CW14" s="27">
        <f>TRUNC(IF(CW7=0,1,CV14*(1+CW13)*CW7),5)</f>
        <v/>
      </c>
      <c r="CX14" s="27">
        <f>TRUNC(IF(CX7=0,1,CW14*(1+CX13)*CX7),5)</f>
        <v/>
      </c>
      <c r="CY14" s="27">
        <f>TRUNC(IF(CY7=0,1,CX14*(1+CY13)*CY7),5)</f>
        <v/>
      </c>
      <c r="CZ14" s="27">
        <f>TRUNC(IF(CZ7=0,1,CY14*(1+CZ13)*CZ7),5)</f>
        <v/>
      </c>
      <c r="DA14" s="27">
        <f>TRUNC(IF(DA7=0,1,CZ14*(1+DA13)*DA7),5)</f>
        <v/>
      </c>
      <c r="DB14" s="27">
        <f>TRUNC(IF(DB7=0,1,DA14*(1+DB13)*DB7),5)</f>
        <v/>
      </c>
      <c r="DC14" s="27">
        <f>TRUNC(IF(DC7=0,1,DB14*(1+DC13)*DC7),5)</f>
        <v/>
      </c>
      <c r="DD14" s="27">
        <f>TRUNC(IF(DD7=0,1,DC14*(1+DD13)*DD7),5)</f>
        <v/>
      </c>
      <c r="DE14" s="27">
        <f>TRUNC(IF(DE7=0,1,DD14*(1+DE13)*DE7),5)</f>
        <v/>
      </c>
      <c r="DF14" s="27">
        <f>TRUNC(IF(DF7=0,1,DE14*(1+DF13)*DF7),5)</f>
        <v/>
      </c>
      <c r="DG14" s="27">
        <f>TRUNC(IF(DG7=0,1,DF14*(1+DG13)*DG7),5)</f>
        <v/>
      </c>
      <c r="DH14" s="27">
        <f>TRUNC(IF(DH7=0,1,DG14*(1+DH13)*DH7),5)</f>
        <v/>
      </c>
      <c r="DI14" s="27">
        <f>TRUNC(IF(DI7=0,1,DH14*(1+DI13)*DI7),5)</f>
        <v/>
      </c>
      <c r="DJ14" s="27">
        <f>TRUNC(IF(DJ7=0,1,DI14*(1+DJ13)*DJ7),5)</f>
        <v/>
      </c>
      <c r="DK14" s="27">
        <f>TRUNC(IF(DK7=0,1,DJ14*(1+DK13)*DK7),5)</f>
        <v/>
      </c>
      <c r="DL14" s="27">
        <f>TRUNC(IF(DL7=0,1,DK14*(1+DL13)*DL7),5)</f>
        <v/>
      </c>
      <c r="DM14" s="27">
        <f>TRUNC(IF(DM7=0,1,DL14*(1+DM13)*DM7),5)</f>
        <v/>
      </c>
      <c r="DN14" s="27">
        <f>TRUNC(IF(DN7=0,1,DM14*(1+DN13)*DN7),5)</f>
        <v/>
      </c>
      <c r="DO14" s="27">
        <f>TRUNC(IF(DO7=0,1,DN14*(1+DO13)*DO7),5)</f>
        <v/>
      </c>
      <c r="DP14" s="27">
        <f>TRUNC(IF(DP7=0,1,DO14*(1+DP13)*DP7),5)</f>
        <v/>
      </c>
      <c r="DQ14" s="27">
        <f>TRUNC(IF(DQ7=0,1,DP14*(1+DQ13)*DQ7),5)</f>
        <v/>
      </c>
      <c r="DR14" s="27">
        <f>TRUNC(IF(DR7=0,1,DQ14*(1+DR13)*DR7),5)</f>
        <v/>
      </c>
      <c r="DS14" s="27">
        <f>TRUNC(IF(DS7=0,1,DR14*(1+DS13)*DS7),5)</f>
        <v/>
      </c>
      <c r="DT14" s="27">
        <f>TRUNC(IF(DT7=0,1,DS14*(1+DT13)*DT7),5)</f>
        <v/>
      </c>
      <c r="DU14" s="27">
        <f>TRUNC(IF(DU7=0,1,DT14*(1+DU13)*DU7),5)</f>
        <v/>
      </c>
      <c r="DV14" s="27">
        <f>TRUNC(IF(DV7=0,1,DU14*(1+DV13)*DV7),5)</f>
        <v/>
      </c>
      <c r="DW14" s="27">
        <f>TRUNC(IF(DW7=0,1,DV14*(1+DW13)*DW7),5)</f>
        <v/>
      </c>
      <c r="DX14" s="27">
        <f>TRUNC(IF(DX7=0,1,DW14*(1+DX13)*DX7),5)</f>
        <v/>
      </c>
      <c r="DY14" s="27">
        <f>TRUNC(IF(DY7=0,1,DX14*(1+DY13)*DY7),5)</f>
        <v/>
      </c>
      <c r="DZ14" s="27">
        <f>TRUNC(IF(DZ7=0,1,DY14*(1+DZ13)*DZ7),5)</f>
        <v/>
      </c>
      <c r="EA14" s="27">
        <f>TRUNC(IF(EA7=0,1,DZ14*(1+EA13)*EA7),5)</f>
        <v/>
      </c>
      <c r="EB14" s="27">
        <f>TRUNC(IF(EB7=0,1,EA14*(1+EB13)*EB7),5)</f>
        <v/>
      </c>
      <c r="EC14" s="27">
        <f>TRUNC(IF(EC7=0,1,EB14*(1+EC13)*EC7),5)</f>
        <v/>
      </c>
      <c r="ED14" s="27">
        <f>TRUNC(IF(ED7=0,1,EC14*(1+ED13)*ED7),5)</f>
        <v/>
      </c>
      <c r="EE14" s="27">
        <f>TRUNC(IF(EE7=0,1,ED14*(1+EE13)*EE7),5)</f>
        <v/>
      </c>
      <c r="EF14" s="27">
        <f>TRUNC(IF(EF7=0,1,EE14*(1+EF13)*EF7),5)</f>
        <v/>
      </c>
      <c r="EG14" s="27">
        <f>TRUNC(IF(EG7=0,1,EF14*(1+EG13)*EG7),5)</f>
        <v/>
      </c>
      <c r="EH14" s="27">
        <f>TRUNC(IF(EH7=0,1,EG14*(1+EH13)*EH7),5)</f>
        <v/>
      </c>
      <c r="EI14" s="27">
        <f>TRUNC(IF(EI7=0,1,EH14*(1+EI13)*EI7),5)</f>
        <v/>
      </c>
      <c r="EJ14" s="27">
        <f>TRUNC(IF(EJ7=0,1,EI14*(1+EJ13)*EJ7),5)</f>
        <v/>
      </c>
      <c r="EK14" s="27">
        <f>TRUNC(IF(EK7=0,1,EJ14*(1+EK13)*EK7),5)</f>
        <v/>
      </c>
      <c r="EL14" s="27">
        <f>TRUNC(IF(EL7=0,1,EK14*(1+EL13)*EL7),5)</f>
        <v/>
      </c>
      <c r="EM14" s="27">
        <f>TRUNC(IF(EM7=0,1,EL14*(1+EM13)*EM7),5)</f>
        <v/>
      </c>
      <c r="EN14" s="27">
        <f>TRUNC(IF(EN7=0,1,EM14*(1+EN13)*EN7),5)</f>
        <v/>
      </c>
      <c r="EO14" s="27">
        <f>TRUNC(IF(EO7=0,1,EN14*(1+EO13)*EO7),5)</f>
        <v/>
      </c>
      <c r="EP14" s="27">
        <f>TRUNC(IF(EP7=0,1,EO14*(1+EP13)*EP7),5)</f>
        <v/>
      </c>
      <c r="EQ14" s="27">
        <f>TRUNC(IF(EQ7=0,1,EP14*(1+EQ13)*EQ7),5)</f>
        <v/>
      </c>
      <c r="ER14" s="27">
        <f>TRUNC(IF(ER7=0,1,EQ14*(1+ER13)*ER7),5)</f>
        <v/>
      </c>
      <c r="ES14" s="27">
        <f>TRUNC(IF(ES7=0,1,ER14*(1+ES13)*ES7),5)</f>
        <v/>
      </c>
      <c r="ET14" s="27">
        <f>TRUNC(IF(ET7=0,1,ES14*(1+ET13)*ET7),5)</f>
        <v/>
      </c>
      <c r="EU14" s="27">
        <f>TRUNC(IF(EU7=0,1,ET14*(1+EU13)*EU7),5)</f>
        <v/>
      </c>
      <c r="EV14" s="27">
        <f>TRUNC(IF(EV7=0,1,EU14*(1+EV13)*EV7),5)</f>
        <v/>
      </c>
      <c r="EW14" s="27">
        <f>TRUNC(IF(EW7=0,1,EV14*(1+EW13)*EW7),5)</f>
        <v/>
      </c>
      <c r="EX14" s="27">
        <f>TRUNC(IF(EX7=0,1,EW14*(1+EX13)*EX7),5)</f>
        <v/>
      </c>
      <c r="EY14" s="27">
        <f>TRUNC(IF(EY7=0,1,EX14*(1+EY13)*EY7),5)</f>
        <v/>
      </c>
      <c r="EZ14" s="27">
        <f>TRUNC(IF(EZ7=0,1,EY14*(1+EZ13)*EZ7),5)</f>
        <v/>
      </c>
      <c r="FA14" s="27">
        <f>TRUNC(IF(FA7=0,1,EZ14*(1+FA13)*FA7),5)</f>
        <v/>
      </c>
      <c r="FB14" s="27">
        <f>TRUNC(IF(FB7=0,1,FA14*(1+FB13)*FB7),5)</f>
        <v/>
      </c>
      <c r="FC14" s="27">
        <f>TRUNC(IF(FC7=0,1,FB14*(1+FC13)*FC7),5)</f>
        <v/>
      </c>
      <c r="FD14" s="27">
        <f>TRUNC(IF(FD7=0,1,FC14*(1+FD13)*FD7),5)</f>
        <v/>
      </c>
      <c r="FE14" s="27">
        <f>TRUNC(IF(FE7=0,1,FD14*(1+FE13)*FE7),5)</f>
        <v/>
      </c>
      <c r="FF14" s="27">
        <f>TRUNC(IF(FF7=0,1,FE14*(1+FF13)*FF7),5)</f>
        <v/>
      </c>
      <c r="FG14" s="27">
        <f>TRUNC(IF(FG7=0,1,FF14*(1+FG13)*FG7),5)</f>
        <v/>
      </c>
      <c r="FH14" s="27">
        <f>TRUNC(IF(FH7=0,1,FG14*(1+FH13)*FH7),5)</f>
        <v/>
      </c>
      <c r="FI14" s="27">
        <f>TRUNC(IF(FI7=0,1,FH14*(1+FI13)*FI7),5)</f>
        <v/>
      </c>
      <c r="FJ14" s="27">
        <f>TRUNC(IF(FJ7=0,1,FI14*(1+FJ13)*FJ7),5)</f>
        <v/>
      </c>
      <c r="FK14" s="27">
        <f>TRUNC(IF(FK7=0,1,FJ14*(1+FK13)*FK7),5)</f>
        <v/>
      </c>
      <c r="FL14" s="27">
        <f>TRUNC(IF(FL7=0,1,FK14*(1+FL13)*FL7),5)</f>
        <v/>
      </c>
      <c r="FM14" s="27">
        <f>TRUNC(IF(FM7=0,1,FL14*(1+FM13)*FM7),5)</f>
        <v/>
      </c>
      <c r="FN14" s="27">
        <f>TRUNC(IF(FN7=0,1,FM14*(1+FN13)*FN7),5)</f>
        <v/>
      </c>
      <c r="FO14" s="27">
        <f>TRUNC(IF(FO7=0,1,FN14*(1+FO13)*FO7),5)</f>
        <v/>
      </c>
      <c r="FP14" s="27">
        <f>TRUNC(IF(FP7=0,1,FO14*(1+FP13)*FP7),5)</f>
        <v/>
      </c>
      <c r="FQ14" s="27">
        <f>TRUNC(IF(FQ7=0,1,FP14*(1+FQ13)*FQ7),5)</f>
        <v/>
      </c>
      <c r="FR14" s="27">
        <f>TRUNC(IF(FR7=0,1,FQ14*(1+FR13)*FR7),5)</f>
        <v/>
      </c>
      <c r="FS14" s="27">
        <f>TRUNC(IF(FS7=0,1,FR14*(1+FS13)*FS7),5)</f>
        <v/>
      </c>
      <c r="FT14" s="27">
        <f>TRUNC(IF(FT7=0,1,FS14*(1+FT13)*FT7),5)</f>
        <v/>
      </c>
      <c r="FU14" s="27">
        <f>TRUNC(IF(FU7=0,1,FT14*(1+FU13)*FU7),5)</f>
        <v/>
      </c>
      <c r="FV14" s="27">
        <f>TRUNC(IF(FV7=0,1,FU14*(1+FV13)*FV7),5)</f>
        <v/>
      </c>
      <c r="FW14" s="27">
        <f>TRUNC(IF(FW7=0,1,FV14*(1+FW13)*FW7),5)</f>
        <v/>
      </c>
      <c r="FX14" s="27">
        <f>TRUNC(IF(FX7=0,1,FW14*(1+FX13)*FX7),5)</f>
        <v/>
      </c>
      <c r="FY14" s="27">
        <f>TRUNC(IF(FY7=0,1,FX14*(1+FY13)*FY7),5)</f>
        <v/>
      </c>
      <c r="FZ14" s="27">
        <f>TRUNC(IF(FZ7=0,1,FY14*(1+FZ13)*FZ7),5)</f>
        <v/>
      </c>
      <c r="GA14" s="27">
        <f>TRUNC(IF(GA7=0,1,FZ14*(1+GA13)*GA7),5)</f>
        <v/>
      </c>
      <c r="GB14" s="27">
        <f>TRUNC(IF(GB7=0,1,GA14*(1+GB13)*GB7),5)</f>
        <v/>
      </c>
      <c r="GC14" s="27">
        <f>TRUNC(IF(GC7=0,1,GB14*(1+GC13)*GC7),5)</f>
        <v/>
      </c>
      <c r="GD14" s="27">
        <f>TRUNC(IF(GD7=0,1,GC14*(1+GD13)*GD7),5)</f>
        <v/>
      </c>
      <c r="GE14" s="27">
        <f>TRUNC(IF(GE7=0,1,GD14*(1+GE13)*GE7),5)</f>
        <v/>
      </c>
      <c r="GF14" s="27">
        <f>TRUNC(IF(GF7=0,1,GE14*(1+GF13)*GF7),5)</f>
        <v/>
      </c>
      <c r="GG14" s="27">
        <f>TRUNC(IF(GG7=0,1,GF14*(1+GG13)*GG7),5)</f>
        <v/>
      </c>
      <c r="GH14" s="27">
        <f>TRUNC(IF(GH7=0,1,GG14*(1+GH13)*GH7),5)</f>
        <v/>
      </c>
      <c r="GI14" s="27">
        <f>TRUNC(IF(GI7=0,1,GH14*(1+GI13)*GI7),5)</f>
        <v/>
      </c>
      <c r="GJ14" s="27">
        <f>TRUNC(IF(GJ7=0,1,GI14*(1+GJ13)*GJ7),5)</f>
        <v/>
      </c>
      <c r="GK14" s="27">
        <f>TRUNC(IF(GK7=0,1,GJ14*(1+GK13)*GK7),5)</f>
        <v/>
      </c>
      <c r="GL14" s="27">
        <f>TRUNC(IF(GL7=0,1,GK14*(1+GL13)*GL7),5)</f>
        <v/>
      </c>
      <c r="GM14" s="27">
        <f>TRUNC(IF(GM7=0,1,GL14*(1+GM13)*GM7),5)</f>
        <v/>
      </c>
      <c r="GN14" s="27">
        <f>TRUNC(IF(GN7=0,1,GM14*(1+GN13)*GN7),5)</f>
        <v/>
      </c>
      <c r="GO14" s="27">
        <f>TRUNC(IF(GO7=0,1,GN14*(1+GO13)*GO7),5)</f>
        <v/>
      </c>
      <c r="GP14" s="27">
        <f>TRUNC(IF(GP7=0,1,GO14*(1+GP13)*GP7),5)</f>
        <v/>
      </c>
      <c r="GQ14" s="27">
        <f>TRUNC(IF(GQ7=0,1,GP14*(1+GQ13)*GQ7),5)</f>
        <v/>
      </c>
      <c r="GR14" s="27">
        <f>TRUNC(IF(GR7=0,1,GQ14*(1+GR13)*GR7),5)</f>
        <v/>
      </c>
      <c r="GS14" s="27">
        <f>TRUNC(IF(GS7=0,1,GR14*(1+GS13)*GS7),5)</f>
        <v/>
      </c>
      <c r="GT14" s="27">
        <f>TRUNC(IF(GT7=0,1,GS14*(1+GT13)*GT7),5)</f>
        <v/>
      </c>
      <c r="GU14" s="27">
        <f>TRUNC(IF(GU7=0,1,GT14*(1+GU13)*GU7),5)</f>
        <v/>
      </c>
      <c r="GV14" s="27">
        <f>TRUNC(IF(GV7=0,1,GU14*(1+GV13)*GV7),5)</f>
        <v/>
      </c>
      <c r="GW14" s="27">
        <f>TRUNC(IF(GW7=0,1,GV14*(1+GW13)*GW7),5)</f>
        <v/>
      </c>
      <c r="GX14" s="27">
        <f>TRUNC(IF(GX7=0,1,GW14*(1+GX13)*GX7),5)</f>
        <v/>
      </c>
      <c r="GY14" s="27">
        <f>TRUNC(IF(GY7=0,1,GX14*(1+GY13)*GY7),5)</f>
        <v/>
      </c>
      <c r="GZ14" s="27">
        <f>TRUNC(IF(GZ7=0,1,GY14*(1+GZ13)*GZ7),5)</f>
        <v/>
      </c>
      <c r="HA14" s="27">
        <f>TRUNC(IF(HA7=0,1,GZ14*(1+HA13)*HA7),5)</f>
        <v/>
      </c>
      <c r="HB14" s="27">
        <f>TRUNC(IF(HB7=0,1,HA14*(1+HB13)*HB7),5)</f>
        <v/>
      </c>
      <c r="HC14" s="27">
        <f>TRUNC(IF(HC7=0,1,HB14*(1+HC13)*HC7),5)</f>
        <v/>
      </c>
      <c r="HD14" s="27">
        <f>TRUNC(IF(HD7=0,1,HC14*(1+HD13)*HD7),5)</f>
        <v/>
      </c>
      <c r="HE14" s="27">
        <f>TRUNC(IF(HE7=0,1,HD14*(1+HE13)*HE7),5)</f>
        <v/>
      </c>
      <c r="HF14" s="27">
        <f>TRUNC(IF(HF7=0,1,HE14*(1+HF13)*HF7),5)</f>
        <v/>
      </c>
      <c r="HG14" s="27">
        <f>TRUNC(IF(HG7=0,1,HF14*(1+HG13)*HG7),5)</f>
        <v/>
      </c>
      <c r="HH14" s="27">
        <f>TRUNC(IF(HH7=0,1,HG14*(1+HH13)*HH7),5)</f>
        <v/>
      </c>
      <c r="HI14" s="27">
        <f>TRUNC(IF(HI7=0,1,HH14*(1+HI13)*HI7),5)</f>
        <v/>
      </c>
      <c r="HJ14" s="27">
        <f>TRUNC(IF(HJ7=0,1,HI14*(1+HJ13)*HJ7),5)</f>
        <v/>
      </c>
      <c r="HK14" s="27">
        <f>TRUNC(IF(HK7=0,1,HJ14*(1+HK13)*HK7),5)</f>
        <v/>
      </c>
      <c r="HL14" s="27">
        <f>TRUNC(IF(HL7=0,1,HK14*(1+HL13)*HL7),5)</f>
        <v/>
      </c>
      <c r="HM14" s="27">
        <f>TRUNC(IF(HM7=0,1,HL14*(1+HM13)*HM7),5)</f>
        <v/>
      </c>
      <c r="HN14" s="27">
        <f>TRUNC(IF(HN7=0,1,HM14*(1+HN13)*HN7),5)</f>
        <v/>
      </c>
      <c r="HO14" s="27">
        <f>TRUNC(IF(HO7=0,1,HN14*(1+HO13)*HO7),5)</f>
        <v/>
      </c>
      <c r="HP14" s="27">
        <f>TRUNC(IF(HP7=0,1,HO14*(1+HP13)*HP7),5)</f>
        <v/>
      </c>
      <c r="HQ14" s="27">
        <f>TRUNC(IF(HQ7=0,1,HP14*(1+HQ13)*HQ7),5)</f>
        <v/>
      </c>
      <c r="HR14" s="27">
        <f>TRUNC(IF(HR7=0,1,HQ14*(1+HR13)*HR7),5)</f>
        <v/>
      </c>
      <c r="HS14" s="27">
        <f>TRUNC(IF(HS7=0,1,HR14*(1+HS13)*HS7),5)</f>
        <v/>
      </c>
      <c r="HT14" s="27">
        <f>TRUNC(IF(HT7=0,1,HS14*(1+HT13)*HT7),5)</f>
        <v/>
      </c>
      <c r="HU14" s="27">
        <f>TRUNC(IF(HU7=0,1,HT14*(1+HU13)*HU7),5)</f>
        <v/>
      </c>
      <c r="HV14" s="27">
        <f>TRUNC(IF(HV7=0,1,HU14*(1+HV13)*HV7),5)</f>
        <v/>
      </c>
      <c r="HW14" s="27">
        <f>TRUNC(IF(HW7=0,1,HV14*(1+HW13)*HW7),5)</f>
        <v/>
      </c>
      <c r="HX14" s="27">
        <f>TRUNC(IF(HX7=0,1,HW14*(1+HX13)*HX7),5)</f>
        <v/>
      </c>
      <c r="HY14" s="27">
        <f>TRUNC(IF(HY7=0,1,HX14*(1+HY13)*HY7),5)</f>
        <v/>
      </c>
      <c r="HZ14" s="27">
        <f>TRUNC(IF(HZ7=0,1,HY14*(1+HZ13)*HZ7),5)</f>
        <v/>
      </c>
      <c r="IA14" s="27">
        <f>TRUNC(IF(IA7=0,1,HZ14*(1+IA13)*IA7),5)</f>
        <v/>
      </c>
      <c r="IB14" s="27">
        <f>TRUNC(IF(IB7=0,1,IA14*(1+IB13)*IB7),5)</f>
        <v/>
      </c>
      <c r="IC14" s="27">
        <f>TRUNC(IF(IC7=0,1,IB14*(1+IC13)*IC7),5)</f>
        <v/>
      </c>
      <c r="ID14" s="27">
        <f>TRUNC(IF(ID7=0,1,IC14*(1+ID13)*ID7),5)</f>
        <v/>
      </c>
      <c r="IE14" s="27">
        <f>TRUNC(IF(IE7=0,1,ID14*(1+IE13)*IE7),5)</f>
        <v/>
      </c>
      <c r="IF14" s="27">
        <f>TRUNC(IF(IF7=0,1,IE14*(1+IF13)*IF7),5)</f>
        <v/>
      </c>
      <c r="IG14" s="27">
        <f>TRUNC(IF(IG7=0,1,IF14*(1+IG13)*IG7),5)</f>
        <v/>
      </c>
      <c r="IH14" s="27">
        <f>TRUNC(IF(IH7=0,1,IG14*(1+IH13)*IH7),5)</f>
        <v/>
      </c>
      <c r="II14" s="27">
        <f>TRUNC(IF(II7=0,1,IH14*(1+II13)*II7),5)</f>
        <v/>
      </c>
      <c r="IJ14" s="27">
        <f>TRUNC(IF(IJ7=0,1,II14*(1+IJ13)*IJ7),5)</f>
        <v/>
      </c>
      <c r="IK14" s="27">
        <f>TRUNC(IF(IK7=0,1,IJ14*(1+IK13)*IK7),5)</f>
        <v/>
      </c>
      <c r="IL14" s="27">
        <f>TRUNC(IF(IL7=0,1,IK14*(1+IL13)*IL7),5)</f>
        <v/>
      </c>
      <c r="IM14" s="27">
        <f>TRUNC(IF(IM7=0,1,IL14*(1+IM13)*IM7),5)</f>
        <v/>
      </c>
      <c r="IN14" s="27">
        <f>TRUNC(IF(IN7=0,1,IM14*(1+IN13)*IN7),5)</f>
        <v/>
      </c>
      <c r="IO14" s="27">
        <f>TRUNC(IF(IO7=0,1,IN14*(1+IO13)*IO7),5)</f>
        <v/>
      </c>
      <c r="IP14" s="27">
        <f>TRUNC(IF(IP7=0,1,IO14*(1+IP13)*IP7),5)</f>
        <v/>
      </c>
      <c r="IQ14" s="27">
        <f>TRUNC(IF(IQ7=0,1,IP14*(1+IQ13)*IQ7),5)</f>
        <v/>
      </c>
      <c r="IR14" s="27">
        <f>TRUNC(IF(IR7=0,1,IQ14*(1+IR13)*IR7),5)</f>
        <v/>
      </c>
      <c r="IS14" s="27">
        <f>TRUNC(IF(IS7=0,1,IR14*(1+IS13)*IS7),5)</f>
        <v/>
      </c>
      <c r="IT14" s="27">
        <f>TRUNC(IF(IT7=0,1,IS14*(1+IT13)*IT7),5)</f>
        <v/>
      </c>
      <c r="IU14" s="27">
        <f>TRUNC(IF(IU7=0,1,IT14*(1+IU13)*IU7),5)</f>
        <v/>
      </c>
      <c r="IV14" s="27">
        <f>TRUNC(IF(IV7=0,1,IU14*(1+IV13)*IV7),5)</f>
        <v/>
      </c>
      <c r="IW14" s="27">
        <f>TRUNC(IF(IW7=0,1,IV14*(1+IW13)*IW7),5)</f>
        <v/>
      </c>
      <c r="IX14" s="27">
        <f>TRUNC(IF(IX7=0,1,IW14*(1+IX13)*IX7),5)</f>
        <v/>
      </c>
      <c r="IY14" s="27">
        <f>TRUNC(IF(IY7=0,1,IX14*(1+IY13)*IY7),5)</f>
        <v/>
      </c>
      <c r="IZ14" s="27">
        <f>TRUNC(IF(IZ7=0,1,IY14*(1+IZ13)*IZ7),5)</f>
        <v/>
      </c>
      <c r="JA14" s="27">
        <f>TRUNC(IF(JA7=0,1,IZ14*(1+JA13)*JA7),5)</f>
        <v/>
      </c>
      <c r="JB14" s="27">
        <f>TRUNC(IF(JB7=0,1,JA14*(1+JB13)*JB7),5)</f>
        <v/>
      </c>
      <c r="JC14" s="27">
        <f>TRUNC(IF(JC7=0,1,JB14*(1+JC13)*JC7),5)</f>
        <v/>
      </c>
      <c r="JD14" s="27">
        <f>TRUNC(IF(JD7=0,1,JC14*(1+JD13)*JD7),5)</f>
        <v/>
      </c>
      <c r="JE14" s="27">
        <f>TRUNC(IF(JE7=0,1,JD14*(1+JE13)*JE7),5)</f>
        <v/>
      </c>
      <c r="JF14" s="27">
        <f>TRUNC(IF(JF7=0,1,JE14*(1+JF13)*JF7),5)</f>
        <v/>
      </c>
      <c r="JG14" s="27">
        <f>TRUNC(IF(JG7=0,1,JF14*(1+JG13)*JG7),5)</f>
        <v/>
      </c>
      <c r="JH14" s="27">
        <f>TRUNC(IF(JH7=0,1,JG14*(1+JH13)*JH7),5)</f>
        <v/>
      </c>
      <c r="JI14" s="27">
        <f>TRUNC(IF(JI7=0,1,JH14*(1+JI13)*JI7),5)</f>
        <v/>
      </c>
      <c r="JJ14" s="27">
        <f>TRUNC(IF(JJ7=0,1,JI14*(1+JJ13)*JJ7),5)</f>
        <v/>
      </c>
      <c r="JK14" s="27">
        <f>TRUNC(IF(JK7=0,1,JJ14*(1+JK13)*JK7),5)</f>
        <v/>
      </c>
      <c r="JL14" s="27">
        <f>TRUNC(IF(JL7=0,1,JK14*(1+JL13)*JL7),5)</f>
        <v/>
      </c>
      <c r="JM14" s="27">
        <f>TRUNC(IF(JM7=0,1,JL14*(1+JM13)*JM7),5)</f>
        <v/>
      </c>
      <c r="JN14" s="27">
        <f>TRUNC(IF(JN7=0,1,JM14*(1+JN13)*JN7),5)</f>
        <v/>
      </c>
      <c r="JO14" s="27">
        <f>TRUNC(IF(JO7=0,1,JN14*(1+JO13)*JO7),5)</f>
        <v/>
      </c>
      <c r="JP14" s="27">
        <f>TRUNC(IF(JP7=0,1,JO14*(1+JP13)*JP7),5)</f>
        <v/>
      </c>
      <c r="JQ14" s="27">
        <f>TRUNC(IF(JQ7=0,1,JP14*(1+JQ13)*JQ7),5)</f>
        <v/>
      </c>
      <c r="JR14" s="27">
        <f>TRUNC(IF(JR7=0,1,JQ14*(1+JR13)*JR7),5)</f>
        <v/>
      </c>
      <c r="JS14" s="27">
        <f>TRUNC(IF(JS7=0,1,JR14*(1+JS13)*JS7),5)</f>
        <v/>
      </c>
      <c r="JT14" s="27">
        <f>TRUNC(IF(JT7=0,1,JS14*(1+JT13)*JT7),5)</f>
        <v/>
      </c>
      <c r="JU14" s="27">
        <f>TRUNC(IF(JU7=0,1,JT14*(1+JU13)*JU7),5)</f>
        <v/>
      </c>
      <c r="JV14" s="27">
        <f>TRUNC(IF(JV7=0,1,JU14*(1+JV13)*JV7),5)</f>
        <v/>
      </c>
      <c r="JW14" s="27">
        <f>TRUNC(IF(JW7=0,1,JV14*(1+JW13)*JW7),5)</f>
        <v/>
      </c>
      <c r="JX14" s="27">
        <f>TRUNC(IF(JX7=0,1,JW14*(1+JX13)*JX7),5)</f>
        <v/>
      </c>
      <c r="JY14" s="27">
        <f>TRUNC(IF(JY7=0,1,JX14*(1+JY13)*JY7),5)</f>
        <v/>
      </c>
      <c r="JZ14" s="27">
        <f>TRUNC(IF(JZ7=0,1,JY14*(1+JZ13)*JZ7),5)</f>
        <v/>
      </c>
      <c r="KA14" s="27">
        <f>TRUNC(IF(KA7=0,1,JZ14*(1+KA13)*KA7),5)</f>
        <v/>
      </c>
      <c r="KB14" s="27">
        <f>TRUNC(IF(KB7=0,1,KA14*(1+KB13)*KB7),5)</f>
        <v/>
      </c>
      <c r="KC14" s="27">
        <f>TRUNC(IF(KC7=0,1,KB14*(1+KC13)*KC7),5)</f>
        <v/>
      </c>
      <c r="KD14" s="27">
        <f>TRUNC(IF(KD7=0,1,KC14*(1+KD13)*KD7),5)</f>
        <v/>
      </c>
      <c r="KE14" s="27">
        <f>TRUNC(IF(KE7=0,1,KD14*(1+KE13)*KE7),5)</f>
        <v/>
      </c>
      <c r="KF14" s="27">
        <f>TRUNC(IF(KF7=0,1,KE14*(1+KF13)*KF7),5)</f>
        <v/>
      </c>
      <c r="KG14" s="27">
        <f>TRUNC(IF(KG7=0,1,KF14*(1+KG13)*KG7),5)</f>
        <v/>
      </c>
      <c r="KH14" s="27">
        <f>TRUNC(IF(KH7=0,1,KG14*(1+KH13)*KH7),5)</f>
        <v/>
      </c>
      <c r="KI14" s="27">
        <f>TRUNC(IF(KI7=0,1,KH14*(1+KI13)*KI7),5)</f>
        <v/>
      </c>
      <c r="KJ14" s="27">
        <f>TRUNC(IF(KJ7=0,1,KI14*(1+KJ13)*KJ7),5)</f>
        <v/>
      </c>
      <c r="KK14" s="27">
        <f>TRUNC(IF(KK7=0,1,KJ14*(1+KK13)*KK7),5)</f>
        <v/>
      </c>
      <c r="KL14" s="27">
        <f>TRUNC(IF(KL7=0,1,KK14*(1+KL13)*KL7),5)</f>
        <v/>
      </c>
      <c r="KM14" s="27">
        <f>TRUNC(IF(KM7=0,1,KL14*(1+KM13)*KM7),5)</f>
        <v/>
      </c>
      <c r="KN14" s="27">
        <f>TRUNC(IF(KN7=0,1,KM14*(1+KN13)*KN7),5)</f>
        <v/>
      </c>
      <c r="KO14" s="27">
        <f>TRUNC(IF(KO7=0,1,KN14*(1+KO13)*KO7),5)</f>
        <v/>
      </c>
      <c r="KP14" s="27">
        <f>TRUNC(IF(KP7=0,1,KO14*(1+KP13)*KP7),5)</f>
        <v/>
      </c>
      <c r="KQ14" s="27">
        <f>TRUNC(IF(KQ7=0,1,KP14*(1+KQ13)*KQ7),5)</f>
        <v/>
      </c>
      <c r="KR14" s="27">
        <f>TRUNC(IF(KR7=0,1,KQ14*(1+KR13)*KR7),5)</f>
        <v/>
      </c>
      <c r="KS14" s="27">
        <f>TRUNC(IF(KS7=0,1,KR14*(1+KS13)*KS7),5)</f>
        <v/>
      </c>
      <c r="KT14" s="27">
        <f>TRUNC(IF(KT7=0,1,KS14*(1+KT13)*KT7),5)</f>
        <v/>
      </c>
      <c r="KU14" s="27">
        <f>TRUNC(IF(KU7=0,1,KT14*(1+KU13)*KU7),5)</f>
        <v/>
      </c>
      <c r="KV14" s="27">
        <f>TRUNC(IF(KV7=0,1,KU14*(1+KV13)*KV7),5)</f>
        <v/>
      </c>
      <c r="KW14" s="27">
        <f>TRUNC(IF(KW7=0,1,KV14*(1+KW13)*KW7),5)</f>
        <v/>
      </c>
      <c r="KX14" s="27">
        <f>TRUNC(IF(KX7=0,1,KW14*(1+KX13)*KX7),5)</f>
        <v/>
      </c>
      <c r="KY14" s="27">
        <f>TRUNC(IF(KY7=0,1,KX14*(1+KY13)*KY7),5)</f>
        <v/>
      </c>
      <c r="KZ14" s="27">
        <f>TRUNC(IF(KZ7=0,1,KY14*(1+KZ13)*KZ7),5)</f>
        <v/>
      </c>
      <c r="LA14" s="27">
        <f>TRUNC(IF(LA7=0,1,KZ14*(1+LA13)*LA7),5)</f>
        <v/>
      </c>
      <c r="LB14" s="27">
        <f>TRUNC(IF(LB7=0,1,LA14*(1+LB13)*LB7),5)</f>
        <v/>
      </c>
      <c r="LC14" s="27">
        <f>TRUNC(IF(LC7=0,1,LB14*(1+LC13)*LC7),5)</f>
        <v/>
      </c>
      <c r="LD14" s="27">
        <f>TRUNC(IF(LD7=0,1,LC14*(1+LD13)*LD7),5)</f>
        <v/>
      </c>
      <c r="LE14" s="27">
        <f>TRUNC(IF(LE7=0,1,LD14*(1+LE13)*LE7),5)</f>
        <v/>
      </c>
      <c r="LF14" s="27">
        <f>TRUNC(IF(LF7=0,1,LE14*(1+LF13)*LF7),5)</f>
        <v/>
      </c>
      <c r="LG14" s="27">
        <f>TRUNC(IF(LG7=0,1,LF14*(1+LG13)*LG7),5)</f>
        <v/>
      </c>
      <c r="LH14" s="27">
        <f>TRUNC(IF(LH7=0,1,LG14*(1+LH13)*LH7),5)</f>
        <v/>
      </c>
      <c r="LI14" s="27">
        <f>TRUNC(IF(LI7=0,1,LH14*(1+LI13)*LI7),5)</f>
        <v/>
      </c>
    </row>
    <row r="15">
      <c r="B15" s="17" t="inlineStr">
        <is>
          <t>PPDMO fijo mensual</t>
        </is>
      </c>
      <c r="D15" s="19">
        <f>p_fijo_base*D14*D7</f>
        <v/>
      </c>
      <c r="E15" s="19">
        <f>p_fijo_base*E14*E7</f>
        <v/>
      </c>
      <c r="F15" s="19">
        <f>p_fijo_base*F14*F7</f>
        <v/>
      </c>
      <c r="G15" s="19">
        <f>p_fijo_base*G14*G7</f>
        <v/>
      </c>
      <c r="H15" s="19">
        <f>p_fijo_base*H14*H7</f>
        <v/>
      </c>
      <c r="I15" s="19">
        <f>p_fijo_base*I14*I7</f>
        <v/>
      </c>
      <c r="J15" s="19">
        <f>p_fijo_base*J14*J7</f>
        <v/>
      </c>
      <c r="K15" s="19">
        <f>p_fijo_base*K14*K7</f>
        <v/>
      </c>
      <c r="L15" s="19">
        <f>p_fijo_base*L14*L7</f>
        <v/>
      </c>
      <c r="M15" s="19">
        <f>p_fijo_base*M14*M7</f>
        <v/>
      </c>
      <c r="N15" s="19">
        <f>p_fijo_base*N14*N7</f>
        <v/>
      </c>
      <c r="O15" s="19">
        <f>p_fijo_base*O14*O7</f>
        <v/>
      </c>
      <c r="P15" s="19">
        <f>p_fijo_base*P14*P7</f>
        <v/>
      </c>
      <c r="Q15" s="19">
        <f>p_fijo_base*Q14*Q7</f>
        <v/>
      </c>
      <c r="R15" s="19">
        <f>p_fijo_base*R14*R7</f>
        <v/>
      </c>
      <c r="S15" s="19">
        <f>p_fijo_base*S14*S7</f>
        <v/>
      </c>
      <c r="T15" s="19">
        <f>p_fijo_base*T14*T7</f>
        <v/>
      </c>
      <c r="U15" s="19">
        <f>p_fijo_base*U14*U7</f>
        <v/>
      </c>
      <c r="V15" s="19">
        <f>p_fijo_base*V14*V7</f>
        <v/>
      </c>
      <c r="W15" s="19">
        <f>p_fijo_base*W14*W7</f>
        <v/>
      </c>
      <c r="X15" s="19">
        <f>p_fijo_base*X14*X7</f>
        <v/>
      </c>
      <c r="Y15" s="19">
        <f>p_fijo_base*Y14*Y7</f>
        <v/>
      </c>
      <c r="Z15" s="19">
        <f>p_fijo_base*Z14*Z7</f>
        <v/>
      </c>
      <c r="AA15" s="19">
        <f>p_fijo_base*AA14*AA7</f>
        <v/>
      </c>
      <c r="AB15" s="19">
        <f>p_fijo_base*AB14*AB7</f>
        <v/>
      </c>
      <c r="AC15" s="19">
        <f>p_fijo_base*AC14*AC7</f>
        <v/>
      </c>
      <c r="AD15" s="19">
        <f>p_fijo_base*AD14*AD7</f>
        <v/>
      </c>
      <c r="AE15" s="19">
        <f>p_fijo_base*AE14*AE7</f>
        <v/>
      </c>
      <c r="AF15" s="19">
        <f>p_fijo_base*AF14*AF7</f>
        <v/>
      </c>
      <c r="AG15" s="19">
        <f>p_fijo_base*AG14*AG7</f>
        <v/>
      </c>
      <c r="AH15" s="19">
        <f>p_fijo_base*AH14*AH7</f>
        <v/>
      </c>
      <c r="AI15" s="19">
        <f>p_fijo_base*AI14*AI7</f>
        <v/>
      </c>
      <c r="AJ15" s="19">
        <f>p_fijo_base*AJ14*AJ7</f>
        <v/>
      </c>
      <c r="AK15" s="19">
        <f>p_fijo_base*AK14*AK7</f>
        <v/>
      </c>
      <c r="AL15" s="19">
        <f>p_fijo_base*AL14*AL7</f>
        <v/>
      </c>
      <c r="AM15" s="19">
        <f>p_fijo_base*AM14*AM7</f>
        <v/>
      </c>
      <c r="AN15" s="19">
        <f>p_fijo_base*AN14*AN7</f>
        <v/>
      </c>
      <c r="AO15" s="19">
        <f>p_fijo_base*AO14*AO7</f>
        <v/>
      </c>
      <c r="AP15" s="19">
        <f>p_fijo_base*AP14*AP7</f>
        <v/>
      </c>
      <c r="AQ15" s="19">
        <f>p_fijo_base*AQ14*AQ7</f>
        <v/>
      </c>
      <c r="AR15" s="19">
        <f>p_fijo_base*AR14*AR7</f>
        <v/>
      </c>
      <c r="AS15" s="19">
        <f>p_fijo_base*AS14*AS7</f>
        <v/>
      </c>
      <c r="AT15" s="19">
        <f>p_fijo_base*AT14*AT7</f>
        <v/>
      </c>
      <c r="AU15" s="19">
        <f>p_fijo_base*AU14*AU7</f>
        <v/>
      </c>
      <c r="AV15" s="19">
        <f>p_fijo_base*AV14*AV7</f>
        <v/>
      </c>
      <c r="AW15" s="19">
        <f>p_fijo_base*AW14*AW7</f>
        <v/>
      </c>
      <c r="AX15" s="19">
        <f>p_fijo_base*AX14*AX7</f>
        <v/>
      </c>
      <c r="AY15" s="19">
        <f>p_fijo_base*AY14*AY7</f>
        <v/>
      </c>
      <c r="AZ15" s="19">
        <f>p_fijo_base*AZ14*AZ7</f>
        <v/>
      </c>
      <c r="BA15" s="19">
        <f>p_fijo_base*BA14*BA7</f>
        <v/>
      </c>
      <c r="BB15" s="19">
        <f>p_fijo_base*BB14*BB7</f>
        <v/>
      </c>
      <c r="BC15" s="19">
        <f>p_fijo_base*BC14*BC7</f>
        <v/>
      </c>
      <c r="BD15" s="19">
        <f>p_fijo_base*BD14*BD7</f>
        <v/>
      </c>
      <c r="BE15" s="19">
        <f>p_fijo_base*BE14*BE7</f>
        <v/>
      </c>
      <c r="BF15" s="19">
        <f>p_fijo_base*BF14*BF7</f>
        <v/>
      </c>
      <c r="BG15" s="19">
        <f>p_fijo_base*BG14*BG7</f>
        <v/>
      </c>
      <c r="BH15" s="19">
        <f>p_fijo_base*BH14*BH7</f>
        <v/>
      </c>
      <c r="BI15" s="19">
        <f>p_fijo_base*BI14*BI7</f>
        <v/>
      </c>
      <c r="BJ15" s="19">
        <f>p_fijo_base*BJ14*BJ7</f>
        <v/>
      </c>
      <c r="BK15" s="19">
        <f>p_fijo_base*BK14*BK7</f>
        <v/>
      </c>
      <c r="BL15" s="19">
        <f>p_fijo_base*BL14*BL7</f>
        <v/>
      </c>
      <c r="BM15" s="19">
        <f>p_fijo_base*BM14*BM7</f>
        <v/>
      </c>
      <c r="BN15" s="19">
        <f>p_fijo_base*BN14*BN7</f>
        <v/>
      </c>
      <c r="BO15" s="19">
        <f>p_fijo_base*BO14*BO7</f>
        <v/>
      </c>
      <c r="BP15" s="19">
        <f>p_fijo_base*BP14*BP7</f>
        <v/>
      </c>
      <c r="BQ15" s="19">
        <f>p_fijo_base*BQ14*BQ7</f>
        <v/>
      </c>
      <c r="BR15" s="19">
        <f>p_fijo_base*BR14*BR7</f>
        <v/>
      </c>
      <c r="BS15" s="19">
        <f>p_fijo_base*BS14*BS7</f>
        <v/>
      </c>
      <c r="BT15" s="19">
        <f>p_fijo_base*BT14*BT7</f>
        <v/>
      </c>
      <c r="BU15" s="19">
        <f>p_fijo_base*BU14*BU7</f>
        <v/>
      </c>
      <c r="BV15" s="19">
        <f>p_fijo_base*BV14*BV7</f>
        <v/>
      </c>
      <c r="BW15" s="19">
        <f>p_fijo_base*BW14*BW7</f>
        <v/>
      </c>
      <c r="BX15" s="19">
        <f>p_fijo_base*BX14*BX7</f>
        <v/>
      </c>
      <c r="BY15" s="19">
        <f>p_fijo_base*BY14*BY7</f>
        <v/>
      </c>
      <c r="BZ15" s="19">
        <f>p_fijo_base*BZ14*BZ7</f>
        <v/>
      </c>
      <c r="CA15" s="19">
        <f>p_fijo_base*CA14*CA7</f>
        <v/>
      </c>
      <c r="CB15" s="19">
        <f>p_fijo_base*CB14*CB7</f>
        <v/>
      </c>
      <c r="CC15" s="19">
        <f>p_fijo_base*CC14*CC7</f>
        <v/>
      </c>
      <c r="CD15" s="19">
        <f>p_fijo_base*CD14*CD7</f>
        <v/>
      </c>
      <c r="CE15" s="19">
        <f>p_fijo_base*CE14*CE7</f>
        <v/>
      </c>
      <c r="CF15" s="19">
        <f>p_fijo_base*CF14*CF7</f>
        <v/>
      </c>
      <c r="CG15" s="19">
        <f>p_fijo_base*CG14*CG7</f>
        <v/>
      </c>
      <c r="CH15" s="19">
        <f>p_fijo_base*CH14*CH7</f>
        <v/>
      </c>
      <c r="CI15" s="19">
        <f>p_fijo_base*CI14*CI7</f>
        <v/>
      </c>
      <c r="CJ15" s="19">
        <f>p_fijo_base*CJ14*CJ7</f>
        <v/>
      </c>
      <c r="CK15" s="19">
        <f>p_fijo_base*CK14*CK7</f>
        <v/>
      </c>
      <c r="CL15" s="19">
        <f>p_fijo_base*CL14*CL7</f>
        <v/>
      </c>
      <c r="CM15" s="19">
        <f>p_fijo_base*CM14*CM7</f>
        <v/>
      </c>
      <c r="CN15" s="19">
        <f>p_fijo_base*CN14*CN7</f>
        <v/>
      </c>
      <c r="CO15" s="19">
        <f>p_fijo_base*CO14*CO7</f>
        <v/>
      </c>
      <c r="CP15" s="19">
        <f>p_fijo_base*CP14*CP7</f>
        <v/>
      </c>
      <c r="CQ15" s="19">
        <f>p_fijo_base*CQ14*CQ7</f>
        <v/>
      </c>
      <c r="CR15" s="19">
        <f>p_fijo_base*CR14*CR7</f>
        <v/>
      </c>
      <c r="CS15" s="19">
        <f>p_fijo_base*CS14*CS7</f>
        <v/>
      </c>
      <c r="CT15" s="19">
        <f>p_fijo_base*CT14*CT7</f>
        <v/>
      </c>
      <c r="CU15" s="19">
        <f>p_fijo_base*CU14*CU7</f>
        <v/>
      </c>
      <c r="CV15" s="19">
        <f>p_fijo_base*CV14*CV7</f>
        <v/>
      </c>
      <c r="CW15" s="19">
        <f>p_fijo_base*CW14*CW7</f>
        <v/>
      </c>
      <c r="CX15" s="19">
        <f>p_fijo_base*CX14*CX7</f>
        <v/>
      </c>
      <c r="CY15" s="19">
        <f>p_fijo_base*CY14*CY7</f>
        <v/>
      </c>
      <c r="CZ15" s="19">
        <f>p_fijo_base*CZ14*CZ7</f>
        <v/>
      </c>
      <c r="DA15" s="19">
        <f>p_fijo_base*DA14*DA7</f>
        <v/>
      </c>
      <c r="DB15" s="19">
        <f>p_fijo_base*DB14*DB7</f>
        <v/>
      </c>
      <c r="DC15" s="19">
        <f>p_fijo_base*DC14*DC7</f>
        <v/>
      </c>
      <c r="DD15" s="19">
        <f>p_fijo_base*DD14*DD7</f>
        <v/>
      </c>
      <c r="DE15" s="19">
        <f>p_fijo_base*DE14*DE7</f>
        <v/>
      </c>
      <c r="DF15" s="19">
        <f>p_fijo_base*DF14*DF7</f>
        <v/>
      </c>
      <c r="DG15" s="19">
        <f>p_fijo_base*DG14*DG7</f>
        <v/>
      </c>
      <c r="DH15" s="19">
        <f>p_fijo_base*DH14*DH7</f>
        <v/>
      </c>
      <c r="DI15" s="19">
        <f>p_fijo_base*DI14*DI7</f>
        <v/>
      </c>
      <c r="DJ15" s="19">
        <f>p_fijo_base*DJ14*DJ7</f>
        <v/>
      </c>
      <c r="DK15" s="19">
        <f>p_fijo_base*DK14*DK7</f>
        <v/>
      </c>
      <c r="DL15" s="19">
        <f>p_fijo_base*DL14*DL7</f>
        <v/>
      </c>
      <c r="DM15" s="19">
        <f>p_fijo_base*DM14*DM7</f>
        <v/>
      </c>
      <c r="DN15" s="19">
        <f>p_fijo_base*DN14*DN7</f>
        <v/>
      </c>
      <c r="DO15" s="19">
        <f>p_fijo_base*DO14*DO7</f>
        <v/>
      </c>
      <c r="DP15" s="19">
        <f>p_fijo_base*DP14*DP7</f>
        <v/>
      </c>
      <c r="DQ15" s="19">
        <f>p_fijo_base*DQ14*DQ7</f>
        <v/>
      </c>
      <c r="DR15" s="19">
        <f>p_fijo_base*DR14*DR7</f>
        <v/>
      </c>
      <c r="DS15" s="19">
        <f>p_fijo_base*DS14*DS7</f>
        <v/>
      </c>
      <c r="DT15" s="19">
        <f>p_fijo_base*DT14*DT7</f>
        <v/>
      </c>
      <c r="DU15" s="19">
        <f>p_fijo_base*DU14*DU7</f>
        <v/>
      </c>
      <c r="DV15" s="19">
        <f>p_fijo_base*DV14*DV7</f>
        <v/>
      </c>
      <c r="DW15" s="19">
        <f>p_fijo_base*DW14*DW7</f>
        <v/>
      </c>
      <c r="DX15" s="19">
        <f>p_fijo_base*DX14*DX7</f>
        <v/>
      </c>
      <c r="DY15" s="19">
        <f>p_fijo_base*DY14*DY7</f>
        <v/>
      </c>
      <c r="DZ15" s="19">
        <f>p_fijo_base*DZ14*DZ7</f>
        <v/>
      </c>
      <c r="EA15" s="19">
        <f>p_fijo_base*EA14*EA7</f>
        <v/>
      </c>
      <c r="EB15" s="19">
        <f>p_fijo_base*EB14*EB7</f>
        <v/>
      </c>
      <c r="EC15" s="19">
        <f>p_fijo_base*EC14*EC7</f>
        <v/>
      </c>
      <c r="ED15" s="19">
        <f>p_fijo_base*ED14*ED7</f>
        <v/>
      </c>
      <c r="EE15" s="19">
        <f>p_fijo_base*EE14*EE7</f>
        <v/>
      </c>
      <c r="EF15" s="19">
        <f>p_fijo_base*EF14*EF7</f>
        <v/>
      </c>
      <c r="EG15" s="19">
        <f>p_fijo_base*EG14*EG7</f>
        <v/>
      </c>
      <c r="EH15" s="19">
        <f>p_fijo_base*EH14*EH7</f>
        <v/>
      </c>
      <c r="EI15" s="19">
        <f>p_fijo_base*EI14*EI7</f>
        <v/>
      </c>
      <c r="EJ15" s="19">
        <f>p_fijo_base*EJ14*EJ7</f>
        <v/>
      </c>
      <c r="EK15" s="19">
        <f>p_fijo_base*EK14*EK7</f>
        <v/>
      </c>
      <c r="EL15" s="19">
        <f>p_fijo_base*EL14*EL7</f>
        <v/>
      </c>
      <c r="EM15" s="19">
        <f>p_fijo_base*EM14*EM7</f>
        <v/>
      </c>
      <c r="EN15" s="19">
        <f>p_fijo_base*EN14*EN7</f>
        <v/>
      </c>
      <c r="EO15" s="19">
        <f>p_fijo_base*EO14*EO7</f>
        <v/>
      </c>
      <c r="EP15" s="19">
        <f>p_fijo_base*EP14*EP7</f>
        <v/>
      </c>
      <c r="EQ15" s="19">
        <f>p_fijo_base*EQ14*EQ7</f>
        <v/>
      </c>
      <c r="ER15" s="19">
        <f>p_fijo_base*ER14*ER7</f>
        <v/>
      </c>
      <c r="ES15" s="19">
        <f>p_fijo_base*ES14*ES7</f>
        <v/>
      </c>
      <c r="ET15" s="19">
        <f>p_fijo_base*ET14*ET7</f>
        <v/>
      </c>
      <c r="EU15" s="19">
        <f>p_fijo_base*EU14*EU7</f>
        <v/>
      </c>
      <c r="EV15" s="19">
        <f>p_fijo_base*EV14*EV7</f>
        <v/>
      </c>
      <c r="EW15" s="19">
        <f>p_fijo_base*EW14*EW7</f>
        <v/>
      </c>
      <c r="EX15" s="19">
        <f>p_fijo_base*EX14*EX7</f>
        <v/>
      </c>
      <c r="EY15" s="19">
        <f>p_fijo_base*EY14*EY7</f>
        <v/>
      </c>
      <c r="EZ15" s="19">
        <f>p_fijo_base*EZ14*EZ7</f>
        <v/>
      </c>
      <c r="FA15" s="19">
        <f>p_fijo_base*FA14*FA7</f>
        <v/>
      </c>
      <c r="FB15" s="19">
        <f>p_fijo_base*FB14*FB7</f>
        <v/>
      </c>
      <c r="FC15" s="19">
        <f>p_fijo_base*FC14*FC7</f>
        <v/>
      </c>
      <c r="FD15" s="19">
        <f>p_fijo_base*FD14*FD7</f>
        <v/>
      </c>
      <c r="FE15" s="19">
        <f>p_fijo_base*FE14*FE7</f>
        <v/>
      </c>
      <c r="FF15" s="19">
        <f>p_fijo_base*FF14*FF7</f>
        <v/>
      </c>
      <c r="FG15" s="19">
        <f>p_fijo_base*FG14*FG7</f>
        <v/>
      </c>
      <c r="FH15" s="19">
        <f>p_fijo_base*FH14*FH7</f>
        <v/>
      </c>
      <c r="FI15" s="19">
        <f>p_fijo_base*FI14*FI7</f>
        <v/>
      </c>
      <c r="FJ15" s="19">
        <f>p_fijo_base*FJ14*FJ7</f>
        <v/>
      </c>
      <c r="FK15" s="19">
        <f>p_fijo_base*FK14*FK7</f>
        <v/>
      </c>
      <c r="FL15" s="19">
        <f>p_fijo_base*FL14*FL7</f>
        <v/>
      </c>
      <c r="FM15" s="19">
        <f>p_fijo_base*FM14*FM7</f>
        <v/>
      </c>
      <c r="FN15" s="19">
        <f>p_fijo_base*FN14*FN7</f>
        <v/>
      </c>
      <c r="FO15" s="19">
        <f>p_fijo_base*FO14*FO7</f>
        <v/>
      </c>
      <c r="FP15" s="19">
        <f>p_fijo_base*FP14*FP7</f>
        <v/>
      </c>
      <c r="FQ15" s="19">
        <f>p_fijo_base*FQ14*FQ7</f>
        <v/>
      </c>
      <c r="FR15" s="19">
        <f>p_fijo_base*FR14*FR7</f>
        <v/>
      </c>
      <c r="FS15" s="19">
        <f>p_fijo_base*FS14*FS7</f>
        <v/>
      </c>
      <c r="FT15" s="19">
        <f>p_fijo_base*FT14*FT7</f>
        <v/>
      </c>
      <c r="FU15" s="19">
        <f>p_fijo_base*FU14*FU7</f>
        <v/>
      </c>
      <c r="FV15" s="19">
        <f>p_fijo_base*FV14*FV7</f>
        <v/>
      </c>
      <c r="FW15" s="19">
        <f>p_fijo_base*FW14*FW7</f>
        <v/>
      </c>
      <c r="FX15" s="19">
        <f>p_fijo_base*FX14*FX7</f>
        <v/>
      </c>
      <c r="FY15" s="19">
        <f>p_fijo_base*FY14*FY7</f>
        <v/>
      </c>
      <c r="FZ15" s="19">
        <f>p_fijo_base*FZ14*FZ7</f>
        <v/>
      </c>
      <c r="GA15" s="19">
        <f>p_fijo_base*GA14*GA7</f>
        <v/>
      </c>
      <c r="GB15" s="19">
        <f>p_fijo_base*GB14*GB7</f>
        <v/>
      </c>
      <c r="GC15" s="19">
        <f>p_fijo_base*GC14*GC7</f>
        <v/>
      </c>
      <c r="GD15" s="19">
        <f>p_fijo_base*GD14*GD7</f>
        <v/>
      </c>
      <c r="GE15" s="19">
        <f>p_fijo_base*GE14*GE7</f>
        <v/>
      </c>
      <c r="GF15" s="19">
        <f>p_fijo_base*GF14*GF7</f>
        <v/>
      </c>
      <c r="GG15" s="19">
        <f>p_fijo_base*GG14*GG7</f>
        <v/>
      </c>
      <c r="GH15" s="19">
        <f>p_fijo_base*GH14*GH7</f>
        <v/>
      </c>
      <c r="GI15" s="19">
        <f>p_fijo_base*GI14*GI7</f>
        <v/>
      </c>
      <c r="GJ15" s="19">
        <f>p_fijo_base*GJ14*GJ7</f>
        <v/>
      </c>
      <c r="GK15" s="19">
        <f>p_fijo_base*GK14*GK7</f>
        <v/>
      </c>
      <c r="GL15" s="19">
        <f>p_fijo_base*GL14*GL7</f>
        <v/>
      </c>
      <c r="GM15" s="19">
        <f>p_fijo_base*GM14*GM7</f>
        <v/>
      </c>
      <c r="GN15" s="19">
        <f>p_fijo_base*GN14*GN7</f>
        <v/>
      </c>
      <c r="GO15" s="19">
        <f>p_fijo_base*GO14*GO7</f>
        <v/>
      </c>
      <c r="GP15" s="19">
        <f>p_fijo_base*GP14*GP7</f>
        <v/>
      </c>
      <c r="GQ15" s="19">
        <f>p_fijo_base*GQ14*GQ7</f>
        <v/>
      </c>
      <c r="GR15" s="19">
        <f>p_fijo_base*GR14*GR7</f>
        <v/>
      </c>
      <c r="GS15" s="19">
        <f>p_fijo_base*GS14*GS7</f>
        <v/>
      </c>
      <c r="GT15" s="19">
        <f>p_fijo_base*GT14*GT7</f>
        <v/>
      </c>
      <c r="GU15" s="19">
        <f>p_fijo_base*GU14*GU7</f>
        <v/>
      </c>
      <c r="GV15" s="19">
        <f>p_fijo_base*GV14*GV7</f>
        <v/>
      </c>
      <c r="GW15" s="19">
        <f>p_fijo_base*GW14*GW7</f>
        <v/>
      </c>
      <c r="GX15" s="19">
        <f>p_fijo_base*GX14*GX7</f>
        <v/>
      </c>
      <c r="GY15" s="19">
        <f>p_fijo_base*GY14*GY7</f>
        <v/>
      </c>
      <c r="GZ15" s="19">
        <f>p_fijo_base*GZ14*GZ7</f>
        <v/>
      </c>
      <c r="HA15" s="19">
        <f>p_fijo_base*HA14*HA7</f>
        <v/>
      </c>
      <c r="HB15" s="19">
        <f>p_fijo_base*HB14*HB7</f>
        <v/>
      </c>
      <c r="HC15" s="19">
        <f>p_fijo_base*HC14*HC7</f>
        <v/>
      </c>
      <c r="HD15" s="19">
        <f>p_fijo_base*HD14*HD7</f>
        <v/>
      </c>
      <c r="HE15" s="19">
        <f>p_fijo_base*HE14*HE7</f>
        <v/>
      </c>
      <c r="HF15" s="19">
        <f>p_fijo_base*HF14*HF7</f>
        <v/>
      </c>
      <c r="HG15" s="19">
        <f>p_fijo_base*HG14*HG7</f>
        <v/>
      </c>
      <c r="HH15" s="19">
        <f>p_fijo_base*HH14*HH7</f>
        <v/>
      </c>
      <c r="HI15" s="19">
        <f>p_fijo_base*HI14*HI7</f>
        <v/>
      </c>
      <c r="HJ15" s="19">
        <f>p_fijo_base*HJ14*HJ7</f>
        <v/>
      </c>
      <c r="HK15" s="19">
        <f>p_fijo_base*HK14*HK7</f>
        <v/>
      </c>
      <c r="HL15" s="19">
        <f>p_fijo_base*HL14*HL7</f>
        <v/>
      </c>
      <c r="HM15" s="19">
        <f>p_fijo_base*HM14*HM7</f>
        <v/>
      </c>
      <c r="HN15" s="19">
        <f>p_fijo_base*HN14*HN7</f>
        <v/>
      </c>
      <c r="HO15" s="19">
        <f>p_fijo_base*HO14*HO7</f>
        <v/>
      </c>
      <c r="HP15" s="19">
        <f>p_fijo_base*HP14*HP7</f>
        <v/>
      </c>
      <c r="HQ15" s="19">
        <f>p_fijo_base*HQ14*HQ7</f>
        <v/>
      </c>
      <c r="HR15" s="19">
        <f>p_fijo_base*HR14*HR7</f>
        <v/>
      </c>
      <c r="HS15" s="19">
        <f>p_fijo_base*HS14*HS7</f>
        <v/>
      </c>
      <c r="HT15" s="19">
        <f>p_fijo_base*HT14*HT7</f>
        <v/>
      </c>
      <c r="HU15" s="19">
        <f>p_fijo_base*HU14*HU7</f>
        <v/>
      </c>
      <c r="HV15" s="19">
        <f>p_fijo_base*HV14*HV7</f>
        <v/>
      </c>
      <c r="HW15" s="19">
        <f>p_fijo_base*HW14*HW7</f>
        <v/>
      </c>
      <c r="HX15" s="19">
        <f>p_fijo_base*HX14*HX7</f>
        <v/>
      </c>
      <c r="HY15" s="19">
        <f>p_fijo_base*HY14*HY7</f>
        <v/>
      </c>
      <c r="HZ15" s="19">
        <f>p_fijo_base*HZ14*HZ7</f>
        <v/>
      </c>
      <c r="IA15" s="19">
        <f>p_fijo_base*IA14*IA7</f>
        <v/>
      </c>
      <c r="IB15" s="19">
        <f>p_fijo_base*IB14*IB7</f>
        <v/>
      </c>
      <c r="IC15" s="19">
        <f>p_fijo_base*IC14*IC7</f>
        <v/>
      </c>
      <c r="ID15" s="19">
        <f>p_fijo_base*ID14*ID7</f>
        <v/>
      </c>
      <c r="IE15" s="19">
        <f>p_fijo_base*IE14*IE7</f>
        <v/>
      </c>
      <c r="IF15" s="19">
        <f>p_fijo_base*IF14*IF7</f>
        <v/>
      </c>
      <c r="IG15" s="19">
        <f>p_fijo_base*IG14*IG7</f>
        <v/>
      </c>
      <c r="IH15" s="19">
        <f>p_fijo_base*IH14*IH7</f>
        <v/>
      </c>
      <c r="II15" s="19">
        <f>p_fijo_base*II14*II7</f>
        <v/>
      </c>
      <c r="IJ15" s="19">
        <f>p_fijo_base*IJ14*IJ7</f>
        <v/>
      </c>
      <c r="IK15" s="19">
        <f>p_fijo_base*IK14*IK7</f>
        <v/>
      </c>
      <c r="IL15" s="19">
        <f>p_fijo_base*IL14*IL7</f>
        <v/>
      </c>
      <c r="IM15" s="19">
        <f>p_fijo_base*IM14*IM7</f>
        <v/>
      </c>
      <c r="IN15" s="19">
        <f>p_fijo_base*IN14*IN7</f>
        <v/>
      </c>
      <c r="IO15" s="19">
        <f>p_fijo_base*IO14*IO7</f>
        <v/>
      </c>
      <c r="IP15" s="19">
        <f>p_fijo_base*IP14*IP7</f>
        <v/>
      </c>
      <c r="IQ15" s="19">
        <f>p_fijo_base*IQ14*IQ7</f>
        <v/>
      </c>
      <c r="IR15" s="19">
        <f>p_fijo_base*IR14*IR7</f>
        <v/>
      </c>
      <c r="IS15" s="19">
        <f>p_fijo_base*IS14*IS7</f>
        <v/>
      </c>
      <c r="IT15" s="19">
        <f>p_fijo_base*IT14*IT7</f>
        <v/>
      </c>
      <c r="IU15" s="19">
        <f>p_fijo_base*IU14*IU7</f>
        <v/>
      </c>
      <c r="IV15" s="19">
        <f>p_fijo_base*IV14*IV7</f>
        <v/>
      </c>
      <c r="IW15" s="19">
        <f>p_fijo_base*IW14*IW7</f>
        <v/>
      </c>
      <c r="IX15" s="19">
        <f>p_fijo_base*IX14*IX7</f>
        <v/>
      </c>
      <c r="IY15" s="19">
        <f>p_fijo_base*IY14*IY7</f>
        <v/>
      </c>
      <c r="IZ15" s="19">
        <f>p_fijo_base*IZ14*IZ7</f>
        <v/>
      </c>
      <c r="JA15" s="19">
        <f>p_fijo_base*JA14*JA7</f>
        <v/>
      </c>
      <c r="JB15" s="19">
        <f>p_fijo_base*JB14*JB7</f>
        <v/>
      </c>
      <c r="JC15" s="19">
        <f>p_fijo_base*JC14*JC7</f>
        <v/>
      </c>
      <c r="JD15" s="19">
        <f>p_fijo_base*JD14*JD7</f>
        <v/>
      </c>
      <c r="JE15" s="19">
        <f>p_fijo_base*JE14*JE7</f>
        <v/>
      </c>
      <c r="JF15" s="19">
        <f>p_fijo_base*JF14*JF7</f>
        <v/>
      </c>
      <c r="JG15" s="19">
        <f>p_fijo_base*JG14*JG7</f>
        <v/>
      </c>
      <c r="JH15" s="19">
        <f>p_fijo_base*JH14*JH7</f>
        <v/>
      </c>
      <c r="JI15" s="19">
        <f>p_fijo_base*JI14*JI7</f>
        <v/>
      </c>
      <c r="JJ15" s="19">
        <f>p_fijo_base*JJ14*JJ7</f>
        <v/>
      </c>
      <c r="JK15" s="19">
        <f>p_fijo_base*JK14*JK7</f>
        <v/>
      </c>
      <c r="JL15" s="19">
        <f>p_fijo_base*JL14*JL7</f>
        <v/>
      </c>
      <c r="JM15" s="19">
        <f>p_fijo_base*JM14*JM7</f>
        <v/>
      </c>
      <c r="JN15" s="19">
        <f>p_fijo_base*JN14*JN7</f>
        <v/>
      </c>
      <c r="JO15" s="19">
        <f>p_fijo_base*JO14*JO7</f>
        <v/>
      </c>
      <c r="JP15" s="19">
        <f>p_fijo_base*JP14*JP7</f>
        <v/>
      </c>
      <c r="JQ15" s="19">
        <f>p_fijo_base*JQ14*JQ7</f>
        <v/>
      </c>
      <c r="JR15" s="19">
        <f>p_fijo_base*JR14*JR7</f>
        <v/>
      </c>
      <c r="JS15" s="19">
        <f>p_fijo_base*JS14*JS7</f>
        <v/>
      </c>
      <c r="JT15" s="19">
        <f>p_fijo_base*JT14*JT7</f>
        <v/>
      </c>
      <c r="JU15" s="19">
        <f>p_fijo_base*JU14*JU7</f>
        <v/>
      </c>
      <c r="JV15" s="19">
        <f>p_fijo_base*JV14*JV7</f>
        <v/>
      </c>
      <c r="JW15" s="19">
        <f>p_fijo_base*JW14*JW7</f>
        <v/>
      </c>
      <c r="JX15" s="19">
        <f>p_fijo_base*JX14*JX7</f>
        <v/>
      </c>
      <c r="JY15" s="19">
        <f>p_fijo_base*JY14*JY7</f>
        <v/>
      </c>
      <c r="JZ15" s="19">
        <f>p_fijo_base*JZ14*JZ7</f>
        <v/>
      </c>
      <c r="KA15" s="19">
        <f>p_fijo_base*KA14*KA7</f>
        <v/>
      </c>
      <c r="KB15" s="19">
        <f>p_fijo_base*KB14*KB7</f>
        <v/>
      </c>
      <c r="KC15" s="19">
        <f>p_fijo_base*KC14*KC7</f>
        <v/>
      </c>
      <c r="KD15" s="19">
        <f>p_fijo_base*KD14*KD7</f>
        <v/>
      </c>
      <c r="KE15" s="19">
        <f>p_fijo_base*KE14*KE7</f>
        <v/>
      </c>
      <c r="KF15" s="19">
        <f>p_fijo_base*KF14*KF7</f>
        <v/>
      </c>
      <c r="KG15" s="19">
        <f>p_fijo_base*KG14*KG7</f>
        <v/>
      </c>
      <c r="KH15" s="19">
        <f>p_fijo_base*KH14*KH7</f>
        <v/>
      </c>
      <c r="KI15" s="19">
        <f>p_fijo_base*KI14*KI7</f>
        <v/>
      </c>
      <c r="KJ15" s="19">
        <f>p_fijo_base*KJ14*KJ7</f>
        <v/>
      </c>
      <c r="KK15" s="19">
        <f>p_fijo_base*KK14*KK7</f>
        <v/>
      </c>
      <c r="KL15" s="19">
        <f>p_fijo_base*KL14*KL7</f>
        <v/>
      </c>
      <c r="KM15" s="19">
        <f>p_fijo_base*KM14*KM7</f>
        <v/>
      </c>
      <c r="KN15" s="19">
        <f>p_fijo_base*KN14*KN7</f>
        <v/>
      </c>
      <c r="KO15" s="19">
        <f>p_fijo_base*KO14*KO7</f>
        <v/>
      </c>
      <c r="KP15" s="19">
        <f>p_fijo_base*KP14*KP7</f>
        <v/>
      </c>
      <c r="KQ15" s="19">
        <f>p_fijo_base*KQ14*KQ7</f>
        <v/>
      </c>
      <c r="KR15" s="19">
        <f>p_fijo_base*KR14*KR7</f>
        <v/>
      </c>
      <c r="KS15" s="19">
        <f>p_fijo_base*KS14*KS7</f>
        <v/>
      </c>
      <c r="KT15" s="19">
        <f>p_fijo_base*KT14*KT7</f>
        <v/>
      </c>
      <c r="KU15" s="19">
        <f>p_fijo_base*KU14*KU7</f>
        <v/>
      </c>
      <c r="KV15" s="19">
        <f>p_fijo_base*KV14*KV7</f>
        <v/>
      </c>
      <c r="KW15" s="19">
        <f>p_fijo_base*KW14*KW7</f>
        <v/>
      </c>
      <c r="KX15" s="19">
        <f>p_fijo_base*KX14*KX7</f>
        <v/>
      </c>
      <c r="KY15" s="19">
        <f>p_fijo_base*KY14*KY7</f>
        <v/>
      </c>
      <c r="KZ15" s="19">
        <f>p_fijo_base*KZ14*KZ7</f>
        <v/>
      </c>
      <c r="LA15" s="19">
        <f>p_fijo_base*LA14*LA7</f>
        <v/>
      </c>
      <c r="LB15" s="19">
        <f>p_fijo_base*LB14*LB7</f>
        <v/>
      </c>
      <c r="LC15" s="19">
        <f>p_fijo_base*LC14*LC7</f>
        <v/>
      </c>
      <c r="LD15" s="19">
        <f>p_fijo_base*LD14*LD7</f>
        <v/>
      </c>
      <c r="LE15" s="19">
        <f>p_fijo_base*LE14*LE7</f>
        <v/>
      </c>
      <c r="LF15" s="19">
        <f>p_fijo_base*LF14*LF7</f>
        <v/>
      </c>
      <c r="LG15" s="19">
        <f>p_fijo_base*LG14*LG7</f>
        <v/>
      </c>
      <c r="LH15" s="19">
        <f>p_fijo_base*LH14*LH7</f>
        <v/>
      </c>
      <c r="LI15" s="19">
        <f>p_fijo_base*LI14*LI7</f>
        <v/>
      </c>
    </row>
    <row r="16">
      <c r="B16" s="17" t="inlineStr">
        <is>
          <t>PPDMO variable mensual</t>
        </is>
      </c>
      <c r="D16" s="19">
        <f>IF(D7=0,0,p_tarifa*D10*D14)/1000</f>
        <v/>
      </c>
      <c r="E16" s="19">
        <f>IF(E7=0,0,p_tarifa*E10*E14)/1000</f>
        <v/>
      </c>
      <c r="F16" s="19">
        <f>IF(F7=0,0,p_tarifa*F10*F14)/1000</f>
        <v/>
      </c>
      <c r="G16" s="19">
        <f>IF(G7=0,0,p_tarifa*G10*G14)/1000</f>
        <v/>
      </c>
      <c r="H16" s="19">
        <f>IF(H7=0,0,p_tarifa*H10*H14)/1000</f>
        <v/>
      </c>
      <c r="I16" s="19">
        <f>IF(I7=0,0,p_tarifa*I10*I14)/1000</f>
        <v/>
      </c>
      <c r="J16" s="19">
        <f>IF(J7=0,0,p_tarifa*J10*J14)/1000</f>
        <v/>
      </c>
      <c r="K16" s="19">
        <f>IF(K7=0,0,p_tarifa*K10*K14)/1000</f>
        <v/>
      </c>
      <c r="L16" s="19">
        <f>IF(L7=0,0,p_tarifa*L10*L14)/1000</f>
        <v/>
      </c>
      <c r="M16" s="19">
        <f>IF(M7=0,0,p_tarifa*M10*M14)/1000</f>
        <v/>
      </c>
      <c r="N16" s="19">
        <f>IF(N7=0,0,p_tarifa*N10*N14)/1000</f>
        <v/>
      </c>
      <c r="O16" s="19">
        <f>IF(O7=0,0,p_tarifa*O10*O14)/1000</f>
        <v/>
      </c>
      <c r="P16" s="19">
        <f>IF(P7=0,0,p_tarifa*P10*P14)/1000</f>
        <v/>
      </c>
      <c r="Q16" s="19">
        <f>IF(Q7=0,0,p_tarifa*Q10*Q14)/1000</f>
        <v/>
      </c>
      <c r="R16" s="19">
        <f>IF(R7=0,0,p_tarifa*R10*R14)/1000</f>
        <v/>
      </c>
      <c r="S16" s="19">
        <f>IF(S7=0,0,p_tarifa*S10*S14)/1000</f>
        <v/>
      </c>
      <c r="T16" s="19">
        <f>IF(T7=0,0,p_tarifa*T10*T14)/1000</f>
        <v/>
      </c>
      <c r="U16" s="19">
        <f>IF(U7=0,0,p_tarifa*U10*U14)/1000</f>
        <v/>
      </c>
      <c r="V16" s="19">
        <f>IF(V7=0,0,p_tarifa*V10*V14)/1000</f>
        <v/>
      </c>
      <c r="W16" s="19">
        <f>IF(W7=0,0,p_tarifa*W10*W14)/1000</f>
        <v/>
      </c>
      <c r="X16" s="19">
        <f>IF(X7=0,0,p_tarifa*X10*X14)/1000</f>
        <v/>
      </c>
      <c r="Y16" s="19">
        <f>IF(Y7=0,0,p_tarifa*Y10*Y14)/1000</f>
        <v/>
      </c>
      <c r="Z16" s="19">
        <f>IF(Z7=0,0,p_tarifa*Z10*Z14)/1000</f>
        <v/>
      </c>
      <c r="AA16" s="19">
        <f>IF(AA7=0,0,p_tarifa*AA10*AA14)/1000</f>
        <v/>
      </c>
      <c r="AB16" s="19">
        <f>IF(AB7=0,0,p_tarifa*AB10*AB14)/1000</f>
        <v/>
      </c>
      <c r="AC16" s="19">
        <f>IF(AC7=0,0,p_tarifa*AC10*AC14)/1000</f>
        <v/>
      </c>
      <c r="AD16" s="19">
        <f>IF(AD7=0,0,p_tarifa*AD10*AD14)/1000</f>
        <v/>
      </c>
      <c r="AE16" s="19">
        <f>IF(AE7=0,0,p_tarifa*AE10*AE14)/1000</f>
        <v/>
      </c>
      <c r="AF16" s="19">
        <f>IF(AF7=0,0,p_tarifa*AF10*AF14)/1000</f>
        <v/>
      </c>
      <c r="AG16" s="19">
        <f>IF(AG7=0,0,p_tarifa*AG10*AG14)/1000</f>
        <v/>
      </c>
      <c r="AH16" s="19">
        <f>IF(AH7=0,0,p_tarifa*AH10*AH14)/1000</f>
        <v/>
      </c>
      <c r="AI16" s="19">
        <f>IF(AI7=0,0,p_tarifa*AI10*AI14)/1000</f>
        <v/>
      </c>
      <c r="AJ16" s="19">
        <f>IF(AJ7=0,0,p_tarifa*AJ10*AJ14)/1000</f>
        <v/>
      </c>
      <c r="AK16" s="19">
        <f>IF(AK7=0,0,p_tarifa*AK10*AK14)/1000</f>
        <v/>
      </c>
      <c r="AL16" s="19">
        <f>IF(AL7=0,0,p_tarifa*AL10*AL14)/1000</f>
        <v/>
      </c>
      <c r="AM16" s="19">
        <f>IF(AM7=0,0,p_tarifa*AM10*AM14)/1000</f>
        <v/>
      </c>
      <c r="AN16" s="19">
        <f>IF(AN7=0,0,p_tarifa*AN10*AN14)/1000</f>
        <v/>
      </c>
      <c r="AO16" s="19">
        <f>IF(AO7=0,0,p_tarifa*AO10*AO14)/1000</f>
        <v/>
      </c>
      <c r="AP16" s="19">
        <f>IF(AP7=0,0,p_tarifa*AP10*AP14)/1000</f>
        <v/>
      </c>
      <c r="AQ16" s="19">
        <f>IF(AQ7=0,0,p_tarifa*AQ10*AQ14)/1000</f>
        <v/>
      </c>
      <c r="AR16" s="19">
        <f>IF(AR7=0,0,p_tarifa*AR10*AR14)/1000</f>
        <v/>
      </c>
      <c r="AS16" s="19">
        <f>IF(AS7=0,0,p_tarifa*AS10*AS14)/1000</f>
        <v/>
      </c>
      <c r="AT16" s="19">
        <f>IF(AT7=0,0,p_tarifa*AT10*AT14)/1000</f>
        <v/>
      </c>
      <c r="AU16" s="19">
        <f>IF(AU7=0,0,p_tarifa*AU10*AU14)/1000</f>
        <v/>
      </c>
      <c r="AV16" s="19">
        <f>IF(AV7=0,0,p_tarifa*AV10*AV14)/1000</f>
        <v/>
      </c>
      <c r="AW16" s="19">
        <f>IF(AW7=0,0,p_tarifa*AW10*AW14)/1000</f>
        <v/>
      </c>
      <c r="AX16" s="19">
        <f>IF(AX7=0,0,p_tarifa*AX10*AX14)/1000</f>
        <v/>
      </c>
      <c r="AY16" s="19">
        <f>IF(AY7=0,0,p_tarifa*AY10*AY14)/1000</f>
        <v/>
      </c>
      <c r="AZ16" s="19">
        <f>IF(AZ7=0,0,p_tarifa*AZ10*AZ14)/1000</f>
        <v/>
      </c>
      <c r="BA16" s="19">
        <f>IF(BA7=0,0,p_tarifa*BA10*BA14)/1000</f>
        <v/>
      </c>
      <c r="BB16" s="19">
        <f>IF(BB7=0,0,p_tarifa*BB10*BB14)/1000</f>
        <v/>
      </c>
      <c r="BC16" s="19">
        <f>IF(BC7=0,0,p_tarifa*BC10*BC14)/1000</f>
        <v/>
      </c>
      <c r="BD16" s="19">
        <f>IF(BD7=0,0,p_tarifa*BD10*BD14)/1000</f>
        <v/>
      </c>
      <c r="BE16" s="19">
        <f>IF(BE7=0,0,p_tarifa*BE10*BE14)/1000</f>
        <v/>
      </c>
      <c r="BF16" s="19">
        <f>IF(BF7=0,0,p_tarifa*BF10*BF14)/1000</f>
        <v/>
      </c>
      <c r="BG16" s="19">
        <f>IF(BG7=0,0,p_tarifa*BG10*BG14)/1000</f>
        <v/>
      </c>
      <c r="BH16" s="19">
        <f>IF(BH7=0,0,p_tarifa*BH10*BH14)/1000</f>
        <v/>
      </c>
      <c r="BI16" s="19">
        <f>IF(BI7=0,0,p_tarifa*BI10*BI14)/1000</f>
        <v/>
      </c>
      <c r="BJ16" s="19">
        <f>IF(BJ7=0,0,p_tarifa*BJ10*BJ14)/1000</f>
        <v/>
      </c>
      <c r="BK16" s="19">
        <f>IF(BK7=0,0,p_tarifa*BK10*BK14)/1000</f>
        <v/>
      </c>
      <c r="BL16" s="19">
        <f>IF(BL7=0,0,p_tarifa*BL10*BL14)/1000</f>
        <v/>
      </c>
      <c r="BM16" s="19">
        <f>IF(BM7=0,0,p_tarifa*BM10*BM14)/1000</f>
        <v/>
      </c>
      <c r="BN16" s="19">
        <f>IF(BN7=0,0,p_tarifa*BN10*BN14)/1000</f>
        <v/>
      </c>
      <c r="BO16" s="19">
        <f>IF(BO7=0,0,p_tarifa*BO10*BO14)/1000</f>
        <v/>
      </c>
      <c r="BP16" s="19">
        <f>IF(BP7=0,0,p_tarifa*BP10*BP14)/1000</f>
        <v/>
      </c>
      <c r="BQ16" s="19">
        <f>IF(BQ7=0,0,p_tarifa*BQ10*BQ14)/1000</f>
        <v/>
      </c>
      <c r="BR16" s="19">
        <f>IF(BR7=0,0,p_tarifa*BR10*BR14)/1000</f>
        <v/>
      </c>
      <c r="BS16" s="19">
        <f>IF(BS7=0,0,p_tarifa*BS10*BS14)/1000</f>
        <v/>
      </c>
      <c r="BT16" s="19">
        <f>IF(BT7=0,0,p_tarifa*BT10*BT14)/1000</f>
        <v/>
      </c>
      <c r="BU16" s="19">
        <f>IF(BU7=0,0,p_tarifa*BU10*BU14)/1000</f>
        <v/>
      </c>
      <c r="BV16" s="19">
        <f>IF(BV7=0,0,p_tarifa*BV10*BV14)/1000</f>
        <v/>
      </c>
      <c r="BW16" s="19">
        <f>IF(BW7=0,0,p_tarifa*BW10*BW14)/1000</f>
        <v/>
      </c>
      <c r="BX16" s="19">
        <f>IF(BX7=0,0,p_tarifa*BX10*BX14)/1000</f>
        <v/>
      </c>
      <c r="BY16" s="19">
        <f>IF(BY7=0,0,p_tarifa*BY10*BY14)/1000</f>
        <v/>
      </c>
      <c r="BZ16" s="19">
        <f>IF(BZ7=0,0,p_tarifa*BZ10*BZ14)/1000</f>
        <v/>
      </c>
      <c r="CA16" s="19">
        <f>IF(CA7=0,0,p_tarifa*CA10*CA14)/1000</f>
        <v/>
      </c>
      <c r="CB16" s="19">
        <f>IF(CB7=0,0,p_tarifa*CB10*CB14)/1000</f>
        <v/>
      </c>
      <c r="CC16" s="19">
        <f>IF(CC7=0,0,p_tarifa*CC10*CC14)/1000</f>
        <v/>
      </c>
      <c r="CD16" s="19">
        <f>IF(CD7=0,0,p_tarifa*CD10*CD14)/1000</f>
        <v/>
      </c>
      <c r="CE16" s="19">
        <f>IF(CE7=0,0,p_tarifa*CE10*CE14)/1000</f>
        <v/>
      </c>
      <c r="CF16" s="19">
        <f>IF(CF7=0,0,p_tarifa*CF10*CF14)/1000</f>
        <v/>
      </c>
      <c r="CG16" s="19">
        <f>IF(CG7=0,0,p_tarifa*CG10*CG14)/1000</f>
        <v/>
      </c>
      <c r="CH16" s="19">
        <f>IF(CH7=0,0,p_tarifa*CH10*CH14)/1000</f>
        <v/>
      </c>
      <c r="CI16" s="19">
        <f>IF(CI7=0,0,p_tarifa*CI10*CI14)/1000</f>
        <v/>
      </c>
      <c r="CJ16" s="19">
        <f>IF(CJ7=0,0,p_tarifa*CJ10*CJ14)/1000</f>
        <v/>
      </c>
      <c r="CK16" s="19">
        <f>IF(CK7=0,0,p_tarifa*CK10*CK14)/1000</f>
        <v/>
      </c>
      <c r="CL16" s="19">
        <f>IF(CL7=0,0,p_tarifa*CL10*CL14)/1000</f>
        <v/>
      </c>
      <c r="CM16" s="19">
        <f>IF(CM7=0,0,p_tarifa*CM10*CM14)/1000</f>
        <v/>
      </c>
      <c r="CN16" s="19">
        <f>IF(CN7=0,0,p_tarifa*CN10*CN14)/1000</f>
        <v/>
      </c>
      <c r="CO16" s="19">
        <f>IF(CO7=0,0,p_tarifa*CO10*CO14)/1000</f>
        <v/>
      </c>
      <c r="CP16" s="19">
        <f>IF(CP7=0,0,p_tarifa*CP10*CP14)/1000</f>
        <v/>
      </c>
      <c r="CQ16" s="19">
        <f>IF(CQ7=0,0,p_tarifa*CQ10*CQ14)/1000</f>
        <v/>
      </c>
      <c r="CR16" s="19">
        <f>IF(CR7=0,0,p_tarifa*CR10*CR14)/1000</f>
        <v/>
      </c>
      <c r="CS16" s="19">
        <f>IF(CS7=0,0,p_tarifa*CS10*CS14)/1000</f>
        <v/>
      </c>
      <c r="CT16" s="19">
        <f>IF(CT7=0,0,p_tarifa*CT10*CT14)/1000</f>
        <v/>
      </c>
      <c r="CU16" s="19">
        <f>IF(CU7=0,0,p_tarifa*CU10*CU14)/1000</f>
        <v/>
      </c>
      <c r="CV16" s="19">
        <f>IF(CV7=0,0,p_tarifa*CV10*CV14)/1000</f>
        <v/>
      </c>
      <c r="CW16" s="19">
        <f>IF(CW7=0,0,p_tarifa*CW10*CW14)/1000</f>
        <v/>
      </c>
      <c r="CX16" s="19">
        <f>IF(CX7=0,0,p_tarifa*CX10*CX14)/1000</f>
        <v/>
      </c>
      <c r="CY16" s="19">
        <f>IF(CY7=0,0,p_tarifa*CY10*CY14)/1000</f>
        <v/>
      </c>
      <c r="CZ16" s="19">
        <f>IF(CZ7=0,0,p_tarifa*CZ10*CZ14)/1000</f>
        <v/>
      </c>
      <c r="DA16" s="19">
        <f>IF(DA7=0,0,p_tarifa*DA10*DA14)/1000</f>
        <v/>
      </c>
      <c r="DB16" s="19">
        <f>IF(DB7=0,0,p_tarifa*DB10*DB14)/1000</f>
        <v/>
      </c>
      <c r="DC16" s="19">
        <f>IF(DC7=0,0,p_tarifa*DC10*DC14)/1000</f>
        <v/>
      </c>
      <c r="DD16" s="19">
        <f>IF(DD7=0,0,p_tarifa*DD10*DD14)/1000</f>
        <v/>
      </c>
      <c r="DE16" s="19">
        <f>IF(DE7=0,0,p_tarifa*DE10*DE14)/1000</f>
        <v/>
      </c>
      <c r="DF16" s="19">
        <f>IF(DF7=0,0,p_tarifa*DF10*DF14)/1000</f>
        <v/>
      </c>
      <c r="DG16" s="19">
        <f>IF(DG7=0,0,p_tarifa*DG10*DG14)/1000</f>
        <v/>
      </c>
      <c r="DH16" s="19">
        <f>IF(DH7=0,0,p_tarifa*DH10*DH14)/1000</f>
        <v/>
      </c>
      <c r="DI16" s="19">
        <f>IF(DI7=0,0,p_tarifa*DI10*DI14)/1000</f>
        <v/>
      </c>
      <c r="DJ16" s="19">
        <f>IF(DJ7=0,0,p_tarifa*DJ10*DJ14)/1000</f>
        <v/>
      </c>
      <c r="DK16" s="19">
        <f>IF(DK7=0,0,p_tarifa*DK10*DK14)/1000</f>
        <v/>
      </c>
      <c r="DL16" s="19">
        <f>IF(DL7=0,0,p_tarifa*DL10*DL14)/1000</f>
        <v/>
      </c>
      <c r="DM16" s="19">
        <f>IF(DM7=0,0,p_tarifa*DM10*DM14)/1000</f>
        <v/>
      </c>
      <c r="DN16" s="19">
        <f>IF(DN7=0,0,p_tarifa*DN10*DN14)/1000</f>
        <v/>
      </c>
      <c r="DO16" s="19">
        <f>IF(DO7=0,0,p_tarifa*DO10*DO14)/1000</f>
        <v/>
      </c>
      <c r="DP16" s="19">
        <f>IF(DP7=0,0,p_tarifa*DP10*DP14)/1000</f>
        <v/>
      </c>
      <c r="DQ16" s="19">
        <f>IF(DQ7=0,0,p_tarifa*DQ10*DQ14)/1000</f>
        <v/>
      </c>
      <c r="DR16" s="19">
        <f>IF(DR7=0,0,p_tarifa*DR10*DR14)/1000</f>
        <v/>
      </c>
      <c r="DS16" s="19">
        <f>IF(DS7=0,0,p_tarifa*DS10*DS14)/1000</f>
        <v/>
      </c>
      <c r="DT16" s="19">
        <f>IF(DT7=0,0,p_tarifa*DT10*DT14)/1000</f>
        <v/>
      </c>
      <c r="DU16" s="19">
        <f>IF(DU7=0,0,p_tarifa*DU10*DU14)/1000</f>
        <v/>
      </c>
      <c r="DV16" s="19">
        <f>IF(DV7=0,0,p_tarifa*DV10*DV14)/1000</f>
        <v/>
      </c>
      <c r="DW16" s="19">
        <f>IF(DW7=0,0,p_tarifa*DW10*DW14)/1000</f>
        <v/>
      </c>
      <c r="DX16" s="19">
        <f>IF(DX7=0,0,p_tarifa*DX10*DX14)/1000</f>
        <v/>
      </c>
      <c r="DY16" s="19">
        <f>IF(DY7=0,0,p_tarifa*DY10*DY14)/1000</f>
        <v/>
      </c>
      <c r="DZ16" s="19">
        <f>IF(DZ7=0,0,p_tarifa*DZ10*DZ14)/1000</f>
        <v/>
      </c>
      <c r="EA16" s="19">
        <f>IF(EA7=0,0,p_tarifa*EA10*EA14)/1000</f>
        <v/>
      </c>
      <c r="EB16" s="19">
        <f>IF(EB7=0,0,p_tarifa*EB10*EB14)/1000</f>
        <v/>
      </c>
      <c r="EC16" s="19">
        <f>IF(EC7=0,0,p_tarifa*EC10*EC14)/1000</f>
        <v/>
      </c>
      <c r="ED16" s="19">
        <f>IF(ED7=0,0,p_tarifa*ED10*ED14)/1000</f>
        <v/>
      </c>
      <c r="EE16" s="19">
        <f>IF(EE7=0,0,p_tarifa*EE10*EE14)/1000</f>
        <v/>
      </c>
      <c r="EF16" s="19">
        <f>IF(EF7=0,0,p_tarifa*EF10*EF14)/1000</f>
        <v/>
      </c>
      <c r="EG16" s="19">
        <f>IF(EG7=0,0,p_tarifa*EG10*EG14)/1000</f>
        <v/>
      </c>
      <c r="EH16" s="19">
        <f>IF(EH7=0,0,p_tarifa*EH10*EH14)/1000</f>
        <v/>
      </c>
      <c r="EI16" s="19">
        <f>IF(EI7=0,0,p_tarifa*EI10*EI14)/1000</f>
        <v/>
      </c>
      <c r="EJ16" s="19">
        <f>IF(EJ7=0,0,p_tarifa*EJ10*EJ14)/1000</f>
        <v/>
      </c>
      <c r="EK16" s="19">
        <f>IF(EK7=0,0,p_tarifa*EK10*EK14)/1000</f>
        <v/>
      </c>
      <c r="EL16" s="19">
        <f>IF(EL7=0,0,p_tarifa*EL10*EL14)/1000</f>
        <v/>
      </c>
      <c r="EM16" s="19">
        <f>IF(EM7=0,0,p_tarifa*EM10*EM14)/1000</f>
        <v/>
      </c>
      <c r="EN16" s="19">
        <f>IF(EN7=0,0,p_tarifa*EN10*EN14)/1000</f>
        <v/>
      </c>
      <c r="EO16" s="19">
        <f>IF(EO7=0,0,p_tarifa*EO10*EO14)/1000</f>
        <v/>
      </c>
      <c r="EP16" s="19">
        <f>IF(EP7=0,0,p_tarifa*EP10*EP14)/1000</f>
        <v/>
      </c>
      <c r="EQ16" s="19">
        <f>IF(EQ7=0,0,p_tarifa*EQ10*EQ14)/1000</f>
        <v/>
      </c>
      <c r="ER16" s="19">
        <f>IF(ER7=0,0,p_tarifa*ER10*ER14)/1000</f>
        <v/>
      </c>
      <c r="ES16" s="19">
        <f>IF(ES7=0,0,p_tarifa*ES10*ES14)/1000</f>
        <v/>
      </c>
      <c r="ET16" s="19">
        <f>IF(ET7=0,0,p_tarifa*ET10*ET14)/1000</f>
        <v/>
      </c>
      <c r="EU16" s="19">
        <f>IF(EU7=0,0,p_tarifa*EU10*EU14)/1000</f>
        <v/>
      </c>
      <c r="EV16" s="19">
        <f>IF(EV7=0,0,p_tarifa*EV10*EV14)/1000</f>
        <v/>
      </c>
      <c r="EW16" s="19">
        <f>IF(EW7=0,0,p_tarifa*EW10*EW14)/1000</f>
        <v/>
      </c>
      <c r="EX16" s="19">
        <f>IF(EX7=0,0,p_tarifa*EX10*EX14)/1000</f>
        <v/>
      </c>
      <c r="EY16" s="19">
        <f>IF(EY7=0,0,p_tarifa*EY10*EY14)/1000</f>
        <v/>
      </c>
      <c r="EZ16" s="19">
        <f>IF(EZ7=0,0,p_tarifa*EZ10*EZ14)/1000</f>
        <v/>
      </c>
      <c r="FA16" s="19">
        <f>IF(FA7=0,0,p_tarifa*FA10*FA14)/1000</f>
        <v/>
      </c>
      <c r="FB16" s="19">
        <f>IF(FB7=0,0,p_tarifa*FB10*FB14)/1000</f>
        <v/>
      </c>
      <c r="FC16" s="19">
        <f>IF(FC7=0,0,p_tarifa*FC10*FC14)/1000</f>
        <v/>
      </c>
      <c r="FD16" s="19">
        <f>IF(FD7=0,0,p_tarifa*FD10*FD14)/1000</f>
        <v/>
      </c>
      <c r="FE16" s="19">
        <f>IF(FE7=0,0,p_tarifa*FE10*FE14)/1000</f>
        <v/>
      </c>
      <c r="FF16" s="19">
        <f>IF(FF7=0,0,p_tarifa*FF10*FF14)/1000</f>
        <v/>
      </c>
      <c r="FG16" s="19">
        <f>IF(FG7=0,0,p_tarifa*FG10*FG14)/1000</f>
        <v/>
      </c>
      <c r="FH16" s="19">
        <f>IF(FH7=0,0,p_tarifa*FH10*FH14)/1000</f>
        <v/>
      </c>
      <c r="FI16" s="19">
        <f>IF(FI7=0,0,p_tarifa*FI10*FI14)/1000</f>
        <v/>
      </c>
      <c r="FJ16" s="19">
        <f>IF(FJ7=0,0,p_tarifa*FJ10*FJ14)/1000</f>
        <v/>
      </c>
      <c r="FK16" s="19">
        <f>IF(FK7=0,0,p_tarifa*FK10*FK14)/1000</f>
        <v/>
      </c>
      <c r="FL16" s="19">
        <f>IF(FL7=0,0,p_tarifa*FL10*FL14)/1000</f>
        <v/>
      </c>
      <c r="FM16" s="19">
        <f>IF(FM7=0,0,p_tarifa*FM10*FM14)/1000</f>
        <v/>
      </c>
      <c r="FN16" s="19">
        <f>IF(FN7=0,0,p_tarifa*FN10*FN14)/1000</f>
        <v/>
      </c>
      <c r="FO16" s="19">
        <f>IF(FO7=0,0,p_tarifa*FO10*FO14)/1000</f>
        <v/>
      </c>
      <c r="FP16" s="19">
        <f>IF(FP7=0,0,p_tarifa*FP10*FP14)/1000</f>
        <v/>
      </c>
      <c r="FQ16" s="19">
        <f>IF(FQ7=0,0,p_tarifa*FQ10*FQ14)/1000</f>
        <v/>
      </c>
      <c r="FR16" s="19">
        <f>IF(FR7=0,0,p_tarifa*FR10*FR14)/1000</f>
        <v/>
      </c>
      <c r="FS16" s="19">
        <f>IF(FS7=0,0,p_tarifa*FS10*FS14)/1000</f>
        <v/>
      </c>
      <c r="FT16" s="19">
        <f>IF(FT7=0,0,p_tarifa*FT10*FT14)/1000</f>
        <v/>
      </c>
      <c r="FU16" s="19">
        <f>IF(FU7=0,0,p_tarifa*FU10*FU14)/1000</f>
        <v/>
      </c>
      <c r="FV16" s="19">
        <f>IF(FV7=0,0,p_tarifa*FV10*FV14)/1000</f>
        <v/>
      </c>
      <c r="FW16" s="19">
        <f>IF(FW7=0,0,p_tarifa*FW10*FW14)/1000</f>
        <v/>
      </c>
      <c r="FX16" s="19">
        <f>IF(FX7=0,0,p_tarifa*FX10*FX14)/1000</f>
        <v/>
      </c>
      <c r="FY16" s="19">
        <f>IF(FY7=0,0,p_tarifa*FY10*FY14)/1000</f>
        <v/>
      </c>
      <c r="FZ16" s="19">
        <f>IF(FZ7=0,0,p_tarifa*FZ10*FZ14)/1000</f>
        <v/>
      </c>
      <c r="GA16" s="19">
        <f>IF(GA7=0,0,p_tarifa*GA10*GA14)/1000</f>
        <v/>
      </c>
      <c r="GB16" s="19">
        <f>IF(GB7=0,0,p_tarifa*GB10*GB14)/1000</f>
        <v/>
      </c>
      <c r="GC16" s="19">
        <f>IF(GC7=0,0,p_tarifa*GC10*GC14)/1000</f>
        <v/>
      </c>
      <c r="GD16" s="19">
        <f>IF(GD7=0,0,p_tarifa*GD10*GD14)/1000</f>
        <v/>
      </c>
      <c r="GE16" s="19">
        <f>IF(GE7=0,0,p_tarifa*GE10*GE14)/1000</f>
        <v/>
      </c>
      <c r="GF16" s="19">
        <f>IF(GF7=0,0,p_tarifa*GF10*GF14)/1000</f>
        <v/>
      </c>
      <c r="GG16" s="19">
        <f>IF(GG7=0,0,p_tarifa*GG10*GG14)/1000</f>
        <v/>
      </c>
      <c r="GH16" s="19">
        <f>IF(GH7=0,0,p_tarifa*GH10*GH14)/1000</f>
        <v/>
      </c>
      <c r="GI16" s="19">
        <f>IF(GI7=0,0,p_tarifa*GI10*GI14)/1000</f>
        <v/>
      </c>
      <c r="GJ16" s="19">
        <f>IF(GJ7=0,0,p_tarifa*GJ10*GJ14)/1000</f>
        <v/>
      </c>
      <c r="GK16" s="19">
        <f>IF(GK7=0,0,p_tarifa*GK10*GK14)/1000</f>
        <v/>
      </c>
      <c r="GL16" s="19">
        <f>IF(GL7=0,0,p_tarifa*GL10*GL14)/1000</f>
        <v/>
      </c>
      <c r="GM16" s="19">
        <f>IF(GM7=0,0,p_tarifa*GM10*GM14)/1000</f>
        <v/>
      </c>
      <c r="GN16" s="19">
        <f>IF(GN7=0,0,p_tarifa*GN10*GN14)/1000</f>
        <v/>
      </c>
      <c r="GO16" s="19">
        <f>IF(GO7=0,0,p_tarifa*GO10*GO14)/1000</f>
        <v/>
      </c>
      <c r="GP16" s="19">
        <f>IF(GP7=0,0,p_tarifa*GP10*GP14)/1000</f>
        <v/>
      </c>
      <c r="GQ16" s="19">
        <f>IF(GQ7=0,0,p_tarifa*GQ10*GQ14)/1000</f>
        <v/>
      </c>
      <c r="GR16" s="19">
        <f>IF(GR7=0,0,p_tarifa*GR10*GR14)/1000</f>
        <v/>
      </c>
      <c r="GS16" s="19">
        <f>IF(GS7=0,0,p_tarifa*GS10*GS14)/1000</f>
        <v/>
      </c>
      <c r="GT16" s="19">
        <f>IF(GT7=0,0,p_tarifa*GT10*GT14)/1000</f>
        <v/>
      </c>
      <c r="GU16" s="19">
        <f>IF(GU7=0,0,p_tarifa*GU10*GU14)/1000</f>
        <v/>
      </c>
      <c r="GV16" s="19">
        <f>IF(GV7=0,0,p_tarifa*GV10*GV14)/1000</f>
        <v/>
      </c>
      <c r="GW16" s="19">
        <f>IF(GW7=0,0,p_tarifa*GW10*GW14)/1000</f>
        <v/>
      </c>
      <c r="GX16" s="19">
        <f>IF(GX7=0,0,p_tarifa*GX10*GX14)/1000</f>
        <v/>
      </c>
      <c r="GY16" s="19">
        <f>IF(GY7=0,0,p_tarifa*GY10*GY14)/1000</f>
        <v/>
      </c>
      <c r="GZ16" s="19">
        <f>IF(GZ7=0,0,p_tarifa*GZ10*GZ14)/1000</f>
        <v/>
      </c>
      <c r="HA16" s="19">
        <f>IF(HA7=0,0,p_tarifa*HA10*HA14)/1000</f>
        <v/>
      </c>
      <c r="HB16" s="19">
        <f>IF(HB7=0,0,p_tarifa*HB10*HB14)/1000</f>
        <v/>
      </c>
      <c r="HC16" s="19">
        <f>IF(HC7=0,0,p_tarifa*HC10*HC14)/1000</f>
        <v/>
      </c>
      <c r="HD16" s="19">
        <f>IF(HD7=0,0,p_tarifa*HD10*HD14)/1000</f>
        <v/>
      </c>
      <c r="HE16" s="19">
        <f>IF(HE7=0,0,p_tarifa*HE10*HE14)/1000</f>
        <v/>
      </c>
      <c r="HF16" s="19">
        <f>IF(HF7=0,0,p_tarifa*HF10*HF14)/1000</f>
        <v/>
      </c>
      <c r="HG16" s="19">
        <f>IF(HG7=0,0,p_tarifa*HG10*HG14)/1000</f>
        <v/>
      </c>
      <c r="HH16" s="19">
        <f>IF(HH7=0,0,p_tarifa*HH10*HH14)/1000</f>
        <v/>
      </c>
      <c r="HI16" s="19">
        <f>IF(HI7=0,0,p_tarifa*HI10*HI14)/1000</f>
        <v/>
      </c>
      <c r="HJ16" s="19">
        <f>IF(HJ7=0,0,p_tarifa*HJ10*HJ14)/1000</f>
        <v/>
      </c>
      <c r="HK16" s="19">
        <f>IF(HK7=0,0,p_tarifa*HK10*HK14)/1000</f>
        <v/>
      </c>
      <c r="HL16" s="19">
        <f>IF(HL7=0,0,p_tarifa*HL10*HL14)/1000</f>
        <v/>
      </c>
      <c r="HM16" s="19">
        <f>IF(HM7=0,0,p_tarifa*HM10*HM14)/1000</f>
        <v/>
      </c>
      <c r="HN16" s="19">
        <f>IF(HN7=0,0,p_tarifa*HN10*HN14)/1000</f>
        <v/>
      </c>
      <c r="HO16" s="19">
        <f>IF(HO7=0,0,p_tarifa*HO10*HO14)/1000</f>
        <v/>
      </c>
      <c r="HP16" s="19">
        <f>IF(HP7=0,0,p_tarifa*HP10*HP14)/1000</f>
        <v/>
      </c>
      <c r="HQ16" s="19">
        <f>IF(HQ7=0,0,p_tarifa*HQ10*HQ14)/1000</f>
        <v/>
      </c>
      <c r="HR16" s="19">
        <f>IF(HR7=0,0,p_tarifa*HR10*HR14)/1000</f>
        <v/>
      </c>
      <c r="HS16" s="19">
        <f>IF(HS7=0,0,p_tarifa*HS10*HS14)/1000</f>
        <v/>
      </c>
      <c r="HT16" s="19">
        <f>IF(HT7=0,0,p_tarifa*HT10*HT14)/1000</f>
        <v/>
      </c>
      <c r="HU16" s="19">
        <f>IF(HU7=0,0,p_tarifa*HU10*HU14)/1000</f>
        <v/>
      </c>
      <c r="HV16" s="19">
        <f>IF(HV7=0,0,p_tarifa*HV10*HV14)/1000</f>
        <v/>
      </c>
      <c r="HW16" s="19">
        <f>IF(HW7=0,0,p_tarifa*HW10*HW14)/1000</f>
        <v/>
      </c>
      <c r="HX16" s="19">
        <f>IF(HX7=0,0,p_tarifa*HX10*HX14)/1000</f>
        <v/>
      </c>
      <c r="HY16" s="19">
        <f>IF(HY7=0,0,p_tarifa*HY10*HY14)/1000</f>
        <v/>
      </c>
      <c r="HZ16" s="19">
        <f>IF(HZ7=0,0,p_tarifa*HZ10*HZ14)/1000</f>
        <v/>
      </c>
      <c r="IA16" s="19">
        <f>IF(IA7=0,0,p_tarifa*IA10*IA14)/1000</f>
        <v/>
      </c>
      <c r="IB16" s="19">
        <f>IF(IB7=0,0,p_tarifa*IB10*IB14)/1000</f>
        <v/>
      </c>
      <c r="IC16" s="19">
        <f>IF(IC7=0,0,p_tarifa*IC10*IC14)/1000</f>
        <v/>
      </c>
      <c r="ID16" s="19">
        <f>IF(ID7=0,0,p_tarifa*ID10*ID14)/1000</f>
        <v/>
      </c>
      <c r="IE16" s="19">
        <f>IF(IE7=0,0,p_tarifa*IE10*IE14)/1000</f>
        <v/>
      </c>
      <c r="IF16" s="19">
        <f>IF(IF7=0,0,p_tarifa*IF10*IF14)/1000</f>
        <v/>
      </c>
      <c r="IG16" s="19">
        <f>IF(IG7=0,0,p_tarifa*IG10*IG14)/1000</f>
        <v/>
      </c>
      <c r="IH16" s="19">
        <f>IF(IH7=0,0,p_tarifa*IH10*IH14)/1000</f>
        <v/>
      </c>
      <c r="II16" s="19">
        <f>IF(II7=0,0,p_tarifa*II10*II14)/1000</f>
        <v/>
      </c>
      <c r="IJ16" s="19">
        <f>IF(IJ7=0,0,p_tarifa*IJ10*IJ14)/1000</f>
        <v/>
      </c>
      <c r="IK16" s="19">
        <f>IF(IK7=0,0,p_tarifa*IK10*IK14)/1000</f>
        <v/>
      </c>
      <c r="IL16" s="19">
        <f>IF(IL7=0,0,p_tarifa*IL10*IL14)/1000</f>
        <v/>
      </c>
      <c r="IM16" s="19">
        <f>IF(IM7=0,0,p_tarifa*IM10*IM14)/1000</f>
        <v/>
      </c>
      <c r="IN16" s="19">
        <f>IF(IN7=0,0,p_tarifa*IN10*IN14)/1000</f>
        <v/>
      </c>
      <c r="IO16" s="19">
        <f>IF(IO7=0,0,p_tarifa*IO10*IO14)/1000</f>
        <v/>
      </c>
      <c r="IP16" s="19">
        <f>IF(IP7=0,0,p_tarifa*IP10*IP14)/1000</f>
        <v/>
      </c>
      <c r="IQ16" s="19">
        <f>IF(IQ7=0,0,p_tarifa*IQ10*IQ14)/1000</f>
        <v/>
      </c>
      <c r="IR16" s="19">
        <f>IF(IR7=0,0,p_tarifa*IR10*IR14)/1000</f>
        <v/>
      </c>
      <c r="IS16" s="19">
        <f>IF(IS7=0,0,p_tarifa*IS10*IS14)/1000</f>
        <v/>
      </c>
      <c r="IT16" s="19">
        <f>IF(IT7=0,0,p_tarifa*IT10*IT14)/1000</f>
        <v/>
      </c>
      <c r="IU16" s="19">
        <f>IF(IU7=0,0,p_tarifa*IU10*IU14)/1000</f>
        <v/>
      </c>
      <c r="IV16" s="19">
        <f>IF(IV7=0,0,p_tarifa*IV10*IV14)/1000</f>
        <v/>
      </c>
      <c r="IW16" s="19">
        <f>IF(IW7=0,0,p_tarifa*IW10*IW14)/1000</f>
        <v/>
      </c>
      <c r="IX16" s="19">
        <f>IF(IX7=0,0,p_tarifa*IX10*IX14)/1000</f>
        <v/>
      </c>
      <c r="IY16" s="19">
        <f>IF(IY7=0,0,p_tarifa*IY10*IY14)/1000</f>
        <v/>
      </c>
      <c r="IZ16" s="19">
        <f>IF(IZ7=0,0,p_tarifa*IZ10*IZ14)/1000</f>
        <v/>
      </c>
      <c r="JA16" s="19">
        <f>IF(JA7=0,0,p_tarifa*JA10*JA14)/1000</f>
        <v/>
      </c>
      <c r="JB16" s="19">
        <f>IF(JB7=0,0,p_tarifa*JB10*JB14)/1000</f>
        <v/>
      </c>
      <c r="JC16" s="19">
        <f>IF(JC7=0,0,p_tarifa*JC10*JC14)/1000</f>
        <v/>
      </c>
      <c r="JD16" s="19">
        <f>IF(JD7=0,0,p_tarifa*JD10*JD14)/1000</f>
        <v/>
      </c>
      <c r="JE16" s="19">
        <f>IF(JE7=0,0,p_tarifa*JE10*JE14)/1000</f>
        <v/>
      </c>
      <c r="JF16" s="19">
        <f>IF(JF7=0,0,p_tarifa*JF10*JF14)/1000</f>
        <v/>
      </c>
      <c r="JG16" s="19">
        <f>IF(JG7=0,0,p_tarifa*JG10*JG14)/1000</f>
        <v/>
      </c>
      <c r="JH16" s="19">
        <f>IF(JH7=0,0,p_tarifa*JH10*JH14)/1000</f>
        <v/>
      </c>
      <c r="JI16" s="19">
        <f>IF(JI7=0,0,p_tarifa*JI10*JI14)/1000</f>
        <v/>
      </c>
      <c r="JJ16" s="19">
        <f>IF(JJ7=0,0,p_tarifa*JJ10*JJ14)/1000</f>
        <v/>
      </c>
      <c r="JK16" s="19">
        <f>IF(JK7=0,0,p_tarifa*JK10*JK14)/1000</f>
        <v/>
      </c>
      <c r="JL16" s="19">
        <f>IF(JL7=0,0,p_tarifa*JL10*JL14)/1000</f>
        <v/>
      </c>
      <c r="JM16" s="19">
        <f>IF(JM7=0,0,p_tarifa*JM10*JM14)/1000</f>
        <v/>
      </c>
      <c r="JN16" s="19">
        <f>IF(JN7=0,0,p_tarifa*JN10*JN14)/1000</f>
        <v/>
      </c>
      <c r="JO16" s="19">
        <f>IF(JO7=0,0,p_tarifa*JO10*JO14)/1000</f>
        <v/>
      </c>
      <c r="JP16" s="19">
        <f>IF(JP7=0,0,p_tarifa*JP10*JP14)/1000</f>
        <v/>
      </c>
      <c r="JQ16" s="19">
        <f>IF(JQ7=0,0,p_tarifa*JQ10*JQ14)/1000</f>
        <v/>
      </c>
      <c r="JR16" s="19">
        <f>IF(JR7=0,0,p_tarifa*JR10*JR14)/1000</f>
        <v/>
      </c>
      <c r="JS16" s="19">
        <f>IF(JS7=0,0,p_tarifa*JS10*JS14)/1000</f>
        <v/>
      </c>
      <c r="JT16" s="19">
        <f>IF(JT7=0,0,p_tarifa*JT10*JT14)/1000</f>
        <v/>
      </c>
      <c r="JU16" s="19">
        <f>IF(JU7=0,0,p_tarifa*JU10*JU14)/1000</f>
        <v/>
      </c>
      <c r="JV16" s="19">
        <f>IF(JV7=0,0,p_tarifa*JV10*JV14)/1000</f>
        <v/>
      </c>
      <c r="JW16" s="19">
        <f>IF(JW7=0,0,p_tarifa*JW10*JW14)/1000</f>
        <v/>
      </c>
      <c r="JX16" s="19">
        <f>IF(JX7=0,0,p_tarifa*JX10*JX14)/1000</f>
        <v/>
      </c>
      <c r="JY16" s="19">
        <f>IF(JY7=0,0,p_tarifa*JY10*JY14)/1000</f>
        <v/>
      </c>
      <c r="JZ16" s="19">
        <f>IF(JZ7=0,0,p_tarifa*JZ10*JZ14)/1000</f>
        <v/>
      </c>
      <c r="KA16" s="19">
        <f>IF(KA7=0,0,p_tarifa*KA10*KA14)/1000</f>
        <v/>
      </c>
      <c r="KB16" s="19">
        <f>IF(KB7=0,0,p_tarifa*KB10*KB14)/1000</f>
        <v/>
      </c>
      <c r="KC16" s="19">
        <f>IF(KC7=0,0,p_tarifa*KC10*KC14)/1000</f>
        <v/>
      </c>
      <c r="KD16" s="19">
        <f>IF(KD7=0,0,p_tarifa*KD10*KD14)/1000</f>
        <v/>
      </c>
      <c r="KE16" s="19">
        <f>IF(KE7=0,0,p_tarifa*KE10*KE14)/1000</f>
        <v/>
      </c>
      <c r="KF16" s="19">
        <f>IF(KF7=0,0,p_tarifa*KF10*KF14)/1000</f>
        <v/>
      </c>
      <c r="KG16" s="19">
        <f>IF(KG7=0,0,p_tarifa*KG10*KG14)/1000</f>
        <v/>
      </c>
      <c r="KH16" s="19">
        <f>IF(KH7=0,0,p_tarifa*KH10*KH14)/1000</f>
        <v/>
      </c>
      <c r="KI16" s="19">
        <f>IF(KI7=0,0,p_tarifa*KI10*KI14)/1000</f>
        <v/>
      </c>
      <c r="KJ16" s="19">
        <f>IF(KJ7=0,0,p_tarifa*KJ10*KJ14)/1000</f>
        <v/>
      </c>
      <c r="KK16" s="19">
        <f>IF(KK7=0,0,p_tarifa*KK10*KK14)/1000</f>
        <v/>
      </c>
      <c r="KL16" s="19">
        <f>IF(KL7=0,0,p_tarifa*KL10*KL14)/1000</f>
        <v/>
      </c>
      <c r="KM16" s="19">
        <f>IF(KM7=0,0,p_tarifa*KM10*KM14)/1000</f>
        <v/>
      </c>
      <c r="KN16" s="19">
        <f>IF(KN7=0,0,p_tarifa*KN10*KN14)/1000</f>
        <v/>
      </c>
      <c r="KO16" s="19">
        <f>IF(KO7=0,0,p_tarifa*KO10*KO14)/1000</f>
        <v/>
      </c>
      <c r="KP16" s="19">
        <f>IF(KP7=0,0,p_tarifa*KP10*KP14)/1000</f>
        <v/>
      </c>
      <c r="KQ16" s="19">
        <f>IF(KQ7=0,0,p_tarifa*KQ10*KQ14)/1000</f>
        <v/>
      </c>
      <c r="KR16" s="19">
        <f>IF(KR7=0,0,p_tarifa*KR10*KR14)/1000</f>
        <v/>
      </c>
      <c r="KS16" s="19">
        <f>IF(KS7=0,0,p_tarifa*KS10*KS14)/1000</f>
        <v/>
      </c>
      <c r="KT16" s="19">
        <f>IF(KT7=0,0,p_tarifa*KT10*KT14)/1000</f>
        <v/>
      </c>
      <c r="KU16" s="19">
        <f>IF(KU7=0,0,p_tarifa*KU10*KU14)/1000</f>
        <v/>
      </c>
      <c r="KV16" s="19">
        <f>IF(KV7=0,0,p_tarifa*KV10*KV14)/1000</f>
        <v/>
      </c>
      <c r="KW16" s="19">
        <f>IF(KW7=0,0,p_tarifa*KW10*KW14)/1000</f>
        <v/>
      </c>
      <c r="KX16" s="19">
        <f>IF(KX7=0,0,p_tarifa*KX10*KX14)/1000</f>
        <v/>
      </c>
      <c r="KY16" s="19">
        <f>IF(KY7=0,0,p_tarifa*KY10*KY14)/1000</f>
        <v/>
      </c>
      <c r="KZ16" s="19">
        <f>IF(KZ7=0,0,p_tarifa*KZ10*KZ14)/1000</f>
        <v/>
      </c>
      <c r="LA16" s="19">
        <f>IF(LA7=0,0,p_tarifa*LA10*LA14)/1000</f>
        <v/>
      </c>
      <c r="LB16" s="19">
        <f>IF(LB7=0,0,p_tarifa*LB10*LB14)/1000</f>
        <v/>
      </c>
      <c r="LC16" s="19">
        <f>IF(LC7=0,0,p_tarifa*LC10*LC14)/1000</f>
        <v/>
      </c>
      <c r="LD16" s="19">
        <f>IF(LD7=0,0,p_tarifa*LD10*LD14)/1000</f>
        <v/>
      </c>
      <c r="LE16" s="19">
        <f>IF(LE7=0,0,p_tarifa*LE10*LE14)/1000</f>
        <v/>
      </c>
      <c r="LF16" s="19">
        <f>IF(LF7=0,0,p_tarifa*LF10*LF14)/1000</f>
        <v/>
      </c>
      <c r="LG16" s="19">
        <f>IF(LG7=0,0,p_tarifa*LG10*LG14)/1000</f>
        <v/>
      </c>
      <c r="LH16" s="19">
        <f>IF(LH7=0,0,p_tarifa*LH10*LH14)/1000</f>
        <v/>
      </c>
      <c r="LI16" s="19">
        <f>IF(LI7=0,0,p_tarifa*LI10*LI14)/1000</f>
        <v/>
      </c>
    </row>
    <row r="17">
      <c r="B17" s="17" t="inlineStr">
        <is>
          <t>Fijo trimestral</t>
        </is>
      </c>
      <c r="D17" s="19">
        <f>SUM(D15:D15)*D8</f>
        <v/>
      </c>
      <c r="E17" s="19">
        <f>SUM(D15:E15)*E8</f>
        <v/>
      </c>
      <c r="F17" s="19">
        <f>SUM(D15:F15)*F8</f>
        <v/>
      </c>
      <c r="G17" s="19">
        <f>SUM(E15:G15)*G8</f>
        <v/>
      </c>
      <c r="H17" s="19">
        <f>SUM(F15:H15)*H8</f>
        <v/>
      </c>
      <c r="I17" s="19">
        <f>SUM(G15:I15)*I8</f>
        <v/>
      </c>
      <c r="J17" s="19">
        <f>SUM(H15:J15)*J8</f>
        <v/>
      </c>
      <c r="K17" s="19">
        <f>SUM(I15:K15)*K8</f>
        <v/>
      </c>
      <c r="L17" s="19">
        <f>SUM(J15:L15)*L8</f>
        <v/>
      </c>
      <c r="M17" s="19">
        <f>SUM(K15:M15)*M8</f>
        <v/>
      </c>
      <c r="N17" s="19">
        <f>SUM(L15:N15)*N8</f>
        <v/>
      </c>
      <c r="O17" s="19">
        <f>SUM(M15:O15)*O8</f>
        <v/>
      </c>
      <c r="P17" s="19">
        <f>SUM(N15:P15)*P8</f>
        <v/>
      </c>
      <c r="Q17" s="19">
        <f>SUM(O15:Q15)*Q8</f>
        <v/>
      </c>
      <c r="R17" s="19">
        <f>SUM(P15:R15)*R8</f>
        <v/>
      </c>
      <c r="S17" s="19">
        <f>SUM(Q15:S15)*S8</f>
        <v/>
      </c>
      <c r="T17" s="19">
        <f>SUM(R15:T15)*T8</f>
        <v/>
      </c>
      <c r="U17" s="19">
        <f>SUM(S15:U15)*U8</f>
        <v/>
      </c>
      <c r="V17" s="19">
        <f>SUM(T15:V15)*V8</f>
        <v/>
      </c>
      <c r="W17" s="19">
        <f>SUM(U15:W15)*W8</f>
        <v/>
      </c>
      <c r="X17" s="19">
        <f>SUM(V15:X15)*X8</f>
        <v/>
      </c>
      <c r="Y17" s="19">
        <f>SUM(W15:Y15)*Y8</f>
        <v/>
      </c>
      <c r="Z17" s="19">
        <f>SUM(X15:Z15)*Z8</f>
        <v/>
      </c>
      <c r="AA17" s="19">
        <f>SUM(Y15:AA15)*AA8</f>
        <v/>
      </c>
      <c r="AB17" s="19">
        <f>SUM(Z15:AB15)*AB8</f>
        <v/>
      </c>
      <c r="AC17" s="19">
        <f>SUM(AA15:AC15)*AC8</f>
        <v/>
      </c>
      <c r="AD17" s="19">
        <f>SUM(AB15:AD15)*AD8</f>
        <v/>
      </c>
      <c r="AE17" s="19">
        <f>SUM(AC15:AE15)*AE8</f>
        <v/>
      </c>
      <c r="AF17" s="19">
        <f>SUM(AD15:AF15)*AF8</f>
        <v/>
      </c>
      <c r="AG17" s="19">
        <f>SUM(AE15:AG15)*AG8</f>
        <v/>
      </c>
      <c r="AH17" s="19">
        <f>SUM(AF15:AH15)*AH8</f>
        <v/>
      </c>
      <c r="AI17" s="19">
        <f>SUM(AG15:AI15)*AI8</f>
        <v/>
      </c>
      <c r="AJ17" s="19">
        <f>SUM(AH15:AJ15)*AJ8</f>
        <v/>
      </c>
      <c r="AK17" s="19">
        <f>SUM(AI15:AK15)*AK8</f>
        <v/>
      </c>
      <c r="AL17" s="19">
        <f>SUM(AJ15:AL15)*AL8</f>
        <v/>
      </c>
      <c r="AM17" s="19">
        <f>SUM(AK15:AM15)*AM8</f>
        <v/>
      </c>
      <c r="AN17" s="19">
        <f>SUM(AL15:AN15)*AN8</f>
        <v/>
      </c>
      <c r="AO17" s="19">
        <f>SUM(AM15:AO15)*AO8</f>
        <v/>
      </c>
      <c r="AP17" s="19">
        <f>SUM(AN15:AP15)*AP8</f>
        <v/>
      </c>
      <c r="AQ17" s="19">
        <f>SUM(AO15:AQ15)*AQ8</f>
        <v/>
      </c>
      <c r="AR17" s="19">
        <f>SUM(AP15:AR15)*AR8</f>
        <v/>
      </c>
      <c r="AS17" s="19">
        <f>SUM(AQ15:AS15)*AS8</f>
        <v/>
      </c>
      <c r="AT17" s="19">
        <f>SUM(AR15:AT15)*AT8</f>
        <v/>
      </c>
      <c r="AU17" s="19">
        <f>SUM(AS15:AU15)*AU8</f>
        <v/>
      </c>
      <c r="AV17" s="19">
        <f>SUM(AT15:AV15)*AV8</f>
        <v/>
      </c>
      <c r="AW17" s="19">
        <f>SUM(AU15:AW15)*AW8</f>
        <v/>
      </c>
      <c r="AX17" s="19">
        <f>SUM(AV15:AX15)*AX8</f>
        <v/>
      </c>
      <c r="AY17" s="19">
        <f>SUM(AW15:AY15)*AY8</f>
        <v/>
      </c>
      <c r="AZ17" s="19">
        <f>SUM(AX15:AZ15)*AZ8</f>
        <v/>
      </c>
      <c r="BA17" s="19">
        <f>SUM(AY15:BA15)*BA8</f>
        <v/>
      </c>
      <c r="BB17" s="19">
        <f>SUM(AZ15:BB15)*BB8</f>
        <v/>
      </c>
      <c r="BC17" s="19">
        <f>SUM(BA15:BC15)*BC8</f>
        <v/>
      </c>
      <c r="BD17" s="19">
        <f>SUM(BB15:BD15)*BD8</f>
        <v/>
      </c>
      <c r="BE17" s="19">
        <f>SUM(BC15:BE15)*BE8</f>
        <v/>
      </c>
      <c r="BF17" s="19">
        <f>SUM(BD15:BF15)*BF8</f>
        <v/>
      </c>
      <c r="BG17" s="19">
        <f>SUM(BE15:BG15)*BG8</f>
        <v/>
      </c>
      <c r="BH17" s="19">
        <f>SUM(BF15:BH15)*BH8</f>
        <v/>
      </c>
      <c r="BI17" s="19">
        <f>SUM(BG15:BI15)*BI8</f>
        <v/>
      </c>
      <c r="BJ17" s="19">
        <f>SUM(BH15:BJ15)*BJ8</f>
        <v/>
      </c>
      <c r="BK17" s="19">
        <f>SUM(BI15:BK15)*BK8</f>
        <v/>
      </c>
      <c r="BL17" s="19">
        <f>SUM(BJ15:BL15)*BL8</f>
        <v/>
      </c>
      <c r="BM17" s="19">
        <f>SUM(BK15:BM15)*BM8</f>
        <v/>
      </c>
      <c r="BN17" s="19">
        <f>SUM(BL15:BN15)*BN8</f>
        <v/>
      </c>
      <c r="BO17" s="19">
        <f>SUM(BM15:BO15)*BO8</f>
        <v/>
      </c>
      <c r="BP17" s="19">
        <f>SUM(BN15:BP15)*BP8</f>
        <v/>
      </c>
      <c r="BQ17" s="19">
        <f>SUM(BO15:BQ15)*BQ8</f>
        <v/>
      </c>
      <c r="BR17" s="19">
        <f>SUM(BP15:BR15)*BR8</f>
        <v/>
      </c>
      <c r="BS17" s="19">
        <f>SUM(BQ15:BS15)*BS8</f>
        <v/>
      </c>
      <c r="BT17" s="19">
        <f>SUM(BR15:BT15)*BT8</f>
        <v/>
      </c>
      <c r="BU17" s="19">
        <f>SUM(BS15:BU15)*BU8</f>
        <v/>
      </c>
      <c r="BV17" s="19">
        <f>SUM(BT15:BV15)*BV8</f>
        <v/>
      </c>
      <c r="BW17" s="19">
        <f>SUM(BU15:BW15)*BW8</f>
        <v/>
      </c>
      <c r="BX17" s="19">
        <f>SUM(BV15:BX15)*BX8</f>
        <v/>
      </c>
      <c r="BY17" s="19">
        <f>SUM(BW15:BY15)*BY8</f>
        <v/>
      </c>
      <c r="BZ17" s="19">
        <f>SUM(BX15:BZ15)*BZ8</f>
        <v/>
      </c>
      <c r="CA17" s="19">
        <f>SUM(BY15:CA15)*CA8</f>
        <v/>
      </c>
      <c r="CB17" s="19">
        <f>SUM(BZ15:CB15)*CB8</f>
        <v/>
      </c>
      <c r="CC17" s="19">
        <f>SUM(CA15:CC15)*CC8</f>
        <v/>
      </c>
      <c r="CD17" s="19">
        <f>SUM(CB15:CD15)*CD8</f>
        <v/>
      </c>
      <c r="CE17" s="19">
        <f>SUM(CC15:CE15)*CE8</f>
        <v/>
      </c>
      <c r="CF17" s="19">
        <f>SUM(CD15:CF15)*CF8</f>
        <v/>
      </c>
      <c r="CG17" s="19">
        <f>SUM(CE15:CG15)*CG8</f>
        <v/>
      </c>
      <c r="CH17" s="19">
        <f>SUM(CF15:CH15)*CH8</f>
        <v/>
      </c>
      <c r="CI17" s="19">
        <f>SUM(CG15:CI15)*CI8</f>
        <v/>
      </c>
      <c r="CJ17" s="19">
        <f>SUM(CH15:CJ15)*CJ8</f>
        <v/>
      </c>
      <c r="CK17" s="19">
        <f>SUM(CI15:CK15)*CK8</f>
        <v/>
      </c>
      <c r="CL17" s="19">
        <f>SUM(CJ15:CL15)*CL8</f>
        <v/>
      </c>
      <c r="CM17" s="19">
        <f>SUM(CK15:CM15)*CM8</f>
        <v/>
      </c>
      <c r="CN17" s="19">
        <f>SUM(CL15:CN15)*CN8</f>
        <v/>
      </c>
      <c r="CO17" s="19">
        <f>SUM(CM15:CO15)*CO8</f>
        <v/>
      </c>
      <c r="CP17" s="19">
        <f>SUM(CN15:CP15)*CP8</f>
        <v/>
      </c>
      <c r="CQ17" s="19">
        <f>SUM(CO15:CQ15)*CQ8</f>
        <v/>
      </c>
      <c r="CR17" s="19">
        <f>SUM(CP15:CR15)*CR8</f>
        <v/>
      </c>
      <c r="CS17" s="19">
        <f>SUM(CQ15:CS15)*CS8</f>
        <v/>
      </c>
      <c r="CT17" s="19">
        <f>SUM(CR15:CT15)*CT8</f>
        <v/>
      </c>
      <c r="CU17" s="19">
        <f>SUM(CS15:CU15)*CU8</f>
        <v/>
      </c>
      <c r="CV17" s="19">
        <f>SUM(CT15:CV15)*CV8</f>
        <v/>
      </c>
      <c r="CW17" s="19">
        <f>SUM(CU15:CW15)*CW8</f>
        <v/>
      </c>
      <c r="CX17" s="19">
        <f>SUM(CV15:CX15)*CX8</f>
        <v/>
      </c>
      <c r="CY17" s="19">
        <f>SUM(CW15:CY15)*CY8</f>
        <v/>
      </c>
      <c r="CZ17" s="19">
        <f>SUM(CX15:CZ15)*CZ8</f>
        <v/>
      </c>
      <c r="DA17" s="19">
        <f>SUM(CY15:DA15)*DA8</f>
        <v/>
      </c>
      <c r="DB17" s="19">
        <f>SUM(CZ15:DB15)*DB8</f>
        <v/>
      </c>
      <c r="DC17" s="19">
        <f>SUM(DA15:DC15)*DC8</f>
        <v/>
      </c>
      <c r="DD17" s="19">
        <f>SUM(DB15:DD15)*DD8</f>
        <v/>
      </c>
      <c r="DE17" s="19">
        <f>SUM(DC15:DE15)*DE8</f>
        <v/>
      </c>
      <c r="DF17" s="19">
        <f>SUM(DD15:DF15)*DF8</f>
        <v/>
      </c>
      <c r="DG17" s="19">
        <f>SUM(DE15:DG15)*DG8</f>
        <v/>
      </c>
      <c r="DH17" s="19">
        <f>SUM(DF15:DH15)*DH8</f>
        <v/>
      </c>
      <c r="DI17" s="19">
        <f>SUM(DG15:DI15)*DI8</f>
        <v/>
      </c>
      <c r="DJ17" s="19">
        <f>SUM(DH15:DJ15)*DJ8</f>
        <v/>
      </c>
      <c r="DK17" s="19">
        <f>SUM(DI15:DK15)*DK8</f>
        <v/>
      </c>
      <c r="DL17" s="19">
        <f>SUM(DJ15:DL15)*DL8</f>
        <v/>
      </c>
      <c r="DM17" s="19">
        <f>SUM(DK15:DM15)*DM8</f>
        <v/>
      </c>
      <c r="DN17" s="19">
        <f>SUM(DL15:DN15)*DN8</f>
        <v/>
      </c>
      <c r="DO17" s="19">
        <f>SUM(DM15:DO15)*DO8</f>
        <v/>
      </c>
      <c r="DP17" s="19">
        <f>SUM(DN15:DP15)*DP8</f>
        <v/>
      </c>
      <c r="DQ17" s="19">
        <f>SUM(DO15:DQ15)*DQ8</f>
        <v/>
      </c>
      <c r="DR17" s="19">
        <f>SUM(DP15:DR15)*DR8</f>
        <v/>
      </c>
      <c r="DS17" s="19">
        <f>SUM(DQ15:DS15)*DS8</f>
        <v/>
      </c>
      <c r="DT17" s="19">
        <f>SUM(DR15:DT15)*DT8</f>
        <v/>
      </c>
      <c r="DU17" s="19">
        <f>SUM(DS15:DU15)*DU8</f>
        <v/>
      </c>
      <c r="DV17" s="19">
        <f>SUM(DT15:DV15)*DV8</f>
        <v/>
      </c>
      <c r="DW17" s="19">
        <f>SUM(DU15:DW15)*DW8</f>
        <v/>
      </c>
      <c r="DX17" s="19">
        <f>SUM(DV15:DX15)*DX8</f>
        <v/>
      </c>
      <c r="DY17" s="19">
        <f>SUM(DW15:DY15)*DY8</f>
        <v/>
      </c>
      <c r="DZ17" s="19">
        <f>SUM(DX15:DZ15)*DZ8</f>
        <v/>
      </c>
      <c r="EA17" s="19">
        <f>SUM(DY15:EA15)*EA8</f>
        <v/>
      </c>
      <c r="EB17" s="19">
        <f>SUM(DZ15:EB15)*EB8</f>
        <v/>
      </c>
      <c r="EC17" s="19">
        <f>SUM(EA15:EC15)*EC8</f>
        <v/>
      </c>
      <c r="ED17" s="19">
        <f>SUM(EB15:ED15)*ED8</f>
        <v/>
      </c>
      <c r="EE17" s="19">
        <f>SUM(EC15:EE15)*EE8</f>
        <v/>
      </c>
      <c r="EF17" s="19">
        <f>SUM(ED15:EF15)*EF8</f>
        <v/>
      </c>
      <c r="EG17" s="19">
        <f>SUM(EE15:EG15)*EG8</f>
        <v/>
      </c>
      <c r="EH17" s="19">
        <f>SUM(EF15:EH15)*EH8</f>
        <v/>
      </c>
      <c r="EI17" s="19">
        <f>SUM(EG15:EI15)*EI8</f>
        <v/>
      </c>
      <c r="EJ17" s="19">
        <f>SUM(EH15:EJ15)*EJ8</f>
        <v/>
      </c>
      <c r="EK17" s="19">
        <f>SUM(EI15:EK15)*EK8</f>
        <v/>
      </c>
      <c r="EL17" s="19">
        <f>SUM(EJ15:EL15)*EL8</f>
        <v/>
      </c>
      <c r="EM17" s="19">
        <f>SUM(EK15:EM15)*EM8</f>
        <v/>
      </c>
      <c r="EN17" s="19">
        <f>SUM(EL15:EN15)*EN8</f>
        <v/>
      </c>
      <c r="EO17" s="19">
        <f>SUM(EM15:EO15)*EO8</f>
        <v/>
      </c>
      <c r="EP17" s="19">
        <f>SUM(EN15:EP15)*EP8</f>
        <v/>
      </c>
      <c r="EQ17" s="19">
        <f>SUM(EO15:EQ15)*EQ8</f>
        <v/>
      </c>
      <c r="ER17" s="19">
        <f>SUM(EP15:ER15)*ER8</f>
        <v/>
      </c>
      <c r="ES17" s="19">
        <f>SUM(EQ15:ES15)*ES8</f>
        <v/>
      </c>
      <c r="ET17" s="19">
        <f>SUM(ER15:ET15)*ET8</f>
        <v/>
      </c>
      <c r="EU17" s="19">
        <f>SUM(ES15:EU15)*EU8</f>
        <v/>
      </c>
      <c r="EV17" s="19">
        <f>SUM(ET15:EV15)*EV8</f>
        <v/>
      </c>
      <c r="EW17" s="19">
        <f>SUM(EU15:EW15)*EW8</f>
        <v/>
      </c>
      <c r="EX17" s="19">
        <f>SUM(EV15:EX15)*EX8</f>
        <v/>
      </c>
      <c r="EY17" s="19">
        <f>SUM(EW15:EY15)*EY8</f>
        <v/>
      </c>
      <c r="EZ17" s="19">
        <f>SUM(EX15:EZ15)*EZ8</f>
        <v/>
      </c>
      <c r="FA17" s="19">
        <f>SUM(EY15:FA15)*FA8</f>
        <v/>
      </c>
      <c r="FB17" s="19">
        <f>SUM(EZ15:FB15)*FB8</f>
        <v/>
      </c>
      <c r="FC17" s="19">
        <f>SUM(FA15:FC15)*FC8</f>
        <v/>
      </c>
      <c r="FD17" s="19">
        <f>SUM(FB15:FD15)*FD8</f>
        <v/>
      </c>
      <c r="FE17" s="19">
        <f>SUM(FC15:FE15)*FE8</f>
        <v/>
      </c>
      <c r="FF17" s="19">
        <f>SUM(FD15:FF15)*FF8</f>
        <v/>
      </c>
      <c r="FG17" s="19">
        <f>SUM(FE15:FG15)*FG8</f>
        <v/>
      </c>
      <c r="FH17" s="19">
        <f>SUM(FF15:FH15)*FH8</f>
        <v/>
      </c>
      <c r="FI17" s="19">
        <f>SUM(FG15:FI15)*FI8</f>
        <v/>
      </c>
      <c r="FJ17" s="19">
        <f>SUM(FH15:FJ15)*FJ8</f>
        <v/>
      </c>
      <c r="FK17" s="19">
        <f>SUM(FI15:FK15)*FK8</f>
        <v/>
      </c>
      <c r="FL17" s="19">
        <f>SUM(FJ15:FL15)*FL8</f>
        <v/>
      </c>
      <c r="FM17" s="19">
        <f>SUM(FK15:FM15)*FM8</f>
        <v/>
      </c>
      <c r="FN17" s="19">
        <f>SUM(FL15:FN15)*FN8</f>
        <v/>
      </c>
      <c r="FO17" s="19">
        <f>SUM(FM15:FO15)*FO8</f>
        <v/>
      </c>
      <c r="FP17" s="19">
        <f>SUM(FN15:FP15)*FP8</f>
        <v/>
      </c>
      <c r="FQ17" s="19">
        <f>SUM(FO15:FQ15)*FQ8</f>
        <v/>
      </c>
      <c r="FR17" s="19">
        <f>SUM(FP15:FR15)*FR8</f>
        <v/>
      </c>
      <c r="FS17" s="19">
        <f>SUM(FQ15:FS15)*FS8</f>
        <v/>
      </c>
      <c r="FT17" s="19">
        <f>SUM(FR15:FT15)*FT8</f>
        <v/>
      </c>
      <c r="FU17" s="19">
        <f>SUM(FS15:FU15)*FU8</f>
        <v/>
      </c>
      <c r="FV17" s="19">
        <f>SUM(FT15:FV15)*FV8</f>
        <v/>
      </c>
      <c r="FW17" s="19">
        <f>SUM(FU15:FW15)*FW8</f>
        <v/>
      </c>
      <c r="FX17" s="19">
        <f>SUM(FV15:FX15)*FX8</f>
        <v/>
      </c>
      <c r="FY17" s="19">
        <f>SUM(FW15:FY15)*FY8</f>
        <v/>
      </c>
      <c r="FZ17" s="19">
        <f>SUM(FX15:FZ15)*FZ8</f>
        <v/>
      </c>
      <c r="GA17" s="19">
        <f>SUM(FY15:GA15)*GA8</f>
        <v/>
      </c>
      <c r="GB17" s="19">
        <f>SUM(FZ15:GB15)*GB8</f>
        <v/>
      </c>
      <c r="GC17" s="19">
        <f>SUM(GA15:GC15)*GC8</f>
        <v/>
      </c>
      <c r="GD17" s="19">
        <f>SUM(GB15:GD15)*GD8</f>
        <v/>
      </c>
      <c r="GE17" s="19">
        <f>SUM(GC15:GE15)*GE8</f>
        <v/>
      </c>
      <c r="GF17" s="19">
        <f>SUM(GD15:GF15)*GF8</f>
        <v/>
      </c>
      <c r="GG17" s="19">
        <f>SUM(GE15:GG15)*GG8</f>
        <v/>
      </c>
      <c r="GH17" s="19">
        <f>SUM(GF15:GH15)*GH8</f>
        <v/>
      </c>
      <c r="GI17" s="19">
        <f>SUM(GG15:GI15)*GI8</f>
        <v/>
      </c>
      <c r="GJ17" s="19">
        <f>SUM(GH15:GJ15)*GJ8</f>
        <v/>
      </c>
      <c r="GK17" s="19">
        <f>SUM(GI15:GK15)*GK8</f>
        <v/>
      </c>
      <c r="GL17" s="19">
        <f>SUM(GJ15:GL15)*GL8</f>
        <v/>
      </c>
      <c r="GM17" s="19">
        <f>SUM(GK15:GM15)*GM8</f>
        <v/>
      </c>
      <c r="GN17" s="19">
        <f>SUM(GL15:GN15)*GN8</f>
        <v/>
      </c>
      <c r="GO17" s="19">
        <f>SUM(GM15:GO15)*GO8</f>
        <v/>
      </c>
      <c r="GP17" s="19">
        <f>SUM(GN15:GP15)*GP8</f>
        <v/>
      </c>
      <c r="GQ17" s="19">
        <f>SUM(GO15:GQ15)*GQ8</f>
        <v/>
      </c>
      <c r="GR17" s="19">
        <f>SUM(GP15:GR15)*GR8</f>
        <v/>
      </c>
      <c r="GS17" s="19">
        <f>SUM(GQ15:GS15)*GS8</f>
        <v/>
      </c>
      <c r="GT17" s="19">
        <f>SUM(GR15:GT15)*GT8</f>
        <v/>
      </c>
      <c r="GU17" s="19">
        <f>SUM(GS15:GU15)*GU8</f>
        <v/>
      </c>
      <c r="GV17" s="19">
        <f>SUM(GT15:GV15)*GV8</f>
        <v/>
      </c>
      <c r="GW17" s="19">
        <f>SUM(GU15:GW15)*GW8</f>
        <v/>
      </c>
      <c r="GX17" s="19">
        <f>SUM(GV15:GX15)*GX8</f>
        <v/>
      </c>
      <c r="GY17" s="19">
        <f>SUM(GW15:GY15)*GY8</f>
        <v/>
      </c>
      <c r="GZ17" s="19">
        <f>SUM(GX15:GZ15)*GZ8</f>
        <v/>
      </c>
      <c r="HA17" s="19">
        <f>SUM(GY15:HA15)*HA8</f>
        <v/>
      </c>
      <c r="HB17" s="19">
        <f>SUM(GZ15:HB15)*HB8</f>
        <v/>
      </c>
      <c r="HC17" s="19">
        <f>SUM(HA15:HC15)*HC8</f>
        <v/>
      </c>
      <c r="HD17" s="19">
        <f>SUM(HB15:HD15)*HD8</f>
        <v/>
      </c>
      <c r="HE17" s="19">
        <f>SUM(HC15:HE15)*HE8</f>
        <v/>
      </c>
      <c r="HF17" s="19">
        <f>SUM(HD15:HF15)*HF8</f>
        <v/>
      </c>
      <c r="HG17" s="19">
        <f>SUM(HE15:HG15)*HG8</f>
        <v/>
      </c>
      <c r="HH17" s="19">
        <f>SUM(HF15:HH15)*HH8</f>
        <v/>
      </c>
      <c r="HI17" s="19">
        <f>SUM(HG15:HI15)*HI8</f>
        <v/>
      </c>
      <c r="HJ17" s="19">
        <f>SUM(HH15:HJ15)*HJ8</f>
        <v/>
      </c>
      <c r="HK17" s="19">
        <f>SUM(HI15:HK15)*HK8</f>
        <v/>
      </c>
      <c r="HL17" s="19">
        <f>SUM(HJ15:HL15)*HL8</f>
        <v/>
      </c>
      <c r="HM17" s="19">
        <f>SUM(HK15:HM15)*HM8</f>
        <v/>
      </c>
      <c r="HN17" s="19">
        <f>SUM(HL15:HN15)*HN8</f>
        <v/>
      </c>
      <c r="HO17" s="19">
        <f>SUM(HM15:HO15)*HO8</f>
        <v/>
      </c>
      <c r="HP17" s="19">
        <f>SUM(HN15:HP15)*HP8</f>
        <v/>
      </c>
      <c r="HQ17" s="19">
        <f>SUM(HO15:HQ15)*HQ8</f>
        <v/>
      </c>
      <c r="HR17" s="19">
        <f>SUM(HP15:HR15)*HR8</f>
        <v/>
      </c>
      <c r="HS17" s="19">
        <f>SUM(HQ15:HS15)*HS8</f>
        <v/>
      </c>
      <c r="HT17" s="19">
        <f>SUM(HR15:HT15)*HT8</f>
        <v/>
      </c>
      <c r="HU17" s="19">
        <f>SUM(HS15:HU15)*HU8</f>
        <v/>
      </c>
      <c r="HV17" s="19">
        <f>SUM(HT15:HV15)*HV8</f>
        <v/>
      </c>
      <c r="HW17" s="19">
        <f>SUM(HU15:HW15)*HW8</f>
        <v/>
      </c>
      <c r="HX17" s="19">
        <f>SUM(HV15:HX15)*HX8</f>
        <v/>
      </c>
      <c r="HY17" s="19">
        <f>SUM(HW15:HY15)*HY8</f>
        <v/>
      </c>
      <c r="HZ17" s="19">
        <f>SUM(HX15:HZ15)*HZ8</f>
        <v/>
      </c>
      <c r="IA17" s="19">
        <f>SUM(HY15:IA15)*IA8</f>
        <v/>
      </c>
      <c r="IB17" s="19">
        <f>SUM(HZ15:IB15)*IB8</f>
        <v/>
      </c>
      <c r="IC17" s="19">
        <f>SUM(IA15:IC15)*IC8</f>
        <v/>
      </c>
      <c r="ID17" s="19">
        <f>SUM(IB15:ID15)*ID8</f>
        <v/>
      </c>
      <c r="IE17" s="19">
        <f>SUM(IC15:IE15)*IE8</f>
        <v/>
      </c>
      <c r="IF17" s="19">
        <f>SUM(ID15:IF15)*IF8</f>
        <v/>
      </c>
      <c r="IG17" s="19">
        <f>SUM(IE15:IG15)*IG8</f>
        <v/>
      </c>
      <c r="IH17" s="19">
        <f>SUM(IF15:IH15)*IH8</f>
        <v/>
      </c>
      <c r="II17" s="19">
        <f>SUM(IG15:II15)*II8</f>
        <v/>
      </c>
      <c r="IJ17" s="19">
        <f>SUM(IH15:IJ15)*IJ8</f>
        <v/>
      </c>
      <c r="IK17" s="19">
        <f>SUM(II15:IK15)*IK8</f>
        <v/>
      </c>
      <c r="IL17" s="19">
        <f>SUM(IJ15:IL15)*IL8</f>
        <v/>
      </c>
      <c r="IM17" s="19">
        <f>SUM(IK15:IM15)*IM8</f>
        <v/>
      </c>
      <c r="IN17" s="19">
        <f>SUM(IL15:IN15)*IN8</f>
        <v/>
      </c>
      <c r="IO17" s="19">
        <f>SUM(IM15:IO15)*IO8</f>
        <v/>
      </c>
      <c r="IP17" s="19">
        <f>SUM(IN15:IP15)*IP8</f>
        <v/>
      </c>
      <c r="IQ17" s="19">
        <f>SUM(IO15:IQ15)*IQ8</f>
        <v/>
      </c>
      <c r="IR17" s="19">
        <f>SUM(IP15:IR15)*IR8</f>
        <v/>
      </c>
      <c r="IS17" s="19">
        <f>SUM(IQ15:IS15)*IS8</f>
        <v/>
      </c>
      <c r="IT17" s="19">
        <f>SUM(IR15:IT15)*IT8</f>
        <v/>
      </c>
      <c r="IU17" s="19">
        <f>SUM(IS15:IU15)*IU8</f>
        <v/>
      </c>
      <c r="IV17" s="19">
        <f>SUM(IT15:IV15)*IV8</f>
        <v/>
      </c>
      <c r="IW17" s="19">
        <f>SUM(IU15:IW15)*IW8</f>
        <v/>
      </c>
      <c r="IX17" s="19">
        <f>SUM(IV15:IX15)*IX8</f>
        <v/>
      </c>
      <c r="IY17" s="19">
        <f>SUM(IW15:IY15)*IY8</f>
        <v/>
      </c>
      <c r="IZ17" s="19">
        <f>SUM(IX15:IZ15)*IZ8</f>
        <v/>
      </c>
      <c r="JA17" s="19">
        <f>SUM(IY15:JA15)*JA8</f>
        <v/>
      </c>
      <c r="JB17" s="19">
        <f>SUM(IZ15:JB15)*JB8</f>
        <v/>
      </c>
      <c r="JC17" s="19">
        <f>SUM(JA15:JC15)*JC8</f>
        <v/>
      </c>
      <c r="JD17" s="19">
        <f>SUM(JB15:JD15)*JD8</f>
        <v/>
      </c>
      <c r="JE17" s="19">
        <f>SUM(JC15:JE15)*JE8</f>
        <v/>
      </c>
      <c r="JF17" s="19">
        <f>SUM(JD15:JF15)*JF8</f>
        <v/>
      </c>
      <c r="JG17" s="19">
        <f>SUM(JE15:JG15)*JG8</f>
        <v/>
      </c>
      <c r="JH17" s="19">
        <f>SUM(JF15:JH15)*JH8</f>
        <v/>
      </c>
      <c r="JI17" s="19">
        <f>SUM(JG15:JI15)*JI8</f>
        <v/>
      </c>
      <c r="JJ17" s="19">
        <f>SUM(JH15:JJ15)*JJ8</f>
        <v/>
      </c>
      <c r="JK17" s="19">
        <f>SUM(JI15:JK15)*JK8</f>
        <v/>
      </c>
      <c r="JL17" s="19">
        <f>SUM(JJ15:JL15)*JL8</f>
        <v/>
      </c>
      <c r="JM17" s="19">
        <f>SUM(JK15:JM15)*JM8</f>
        <v/>
      </c>
      <c r="JN17" s="19">
        <f>SUM(JL15:JN15)*JN8</f>
        <v/>
      </c>
      <c r="JO17" s="19">
        <f>SUM(JM15:JO15)*JO8</f>
        <v/>
      </c>
      <c r="JP17" s="19">
        <f>SUM(JN15:JP15)*JP8</f>
        <v/>
      </c>
      <c r="JQ17" s="19">
        <f>SUM(JO15:JQ15)*JQ8</f>
        <v/>
      </c>
      <c r="JR17" s="19">
        <f>SUM(JP15:JR15)*JR8</f>
        <v/>
      </c>
      <c r="JS17" s="19">
        <f>SUM(JQ15:JS15)*JS8</f>
        <v/>
      </c>
      <c r="JT17" s="19">
        <f>SUM(JR15:JT15)*JT8</f>
        <v/>
      </c>
      <c r="JU17" s="19">
        <f>SUM(JS15:JU15)*JU8</f>
        <v/>
      </c>
      <c r="JV17" s="19">
        <f>SUM(JT15:JV15)*JV8</f>
        <v/>
      </c>
      <c r="JW17" s="19">
        <f>SUM(JU15:JW15)*JW8</f>
        <v/>
      </c>
      <c r="JX17" s="19">
        <f>SUM(JV15:JX15)*JX8</f>
        <v/>
      </c>
      <c r="JY17" s="19">
        <f>SUM(JW15:JY15)*JY8</f>
        <v/>
      </c>
      <c r="JZ17" s="19">
        <f>SUM(JX15:JZ15)*JZ8</f>
        <v/>
      </c>
      <c r="KA17" s="19">
        <f>SUM(JY15:KA15)*KA8</f>
        <v/>
      </c>
      <c r="KB17" s="19">
        <f>SUM(JZ15:KB15)*KB8</f>
        <v/>
      </c>
      <c r="KC17" s="19">
        <f>SUM(KA15:KC15)*KC8</f>
        <v/>
      </c>
      <c r="KD17" s="19">
        <f>SUM(KB15:KD15)*KD8</f>
        <v/>
      </c>
      <c r="KE17" s="19">
        <f>SUM(KC15:KE15)*KE8</f>
        <v/>
      </c>
      <c r="KF17" s="19">
        <f>SUM(KD15:KF15)*KF8</f>
        <v/>
      </c>
      <c r="KG17" s="19">
        <f>SUM(KE15:KG15)*KG8</f>
        <v/>
      </c>
      <c r="KH17" s="19">
        <f>SUM(KF15:KH15)*KH8</f>
        <v/>
      </c>
      <c r="KI17" s="19">
        <f>SUM(KG15:KI15)*KI8</f>
        <v/>
      </c>
      <c r="KJ17" s="19">
        <f>SUM(KH15:KJ15)*KJ8</f>
        <v/>
      </c>
      <c r="KK17" s="19">
        <f>SUM(KI15:KK15)*KK8</f>
        <v/>
      </c>
      <c r="KL17" s="19">
        <f>SUM(KJ15:KL15)*KL8</f>
        <v/>
      </c>
      <c r="KM17" s="19">
        <f>SUM(KK15:KM15)*KM8</f>
        <v/>
      </c>
      <c r="KN17" s="19">
        <f>SUM(KL15:KN15)*KN8</f>
        <v/>
      </c>
      <c r="KO17" s="19">
        <f>SUM(KM15:KO15)*KO8</f>
        <v/>
      </c>
      <c r="KP17" s="19">
        <f>SUM(KN15:KP15)*KP8</f>
        <v/>
      </c>
      <c r="KQ17" s="19">
        <f>SUM(KO15:KQ15)*KQ8</f>
        <v/>
      </c>
      <c r="KR17" s="19">
        <f>SUM(KP15:KR15)*KR8</f>
        <v/>
      </c>
      <c r="KS17" s="19">
        <f>SUM(KQ15:KS15)*KS8</f>
        <v/>
      </c>
      <c r="KT17" s="19">
        <f>SUM(KR15:KT15)*KT8</f>
        <v/>
      </c>
      <c r="KU17" s="19">
        <f>SUM(KS15:KU15)*KU8</f>
        <v/>
      </c>
      <c r="KV17" s="19">
        <f>SUM(KT15:KV15)*KV8</f>
        <v/>
      </c>
      <c r="KW17" s="19">
        <f>SUM(KU15:KW15)*KW8</f>
        <v/>
      </c>
      <c r="KX17" s="19">
        <f>SUM(KV15:KX15)*KX8</f>
        <v/>
      </c>
      <c r="KY17" s="19">
        <f>SUM(KW15:KY15)*KY8</f>
        <v/>
      </c>
      <c r="KZ17" s="19">
        <f>SUM(KX15:KZ15)*KZ8</f>
        <v/>
      </c>
      <c r="LA17" s="19">
        <f>SUM(KY15:LA15)*LA8</f>
        <v/>
      </c>
      <c r="LB17" s="19">
        <f>SUM(KZ15:LB15)*LB8</f>
        <v/>
      </c>
      <c r="LC17" s="19">
        <f>SUM(LA15:LC15)*LC8</f>
        <v/>
      </c>
      <c r="LD17" s="19">
        <f>SUM(LB15:LD15)*LD8</f>
        <v/>
      </c>
      <c r="LE17" s="19">
        <f>SUM(LC15:LE15)*LE8</f>
        <v/>
      </c>
      <c r="LF17" s="19">
        <f>SUM(LD15:LF15)*LF8</f>
        <v/>
      </c>
      <c r="LG17" s="19">
        <f>SUM(LE15:LG15)*LG8</f>
        <v/>
      </c>
      <c r="LH17" s="19">
        <f>SUM(LF15:LH15)*LH8</f>
        <v/>
      </c>
      <c r="LI17" s="19">
        <f>SUM(LG15:LI15)*LI8</f>
        <v/>
      </c>
    </row>
    <row r="18">
      <c r="B18" s="17" t="inlineStr">
        <is>
          <t>Variable trimestral</t>
        </is>
      </c>
      <c r="D18" s="19">
        <f>SUM(D16:D16)*D8</f>
        <v/>
      </c>
      <c r="E18" s="19">
        <f>SUM(D16:E16)*E8</f>
        <v/>
      </c>
      <c r="F18" s="19">
        <f>SUM(D16:F16)*F8</f>
        <v/>
      </c>
      <c r="G18" s="19">
        <f>SUM(E16:G16)*G8</f>
        <v/>
      </c>
      <c r="H18" s="19">
        <f>SUM(F16:H16)*H8</f>
        <v/>
      </c>
      <c r="I18" s="19">
        <f>SUM(G16:I16)*I8</f>
        <v/>
      </c>
      <c r="J18" s="19">
        <f>SUM(H16:J16)*J8</f>
        <v/>
      </c>
      <c r="K18" s="19">
        <f>SUM(I16:K16)*K8</f>
        <v/>
      </c>
      <c r="L18" s="19">
        <f>SUM(J16:L16)*L8</f>
        <v/>
      </c>
      <c r="M18" s="19">
        <f>SUM(K16:M16)*M8</f>
        <v/>
      </c>
      <c r="N18" s="19">
        <f>SUM(L16:N16)*N8</f>
        <v/>
      </c>
      <c r="O18" s="19">
        <f>SUM(M16:O16)*O8</f>
        <v/>
      </c>
      <c r="P18" s="19">
        <f>SUM(N16:P16)*P8</f>
        <v/>
      </c>
      <c r="Q18" s="19">
        <f>SUM(O16:Q16)*Q8</f>
        <v/>
      </c>
      <c r="R18" s="19">
        <f>SUM(P16:R16)*R8</f>
        <v/>
      </c>
      <c r="S18" s="19">
        <f>SUM(Q16:S16)*S8</f>
        <v/>
      </c>
      <c r="T18" s="19">
        <f>SUM(R16:T16)*T8</f>
        <v/>
      </c>
      <c r="U18" s="19">
        <f>SUM(S16:U16)*U8</f>
        <v/>
      </c>
      <c r="V18" s="19">
        <f>SUM(T16:V16)*V8</f>
        <v/>
      </c>
      <c r="W18" s="19">
        <f>SUM(U16:W16)*W8</f>
        <v/>
      </c>
      <c r="X18" s="19">
        <f>SUM(V16:X16)*X8</f>
        <v/>
      </c>
      <c r="Y18" s="19">
        <f>SUM(W16:Y16)*Y8</f>
        <v/>
      </c>
      <c r="Z18" s="19">
        <f>SUM(X16:Z16)*Z8</f>
        <v/>
      </c>
      <c r="AA18" s="19">
        <f>SUM(Y16:AA16)*AA8</f>
        <v/>
      </c>
      <c r="AB18" s="19">
        <f>SUM(Z16:AB16)*AB8</f>
        <v/>
      </c>
      <c r="AC18" s="19">
        <f>SUM(AA16:AC16)*AC8</f>
        <v/>
      </c>
      <c r="AD18" s="19">
        <f>SUM(AB16:AD16)*AD8</f>
        <v/>
      </c>
      <c r="AE18" s="19">
        <f>SUM(AC16:AE16)*AE8</f>
        <v/>
      </c>
      <c r="AF18" s="19">
        <f>SUM(AD16:AF16)*AF8</f>
        <v/>
      </c>
      <c r="AG18" s="19">
        <f>SUM(AE16:AG16)*AG8</f>
        <v/>
      </c>
      <c r="AH18" s="19">
        <f>SUM(AF16:AH16)*AH8</f>
        <v/>
      </c>
      <c r="AI18" s="19">
        <f>SUM(AG16:AI16)*AI8</f>
        <v/>
      </c>
      <c r="AJ18" s="19">
        <f>SUM(AH16:AJ16)*AJ8</f>
        <v/>
      </c>
      <c r="AK18" s="19">
        <f>SUM(AI16:AK16)*AK8</f>
        <v/>
      </c>
      <c r="AL18" s="19">
        <f>SUM(AJ16:AL16)*AL8</f>
        <v/>
      </c>
      <c r="AM18" s="19">
        <f>SUM(AK16:AM16)*AM8</f>
        <v/>
      </c>
      <c r="AN18" s="19">
        <f>SUM(AL16:AN16)*AN8</f>
        <v/>
      </c>
      <c r="AO18" s="19">
        <f>SUM(AM16:AO16)*AO8</f>
        <v/>
      </c>
      <c r="AP18" s="19">
        <f>SUM(AN16:AP16)*AP8</f>
        <v/>
      </c>
      <c r="AQ18" s="19">
        <f>SUM(AO16:AQ16)*AQ8</f>
        <v/>
      </c>
      <c r="AR18" s="19">
        <f>SUM(AP16:AR16)*AR8</f>
        <v/>
      </c>
      <c r="AS18" s="19">
        <f>SUM(AQ16:AS16)*AS8</f>
        <v/>
      </c>
      <c r="AT18" s="19">
        <f>SUM(AR16:AT16)*AT8</f>
        <v/>
      </c>
      <c r="AU18" s="19">
        <f>SUM(AS16:AU16)*AU8</f>
        <v/>
      </c>
      <c r="AV18" s="19">
        <f>SUM(AT16:AV16)*AV8</f>
        <v/>
      </c>
      <c r="AW18" s="19">
        <f>SUM(AU16:AW16)*AW8</f>
        <v/>
      </c>
      <c r="AX18" s="19">
        <f>SUM(AV16:AX16)*AX8</f>
        <v/>
      </c>
      <c r="AY18" s="19">
        <f>SUM(AW16:AY16)*AY8</f>
        <v/>
      </c>
      <c r="AZ18" s="19">
        <f>SUM(AX16:AZ16)*AZ8</f>
        <v/>
      </c>
      <c r="BA18" s="19">
        <f>SUM(AY16:BA16)*BA8</f>
        <v/>
      </c>
      <c r="BB18" s="19">
        <f>SUM(AZ16:BB16)*BB8</f>
        <v/>
      </c>
      <c r="BC18" s="19">
        <f>SUM(BA16:BC16)*BC8</f>
        <v/>
      </c>
      <c r="BD18" s="19">
        <f>SUM(BB16:BD16)*BD8</f>
        <v/>
      </c>
      <c r="BE18" s="19">
        <f>SUM(BC16:BE16)*BE8</f>
        <v/>
      </c>
      <c r="BF18" s="19">
        <f>SUM(BD16:BF16)*BF8</f>
        <v/>
      </c>
      <c r="BG18" s="19">
        <f>SUM(BE16:BG16)*BG8</f>
        <v/>
      </c>
      <c r="BH18" s="19">
        <f>SUM(BF16:BH16)*BH8</f>
        <v/>
      </c>
      <c r="BI18" s="19">
        <f>SUM(BG16:BI16)*BI8</f>
        <v/>
      </c>
      <c r="BJ18" s="19">
        <f>SUM(BH16:BJ16)*BJ8</f>
        <v/>
      </c>
      <c r="BK18" s="19">
        <f>SUM(BI16:BK16)*BK8</f>
        <v/>
      </c>
      <c r="BL18" s="19">
        <f>SUM(BJ16:BL16)*BL8</f>
        <v/>
      </c>
      <c r="BM18" s="19">
        <f>SUM(BK16:BM16)*BM8</f>
        <v/>
      </c>
      <c r="BN18" s="19">
        <f>SUM(BL16:BN16)*BN8</f>
        <v/>
      </c>
      <c r="BO18" s="19">
        <f>SUM(BM16:BO16)*BO8</f>
        <v/>
      </c>
      <c r="BP18" s="19">
        <f>SUM(BN16:BP16)*BP8</f>
        <v/>
      </c>
      <c r="BQ18" s="19">
        <f>SUM(BO16:BQ16)*BQ8</f>
        <v/>
      </c>
      <c r="BR18" s="19">
        <f>SUM(BP16:BR16)*BR8</f>
        <v/>
      </c>
      <c r="BS18" s="19">
        <f>SUM(BQ16:BS16)*BS8</f>
        <v/>
      </c>
      <c r="BT18" s="19">
        <f>SUM(BR16:BT16)*BT8</f>
        <v/>
      </c>
      <c r="BU18" s="19">
        <f>SUM(BS16:BU16)*BU8</f>
        <v/>
      </c>
      <c r="BV18" s="19">
        <f>SUM(BT16:BV16)*BV8</f>
        <v/>
      </c>
      <c r="BW18" s="19">
        <f>SUM(BU16:BW16)*BW8</f>
        <v/>
      </c>
      <c r="BX18" s="19">
        <f>SUM(BV16:BX16)*BX8</f>
        <v/>
      </c>
      <c r="BY18" s="19">
        <f>SUM(BW16:BY16)*BY8</f>
        <v/>
      </c>
      <c r="BZ18" s="19">
        <f>SUM(BX16:BZ16)*BZ8</f>
        <v/>
      </c>
      <c r="CA18" s="19">
        <f>SUM(BY16:CA16)*CA8</f>
        <v/>
      </c>
      <c r="CB18" s="19">
        <f>SUM(BZ16:CB16)*CB8</f>
        <v/>
      </c>
      <c r="CC18" s="19">
        <f>SUM(CA16:CC16)*CC8</f>
        <v/>
      </c>
      <c r="CD18" s="19">
        <f>SUM(CB16:CD16)*CD8</f>
        <v/>
      </c>
      <c r="CE18" s="19">
        <f>SUM(CC16:CE16)*CE8</f>
        <v/>
      </c>
      <c r="CF18" s="19">
        <f>SUM(CD16:CF16)*CF8</f>
        <v/>
      </c>
      <c r="CG18" s="19">
        <f>SUM(CE16:CG16)*CG8</f>
        <v/>
      </c>
      <c r="CH18" s="19">
        <f>SUM(CF16:CH16)*CH8</f>
        <v/>
      </c>
      <c r="CI18" s="19">
        <f>SUM(CG16:CI16)*CI8</f>
        <v/>
      </c>
      <c r="CJ18" s="19">
        <f>SUM(CH16:CJ16)*CJ8</f>
        <v/>
      </c>
      <c r="CK18" s="19">
        <f>SUM(CI16:CK16)*CK8</f>
        <v/>
      </c>
      <c r="CL18" s="19">
        <f>SUM(CJ16:CL16)*CL8</f>
        <v/>
      </c>
      <c r="CM18" s="19">
        <f>SUM(CK16:CM16)*CM8</f>
        <v/>
      </c>
      <c r="CN18" s="19">
        <f>SUM(CL16:CN16)*CN8</f>
        <v/>
      </c>
      <c r="CO18" s="19">
        <f>SUM(CM16:CO16)*CO8</f>
        <v/>
      </c>
      <c r="CP18" s="19">
        <f>SUM(CN16:CP16)*CP8</f>
        <v/>
      </c>
      <c r="CQ18" s="19">
        <f>SUM(CO16:CQ16)*CQ8</f>
        <v/>
      </c>
      <c r="CR18" s="19">
        <f>SUM(CP16:CR16)*CR8</f>
        <v/>
      </c>
      <c r="CS18" s="19">
        <f>SUM(CQ16:CS16)*CS8</f>
        <v/>
      </c>
      <c r="CT18" s="19">
        <f>SUM(CR16:CT16)*CT8</f>
        <v/>
      </c>
      <c r="CU18" s="19">
        <f>SUM(CS16:CU16)*CU8</f>
        <v/>
      </c>
      <c r="CV18" s="19">
        <f>SUM(CT16:CV16)*CV8</f>
        <v/>
      </c>
      <c r="CW18" s="19">
        <f>SUM(CU16:CW16)*CW8</f>
        <v/>
      </c>
      <c r="CX18" s="19">
        <f>SUM(CV16:CX16)*CX8</f>
        <v/>
      </c>
      <c r="CY18" s="19">
        <f>SUM(CW16:CY16)*CY8</f>
        <v/>
      </c>
      <c r="CZ18" s="19">
        <f>SUM(CX16:CZ16)*CZ8</f>
        <v/>
      </c>
      <c r="DA18" s="19">
        <f>SUM(CY16:DA16)*DA8</f>
        <v/>
      </c>
      <c r="DB18" s="19">
        <f>SUM(CZ16:DB16)*DB8</f>
        <v/>
      </c>
      <c r="DC18" s="19">
        <f>SUM(DA16:DC16)*DC8</f>
        <v/>
      </c>
      <c r="DD18" s="19">
        <f>SUM(DB16:DD16)*DD8</f>
        <v/>
      </c>
      <c r="DE18" s="19">
        <f>SUM(DC16:DE16)*DE8</f>
        <v/>
      </c>
      <c r="DF18" s="19">
        <f>SUM(DD16:DF16)*DF8</f>
        <v/>
      </c>
      <c r="DG18" s="19">
        <f>SUM(DE16:DG16)*DG8</f>
        <v/>
      </c>
      <c r="DH18" s="19">
        <f>SUM(DF16:DH16)*DH8</f>
        <v/>
      </c>
      <c r="DI18" s="19">
        <f>SUM(DG16:DI16)*DI8</f>
        <v/>
      </c>
      <c r="DJ18" s="19">
        <f>SUM(DH16:DJ16)*DJ8</f>
        <v/>
      </c>
      <c r="DK18" s="19">
        <f>SUM(DI16:DK16)*DK8</f>
        <v/>
      </c>
      <c r="DL18" s="19">
        <f>SUM(DJ16:DL16)*DL8</f>
        <v/>
      </c>
      <c r="DM18" s="19">
        <f>SUM(DK16:DM16)*DM8</f>
        <v/>
      </c>
      <c r="DN18" s="19">
        <f>SUM(DL16:DN16)*DN8</f>
        <v/>
      </c>
      <c r="DO18" s="19">
        <f>SUM(DM16:DO16)*DO8</f>
        <v/>
      </c>
      <c r="DP18" s="19">
        <f>SUM(DN16:DP16)*DP8</f>
        <v/>
      </c>
      <c r="DQ18" s="19">
        <f>SUM(DO16:DQ16)*DQ8</f>
        <v/>
      </c>
      <c r="DR18" s="19">
        <f>SUM(DP16:DR16)*DR8</f>
        <v/>
      </c>
      <c r="DS18" s="19">
        <f>SUM(DQ16:DS16)*DS8</f>
        <v/>
      </c>
      <c r="DT18" s="19">
        <f>SUM(DR16:DT16)*DT8</f>
        <v/>
      </c>
      <c r="DU18" s="19">
        <f>SUM(DS16:DU16)*DU8</f>
        <v/>
      </c>
      <c r="DV18" s="19">
        <f>SUM(DT16:DV16)*DV8</f>
        <v/>
      </c>
      <c r="DW18" s="19">
        <f>SUM(DU16:DW16)*DW8</f>
        <v/>
      </c>
      <c r="DX18" s="19">
        <f>SUM(DV16:DX16)*DX8</f>
        <v/>
      </c>
      <c r="DY18" s="19">
        <f>SUM(DW16:DY16)*DY8</f>
        <v/>
      </c>
      <c r="DZ18" s="19">
        <f>SUM(DX16:DZ16)*DZ8</f>
        <v/>
      </c>
      <c r="EA18" s="19">
        <f>SUM(DY16:EA16)*EA8</f>
        <v/>
      </c>
      <c r="EB18" s="19">
        <f>SUM(DZ16:EB16)*EB8</f>
        <v/>
      </c>
      <c r="EC18" s="19">
        <f>SUM(EA16:EC16)*EC8</f>
        <v/>
      </c>
      <c r="ED18" s="19">
        <f>SUM(EB16:ED16)*ED8</f>
        <v/>
      </c>
      <c r="EE18" s="19">
        <f>SUM(EC16:EE16)*EE8</f>
        <v/>
      </c>
      <c r="EF18" s="19">
        <f>SUM(ED16:EF16)*EF8</f>
        <v/>
      </c>
      <c r="EG18" s="19">
        <f>SUM(EE16:EG16)*EG8</f>
        <v/>
      </c>
      <c r="EH18" s="19">
        <f>SUM(EF16:EH16)*EH8</f>
        <v/>
      </c>
      <c r="EI18" s="19">
        <f>SUM(EG16:EI16)*EI8</f>
        <v/>
      </c>
      <c r="EJ18" s="19">
        <f>SUM(EH16:EJ16)*EJ8</f>
        <v/>
      </c>
      <c r="EK18" s="19">
        <f>SUM(EI16:EK16)*EK8</f>
        <v/>
      </c>
      <c r="EL18" s="19">
        <f>SUM(EJ16:EL16)*EL8</f>
        <v/>
      </c>
      <c r="EM18" s="19">
        <f>SUM(EK16:EM16)*EM8</f>
        <v/>
      </c>
      <c r="EN18" s="19">
        <f>SUM(EL16:EN16)*EN8</f>
        <v/>
      </c>
      <c r="EO18" s="19">
        <f>SUM(EM16:EO16)*EO8</f>
        <v/>
      </c>
      <c r="EP18" s="19">
        <f>SUM(EN16:EP16)*EP8</f>
        <v/>
      </c>
      <c r="EQ18" s="19">
        <f>SUM(EO16:EQ16)*EQ8</f>
        <v/>
      </c>
      <c r="ER18" s="19">
        <f>SUM(EP16:ER16)*ER8</f>
        <v/>
      </c>
      <c r="ES18" s="19">
        <f>SUM(EQ16:ES16)*ES8</f>
        <v/>
      </c>
      <c r="ET18" s="19">
        <f>SUM(ER16:ET16)*ET8</f>
        <v/>
      </c>
      <c r="EU18" s="19">
        <f>SUM(ES16:EU16)*EU8</f>
        <v/>
      </c>
      <c r="EV18" s="19">
        <f>SUM(ET16:EV16)*EV8</f>
        <v/>
      </c>
      <c r="EW18" s="19">
        <f>SUM(EU16:EW16)*EW8</f>
        <v/>
      </c>
      <c r="EX18" s="19">
        <f>SUM(EV16:EX16)*EX8</f>
        <v/>
      </c>
      <c r="EY18" s="19">
        <f>SUM(EW16:EY16)*EY8</f>
        <v/>
      </c>
      <c r="EZ18" s="19">
        <f>SUM(EX16:EZ16)*EZ8</f>
        <v/>
      </c>
      <c r="FA18" s="19">
        <f>SUM(EY16:FA16)*FA8</f>
        <v/>
      </c>
      <c r="FB18" s="19">
        <f>SUM(EZ16:FB16)*FB8</f>
        <v/>
      </c>
      <c r="FC18" s="19">
        <f>SUM(FA16:FC16)*FC8</f>
        <v/>
      </c>
      <c r="FD18" s="19">
        <f>SUM(FB16:FD16)*FD8</f>
        <v/>
      </c>
      <c r="FE18" s="19">
        <f>SUM(FC16:FE16)*FE8</f>
        <v/>
      </c>
      <c r="FF18" s="19">
        <f>SUM(FD16:FF16)*FF8</f>
        <v/>
      </c>
      <c r="FG18" s="19">
        <f>SUM(FE16:FG16)*FG8</f>
        <v/>
      </c>
      <c r="FH18" s="19">
        <f>SUM(FF16:FH16)*FH8</f>
        <v/>
      </c>
      <c r="FI18" s="19">
        <f>SUM(FG16:FI16)*FI8</f>
        <v/>
      </c>
      <c r="FJ18" s="19">
        <f>SUM(FH16:FJ16)*FJ8</f>
        <v/>
      </c>
      <c r="FK18" s="19">
        <f>SUM(FI16:FK16)*FK8</f>
        <v/>
      </c>
      <c r="FL18" s="19">
        <f>SUM(FJ16:FL16)*FL8</f>
        <v/>
      </c>
      <c r="FM18" s="19">
        <f>SUM(FK16:FM16)*FM8</f>
        <v/>
      </c>
      <c r="FN18" s="19">
        <f>SUM(FL16:FN16)*FN8</f>
        <v/>
      </c>
      <c r="FO18" s="19">
        <f>SUM(FM16:FO16)*FO8</f>
        <v/>
      </c>
      <c r="FP18" s="19">
        <f>SUM(FN16:FP16)*FP8</f>
        <v/>
      </c>
      <c r="FQ18" s="19">
        <f>SUM(FO16:FQ16)*FQ8</f>
        <v/>
      </c>
      <c r="FR18" s="19">
        <f>SUM(FP16:FR16)*FR8</f>
        <v/>
      </c>
      <c r="FS18" s="19">
        <f>SUM(FQ16:FS16)*FS8</f>
        <v/>
      </c>
      <c r="FT18" s="19">
        <f>SUM(FR16:FT16)*FT8</f>
        <v/>
      </c>
      <c r="FU18" s="19">
        <f>SUM(FS16:FU16)*FU8</f>
        <v/>
      </c>
      <c r="FV18" s="19">
        <f>SUM(FT16:FV16)*FV8</f>
        <v/>
      </c>
      <c r="FW18" s="19">
        <f>SUM(FU16:FW16)*FW8</f>
        <v/>
      </c>
      <c r="FX18" s="19">
        <f>SUM(FV16:FX16)*FX8</f>
        <v/>
      </c>
      <c r="FY18" s="19">
        <f>SUM(FW16:FY16)*FY8</f>
        <v/>
      </c>
      <c r="FZ18" s="19">
        <f>SUM(FX16:FZ16)*FZ8</f>
        <v/>
      </c>
      <c r="GA18" s="19">
        <f>SUM(FY16:GA16)*GA8</f>
        <v/>
      </c>
      <c r="GB18" s="19">
        <f>SUM(FZ16:GB16)*GB8</f>
        <v/>
      </c>
      <c r="GC18" s="19">
        <f>SUM(GA16:GC16)*GC8</f>
        <v/>
      </c>
      <c r="GD18" s="19">
        <f>SUM(GB16:GD16)*GD8</f>
        <v/>
      </c>
      <c r="GE18" s="19">
        <f>SUM(GC16:GE16)*GE8</f>
        <v/>
      </c>
      <c r="GF18" s="19">
        <f>SUM(GD16:GF16)*GF8</f>
        <v/>
      </c>
      <c r="GG18" s="19">
        <f>SUM(GE16:GG16)*GG8</f>
        <v/>
      </c>
      <c r="GH18" s="19">
        <f>SUM(GF16:GH16)*GH8</f>
        <v/>
      </c>
      <c r="GI18" s="19">
        <f>SUM(GG16:GI16)*GI8</f>
        <v/>
      </c>
      <c r="GJ18" s="19">
        <f>SUM(GH16:GJ16)*GJ8</f>
        <v/>
      </c>
      <c r="GK18" s="19">
        <f>SUM(GI16:GK16)*GK8</f>
        <v/>
      </c>
      <c r="GL18" s="19">
        <f>SUM(GJ16:GL16)*GL8</f>
        <v/>
      </c>
      <c r="GM18" s="19">
        <f>SUM(GK16:GM16)*GM8</f>
        <v/>
      </c>
      <c r="GN18" s="19">
        <f>SUM(GL16:GN16)*GN8</f>
        <v/>
      </c>
      <c r="GO18" s="19">
        <f>SUM(GM16:GO16)*GO8</f>
        <v/>
      </c>
      <c r="GP18" s="19">
        <f>SUM(GN16:GP16)*GP8</f>
        <v/>
      </c>
      <c r="GQ18" s="19">
        <f>SUM(GO16:GQ16)*GQ8</f>
        <v/>
      </c>
      <c r="GR18" s="19">
        <f>SUM(GP16:GR16)*GR8</f>
        <v/>
      </c>
      <c r="GS18" s="19">
        <f>SUM(GQ16:GS16)*GS8</f>
        <v/>
      </c>
      <c r="GT18" s="19">
        <f>SUM(GR16:GT16)*GT8</f>
        <v/>
      </c>
      <c r="GU18" s="19">
        <f>SUM(GS16:GU16)*GU8</f>
        <v/>
      </c>
      <c r="GV18" s="19">
        <f>SUM(GT16:GV16)*GV8</f>
        <v/>
      </c>
      <c r="GW18" s="19">
        <f>SUM(GU16:GW16)*GW8</f>
        <v/>
      </c>
      <c r="GX18" s="19">
        <f>SUM(GV16:GX16)*GX8</f>
        <v/>
      </c>
      <c r="GY18" s="19">
        <f>SUM(GW16:GY16)*GY8</f>
        <v/>
      </c>
      <c r="GZ18" s="19">
        <f>SUM(GX16:GZ16)*GZ8</f>
        <v/>
      </c>
      <c r="HA18" s="19">
        <f>SUM(GY16:HA16)*HA8</f>
        <v/>
      </c>
      <c r="HB18" s="19">
        <f>SUM(GZ16:HB16)*HB8</f>
        <v/>
      </c>
      <c r="HC18" s="19">
        <f>SUM(HA16:HC16)*HC8</f>
        <v/>
      </c>
      <c r="HD18" s="19">
        <f>SUM(HB16:HD16)*HD8</f>
        <v/>
      </c>
      <c r="HE18" s="19">
        <f>SUM(HC16:HE16)*HE8</f>
        <v/>
      </c>
      <c r="HF18" s="19">
        <f>SUM(HD16:HF16)*HF8</f>
        <v/>
      </c>
      <c r="HG18" s="19">
        <f>SUM(HE16:HG16)*HG8</f>
        <v/>
      </c>
      <c r="HH18" s="19">
        <f>SUM(HF16:HH16)*HH8</f>
        <v/>
      </c>
      <c r="HI18" s="19">
        <f>SUM(HG16:HI16)*HI8</f>
        <v/>
      </c>
      <c r="HJ18" s="19">
        <f>SUM(HH16:HJ16)*HJ8</f>
        <v/>
      </c>
      <c r="HK18" s="19">
        <f>SUM(HI16:HK16)*HK8</f>
        <v/>
      </c>
      <c r="HL18" s="19">
        <f>SUM(HJ16:HL16)*HL8</f>
        <v/>
      </c>
      <c r="HM18" s="19">
        <f>SUM(HK16:HM16)*HM8</f>
        <v/>
      </c>
      <c r="HN18" s="19">
        <f>SUM(HL16:HN16)*HN8</f>
        <v/>
      </c>
      <c r="HO18" s="19">
        <f>SUM(HM16:HO16)*HO8</f>
        <v/>
      </c>
      <c r="HP18" s="19">
        <f>SUM(HN16:HP16)*HP8</f>
        <v/>
      </c>
      <c r="HQ18" s="19">
        <f>SUM(HO16:HQ16)*HQ8</f>
        <v/>
      </c>
      <c r="HR18" s="19">
        <f>SUM(HP16:HR16)*HR8</f>
        <v/>
      </c>
      <c r="HS18" s="19">
        <f>SUM(HQ16:HS16)*HS8</f>
        <v/>
      </c>
      <c r="HT18" s="19">
        <f>SUM(HR16:HT16)*HT8</f>
        <v/>
      </c>
      <c r="HU18" s="19">
        <f>SUM(HS16:HU16)*HU8</f>
        <v/>
      </c>
      <c r="HV18" s="19">
        <f>SUM(HT16:HV16)*HV8</f>
        <v/>
      </c>
      <c r="HW18" s="19">
        <f>SUM(HU16:HW16)*HW8</f>
        <v/>
      </c>
      <c r="HX18" s="19">
        <f>SUM(HV16:HX16)*HX8</f>
        <v/>
      </c>
      <c r="HY18" s="19">
        <f>SUM(HW16:HY16)*HY8</f>
        <v/>
      </c>
      <c r="HZ18" s="19">
        <f>SUM(HX16:HZ16)*HZ8</f>
        <v/>
      </c>
      <c r="IA18" s="19">
        <f>SUM(HY16:IA16)*IA8</f>
        <v/>
      </c>
      <c r="IB18" s="19">
        <f>SUM(HZ16:IB16)*IB8</f>
        <v/>
      </c>
      <c r="IC18" s="19">
        <f>SUM(IA16:IC16)*IC8</f>
        <v/>
      </c>
      <c r="ID18" s="19">
        <f>SUM(IB16:ID16)*ID8</f>
        <v/>
      </c>
      <c r="IE18" s="19">
        <f>SUM(IC16:IE16)*IE8</f>
        <v/>
      </c>
      <c r="IF18" s="19">
        <f>SUM(ID16:IF16)*IF8</f>
        <v/>
      </c>
      <c r="IG18" s="19">
        <f>SUM(IE16:IG16)*IG8</f>
        <v/>
      </c>
      <c r="IH18" s="19">
        <f>SUM(IF16:IH16)*IH8</f>
        <v/>
      </c>
      <c r="II18" s="19">
        <f>SUM(IG16:II16)*II8</f>
        <v/>
      </c>
      <c r="IJ18" s="19">
        <f>SUM(IH16:IJ16)*IJ8</f>
        <v/>
      </c>
      <c r="IK18" s="19">
        <f>SUM(II16:IK16)*IK8</f>
        <v/>
      </c>
      <c r="IL18" s="19">
        <f>SUM(IJ16:IL16)*IL8</f>
        <v/>
      </c>
      <c r="IM18" s="19">
        <f>SUM(IK16:IM16)*IM8</f>
        <v/>
      </c>
      <c r="IN18" s="19">
        <f>SUM(IL16:IN16)*IN8</f>
        <v/>
      </c>
      <c r="IO18" s="19">
        <f>SUM(IM16:IO16)*IO8</f>
        <v/>
      </c>
      <c r="IP18" s="19">
        <f>SUM(IN16:IP16)*IP8</f>
        <v/>
      </c>
      <c r="IQ18" s="19">
        <f>SUM(IO16:IQ16)*IQ8</f>
        <v/>
      </c>
      <c r="IR18" s="19">
        <f>SUM(IP16:IR16)*IR8</f>
        <v/>
      </c>
      <c r="IS18" s="19">
        <f>SUM(IQ16:IS16)*IS8</f>
        <v/>
      </c>
      <c r="IT18" s="19">
        <f>SUM(IR16:IT16)*IT8</f>
        <v/>
      </c>
      <c r="IU18" s="19">
        <f>SUM(IS16:IU16)*IU8</f>
        <v/>
      </c>
      <c r="IV18" s="19">
        <f>SUM(IT16:IV16)*IV8</f>
        <v/>
      </c>
      <c r="IW18" s="19">
        <f>SUM(IU16:IW16)*IW8</f>
        <v/>
      </c>
      <c r="IX18" s="19">
        <f>SUM(IV16:IX16)*IX8</f>
        <v/>
      </c>
      <c r="IY18" s="19">
        <f>SUM(IW16:IY16)*IY8</f>
        <v/>
      </c>
      <c r="IZ18" s="19">
        <f>SUM(IX16:IZ16)*IZ8</f>
        <v/>
      </c>
      <c r="JA18" s="19">
        <f>SUM(IY16:JA16)*JA8</f>
        <v/>
      </c>
      <c r="JB18" s="19">
        <f>SUM(IZ16:JB16)*JB8</f>
        <v/>
      </c>
      <c r="JC18" s="19">
        <f>SUM(JA16:JC16)*JC8</f>
        <v/>
      </c>
      <c r="JD18" s="19">
        <f>SUM(JB16:JD16)*JD8</f>
        <v/>
      </c>
      <c r="JE18" s="19">
        <f>SUM(JC16:JE16)*JE8</f>
        <v/>
      </c>
      <c r="JF18" s="19">
        <f>SUM(JD16:JF16)*JF8</f>
        <v/>
      </c>
      <c r="JG18" s="19">
        <f>SUM(JE16:JG16)*JG8</f>
        <v/>
      </c>
      <c r="JH18" s="19">
        <f>SUM(JF16:JH16)*JH8</f>
        <v/>
      </c>
      <c r="JI18" s="19">
        <f>SUM(JG16:JI16)*JI8</f>
        <v/>
      </c>
      <c r="JJ18" s="19">
        <f>SUM(JH16:JJ16)*JJ8</f>
        <v/>
      </c>
      <c r="JK18" s="19">
        <f>SUM(JI16:JK16)*JK8</f>
        <v/>
      </c>
      <c r="JL18" s="19">
        <f>SUM(JJ16:JL16)*JL8</f>
        <v/>
      </c>
      <c r="JM18" s="19">
        <f>SUM(JK16:JM16)*JM8</f>
        <v/>
      </c>
      <c r="JN18" s="19">
        <f>SUM(JL16:JN16)*JN8</f>
        <v/>
      </c>
      <c r="JO18" s="19">
        <f>SUM(JM16:JO16)*JO8</f>
        <v/>
      </c>
      <c r="JP18" s="19">
        <f>SUM(JN16:JP16)*JP8</f>
        <v/>
      </c>
      <c r="JQ18" s="19">
        <f>SUM(JO16:JQ16)*JQ8</f>
        <v/>
      </c>
      <c r="JR18" s="19">
        <f>SUM(JP16:JR16)*JR8</f>
        <v/>
      </c>
      <c r="JS18" s="19">
        <f>SUM(JQ16:JS16)*JS8</f>
        <v/>
      </c>
      <c r="JT18" s="19">
        <f>SUM(JR16:JT16)*JT8</f>
        <v/>
      </c>
      <c r="JU18" s="19">
        <f>SUM(JS16:JU16)*JU8</f>
        <v/>
      </c>
      <c r="JV18" s="19">
        <f>SUM(JT16:JV16)*JV8</f>
        <v/>
      </c>
      <c r="JW18" s="19">
        <f>SUM(JU16:JW16)*JW8</f>
        <v/>
      </c>
      <c r="JX18" s="19">
        <f>SUM(JV16:JX16)*JX8</f>
        <v/>
      </c>
      <c r="JY18" s="19">
        <f>SUM(JW16:JY16)*JY8</f>
        <v/>
      </c>
      <c r="JZ18" s="19">
        <f>SUM(JX16:JZ16)*JZ8</f>
        <v/>
      </c>
      <c r="KA18" s="19">
        <f>SUM(JY16:KA16)*KA8</f>
        <v/>
      </c>
      <c r="KB18" s="19">
        <f>SUM(JZ16:KB16)*KB8</f>
        <v/>
      </c>
      <c r="KC18" s="19">
        <f>SUM(KA16:KC16)*KC8</f>
        <v/>
      </c>
      <c r="KD18" s="19">
        <f>SUM(KB16:KD16)*KD8</f>
        <v/>
      </c>
      <c r="KE18" s="19">
        <f>SUM(KC16:KE16)*KE8</f>
        <v/>
      </c>
      <c r="KF18" s="19">
        <f>SUM(KD16:KF16)*KF8</f>
        <v/>
      </c>
      <c r="KG18" s="19">
        <f>SUM(KE16:KG16)*KG8</f>
        <v/>
      </c>
      <c r="KH18" s="19">
        <f>SUM(KF16:KH16)*KH8</f>
        <v/>
      </c>
      <c r="KI18" s="19">
        <f>SUM(KG16:KI16)*KI8</f>
        <v/>
      </c>
      <c r="KJ18" s="19">
        <f>SUM(KH16:KJ16)*KJ8</f>
        <v/>
      </c>
      <c r="KK18" s="19">
        <f>SUM(KI16:KK16)*KK8</f>
        <v/>
      </c>
      <c r="KL18" s="19">
        <f>SUM(KJ16:KL16)*KL8</f>
        <v/>
      </c>
      <c r="KM18" s="19">
        <f>SUM(KK16:KM16)*KM8</f>
        <v/>
      </c>
      <c r="KN18" s="19">
        <f>SUM(KL16:KN16)*KN8</f>
        <v/>
      </c>
      <c r="KO18" s="19">
        <f>SUM(KM16:KO16)*KO8</f>
        <v/>
      </c>
      <c r="KP18" s="19">
        <f>SUM(KN16:KP16)*KP8</f>
        <v/>
      </c>
      <c r="KQ18" s="19">
        <f>SUM(KO16:KQ16)*KQ8</f>
        <v/>
      </c>
      <c r="KR18" s="19">
        <f>SUM(KP16:KR16)*KR8</f>
        <v/>
      </c>
      <c r="KS18" s="19">
        <f>SUM(KQ16:KS16)*KS8</f>
        <v/>
      </c>
      <c r="KT18" s="19">
        <f>SUM(KR16:KT16)*KT8</f>
        <v/>
      </c>
      <c r="KU18" s="19">
        <f>SUM(KS16:KU16)*KU8</f>
        <v/>
      </c>
      <c r="KV18" s="19">
        <f>SUM(KT16:KV16)*KV8</f>
        <v/>
      </c>
      <c r="KW18" s="19">
        <f>SUM(KU16:KW16)*KW8</f>
        <v/>
      </c>
      <c r="KX18" s="19">
        <f>SUM(KV16:KX16)*KX8</f>
        <v/>
      </c>
      <c r="KY18" s="19">
        <f>SUM(KW16:KY16)*KY8</f>
        <v/>
      </c>
      <c r="KZ18" s="19">
        <f>SUM(KX16:KZ16)*KZ8</f>
        <v/>
      </c>
      <c r="LA18" s="19">
        <f>SUM(KY16:LA16)*LA8</f>
        <v/>
      </c>
      <c r="LB18" s="19">
        <f>SUM(KZ16:LB16)*LB8</f>
        <v/>
      </c>
      <c r="LC18" s="19">
        <f>SUM(LA16:LC16)*LC8</f>
        <v/>
      </c>
      <c r="LD18" s="19">
        <f>SUM(LB16:LD16)*LD8</f>
        <v/>
      </c>
      <c r="LE18" s="19">
        <f>SUM(LC16:LE16)*LE8</f>
        <v/>
      </c>
      <c r="LF18" s="19">
        <f>SUM(LD16:LF16)*LF8</f>
        <v/>
      </c>
      <c r="LG18" s="19">
        <f>SUM(LE16:LG16)*LG8</f>
        <v/>
      </c>
      <c r="LH18" s="19">
        <f>SUM(LF16:LH16)*LH8</f>
        <v/>
      </c>
      <c r="LI18" s="19">
        <f>SUM(LG16:LI16)*LI8</f>
        <v/>
      </c>
    </row>
    <row r="19">
      <c r="B19" s="21" t="inlineStr">
        <is>
          <t>Fijo a cobrar</t>
        </is>
      </c>
      <c r="D19" s="19" t="n">
        <v>0</v>
      </c>
      <c r="E19" s="19" t="n">
        <v>0</v>
      </c>
      <c r="F19" s="19" t="n">
        <v>0</v>
      </c>
      <c r="G19" s="19">
        <f>G9*D17</f>
        <v/>
      </c>
      <c r="H19" s="19">
        <f>H9*E17</f>
        <v/>
      </c>
      <c r="I19" s="19">
        <f>I9*F17</f>
        <v/>
      </c>
      <c r="J19" s="19">
        <f>J9*G17</f>
        <v/>
      </c>
      <c r="K19" s="19">
        <f>K9*H17</f>
        <v/>
      </c>
      <c r="L19" s="19">
        <f>L9*I17</f>
        <v/>
      </c>
      <c r="M19" s="19">
        <f>M9*J17</f>
        <v/>
      </c>
      <c r="N19" s="19">
        <f>N9*K17</f>
        <v/>
      </c>
      <c r="O19" s="19">
        <f>O9*L17</f>
        <v/>
      </c>
      <c r="P19" s="19">
        <f>P9*M17</f>
        <v/>
      </c>
      <c r="Q19" s="19">
        <f>Q9*N17</f>
        <v/>
      </c>
      <c r="R19" s="19">
        <f>R9*O17</f>
        <v/>
      </c>
      <c r="S19" s="19">
        <f>S9*P17</f>
        <v/>
      </c>
      <c r="T19" s="19">
        <f>T9*Q17</f>
        <v/>
      </c>
      <c r="U19" s="19">
        <f>U9*R17</f>
        <v/>
      </c>
      <c r="V19" s="19">
        <f>V9*S17</f>
        <v/>
      </c>
      <c r="W19" s="19">
        <f>W9*T17</f>
        <v/>
      </c>
      <c r="X19" s="19">
        <f>X9*U17</f>
        <v/>
      </c>
      <c r="Y19" s="19">
        <f>Y9*V17</f>
        <v/>
      </c>
      <c r="Z19" s="19">
        <f>Z9*W17</f>
        <v/>
      </c>
      <c r="AA19" s="19">
        <f>AA9*X17</f>
        <v/>
      </c>
      <c r="AB19" s="19">
        <f>AB9*Y17</f>
        <v/>
      </c>
      <c r="AC19" s="19">
        <f>AC9*Z17</f>
        <v/>
      </c>
      <c r="AD19" s="19">
        <f>AD9*AA17</f>
        <v/>
      </c>
      <c r="AE19" s="19">
        <f>AE9*AB17</f>
        <v/>
      </c>
      <c r="AF19" s="19">
        <f>AF9*AC17</f>
        <v/>
      </c>
      <c r="AG19" s="19">
        <f>AG9*AD17</f>
        <v/>
      </c>
      <c r="AH19" s="19">
        <f>AH9*AE17</f>
        <v/>
      </c>
      <c r="AI19" s="19">
        <f>AI9*AF17</f>
        <v/>
      </c>
      <c r="AJ19" s="19">
        <f>AJ9*AG17</f>
        <v/>
      </c>
      <c r="AK19" s="19">
        <f>AK9*AH17</f>
        <v/>
      </c>
      <c r="AL19" s="19">
        <f>AL9*AI17</f>
        <v/>
      </c>
      <c r="AM19" s="19">
        <f>AM9*AJ17</f>
        <v/>
      </c>
      <c r="AN19" s="19">
        <f>AN9*AK17</f>
        <v/>
      </c>
      <c r="AO19" s="19">
        <f>AO9*AL17</f>
        <v/>
      </c>
      <c r="AP19" s="19">
        <f>AP9*AM17</f>
        <v/>
      </c>
      <c r="AQ19" s="19">
        <f>AQ9*AN17</f>
        <v/>
      </c>
      <c r="AR19" s="19">
        <f>AR9*AO17</f>
        <v/>
      </c>
      <c r="AS19" s="19">
        <f>AS9*AP17</f>
        <v/>
      </c>
      <c r="AT19" s="19">
        <f>AT9*AQ17</f>
        <v/>
      </c>
      <c r="AU19" s="19">
        <f>AU9*AR17</f>
        <v/>
      </c>
      <c r="AV19" s="19">
        <f>AV9*AS17</f>
        <v/>
      </c>
      <c r="AW19" s="19">
        <f>AW9*AT17</f>
        <v/>
      </c>
      <c r="AX19" s="19">
        <f>AX9*AU17</f>
        <v/>
      </c>
      <c r="AY19" s="19">
        <f>AY9*AV17</f>
        <v/>
      </c>
      <c r="AZ19" s="19">
        <f>AZ9*AW17</f>
        <v/>
      </c>
      <c r="BA19" s="19">
        <f>BA9*AX17</f>
        <v/>
      </c>
      <c r="BB19" s="19">
        <f>BB9*AY17</f>
        <v/>
      </c>
      <c r="BC19" s="19">
        <f>BC9*AZ17</f>
        <v/>
      </c>
      <c r="BD19" s="19">
        <f>BD9*BA17</f>
        <v/>
      </c>
      <c r="BE19" s="19">
        <f>BE9*BB17</f>
        <v/>
      </c>
      <c r="BF19" s="19">
        <f>BF9*BC17</f>
        <v/>
      </c>
      <c r="BG19" s="19">
        <f>BG9*BD17</f>
        <v/>
      </c>
      <c r="BH19" s="19">
        <f>BH9*BE17</f>
        <v/>
      </c>
      <c r="BI19" s="19">
        <f>BI9*BF17</f>
        <v/>
      </c>
      <c r="BJ19" s="19">
        <f>BJ9*BG17</f>
        <v/>
      </c>
      <c r="BK19" s="19">
        <f>BK9*BH17</f>
        <v/>
      </c>
      <c r="BL19" s="19">
        <f>BL9*BI17</f>
        <v/>
      </c>
      <c r="BM19" s="19">
        <f>BM9*BJ17</f>
        <v/>
      </c>
      <c r="BN19" s="19">
        <f>BN9*BK17</f>
        <v/>
      </c>
      <c r="BO19" s="19">
        <f>BO9*BL17</f>
        <v/>
      </c>
      <c r="BP19" s="19">
        <f>BP9*BM17</f>
        <v/>
      </c>
      <c r="BQ19" s="19">
        <f>BQ9*BN17</f>
        <v/>
      </c>
      <c r="BR19" s="19">
        <f>BR9*BO17</f>
        <v/>
      </c>
      <c r="BS19" s="19">
        <f>BS9*BP17</f>
        <v/>
      </c>
      <c r="BT19" s="19">
        <f>BT9*BQ17</f>
        <v/>
      </c>
      <c r="BU19" s="19">
        <f>BU9*BR17</f>
        <v/>
      </c>
      <c r="BV19" s="19">
        <f>BV9*BS17</f>
        <v/>
      </c>
      <c r="BW19" s="19">
        <f>BW9*BT17</f>
        <v/>
      </c>
      <c r="BX19" s="19">
        <f>BX9*BU17</f>
        <v/>
      </c>
      <c r="BY19" s="19">
        <f>BY9*BV17</f>
        <v/>
      </c>
      <c r="BZ19" s="19">
        <f>BZ9*BW17</f>
        <v/>
      </c>
      <c r="CA19" s="19">
        <f>CA9*BX17</f>
        <v/>
      </c>
      <c r="CB19" s="19">
        <f>CB9*BY17</f>
        <v/>
      </c>
      <c r="CC19" s="19">
        <f>CC9*BZ17</f>
        <v/>
      </c>
      <c r="CD19" s="19">
        <f>CD9*CA17</f>
        <v/>
      </c>
      <c r="CE19" s="19">
        <f>CE9*CB17</f>
        <v/>
      </c>
      <c r="CF19" s="19">
        <f>CF9*CC17</f>
        <v/>
      </c>
      <c r="CG19" s="19">
        <f>CG9*CD17</f>
        <v/>
      </c>
      <c r="CH19" s="19">
        <f>CH9*CE17</f>
        <v/>
      </c>
      <c r="CI19" s="19">
        <f>CI9*CF17</f>
        <v/>
      </c>
      <c r="CJ19" s="19">
        <f>CJ9*CG17</f>
        <v/>
      </c>
      <c r="CK19" s="19">
        <f>CK9*CH17</f>
        <v/>
      </c>
      <c r="CL19" s="19">
        <f>CL9*CI17</f>
        <v/>
      </c>
      <c r="CM19" s="19">
        <f>CM9*CJ17</f>
        <v/>
      </c>
      <c r="CN19" s="19">
        <f>CN9*CK17</f>
        <v/>
      </c>
      <c r="CO19" s="19">
        <f>CO9*CL17</f>
        <v/>
      </c>
      <c r="CP19" s="19">
        <f>CP9*CM17</f>
        <v/>
      </c>
      <c r="CQ19" s="19">
        <f>CQ9*CN17</f>
        <v/>
      </c>
      <c r="CR19" s="19">
        <f>CR9*CO17</f>
        <v/>
      </c>
      <c r="CS19" s="19">
        <f>CS9*CP17</f>
        <v/>
      </c>
      <c r="CT19" s="19">
        <f>CT9*CQ17</f>
        <v/>
      </c>
      <c r="CU19" s="19">
        <f>CU9*CR17</f>
        <v/>
      </c>
      <c r="CV19" s="19">
        <f>CV9*CS17</f>
        <v/>
      </c>
      <c r="CW19" s="19">
        <f>CW9*CT17</f>
        <v/>
      </c>
      <c r="CX19" s="19">
        <f>CX9*CU17</f>
        <v/>
      </c>
      <c r="CY19" s="19">
        <f>CY9*CV17</f>
        <v/>
      </c>
      <c r="CZ19" s="19">
        <f>CZ9*CW17</f>
        <v/>
      </c>
      <c r="DA19" s="19">
        <f>DA9*CX17</f>
        <v/>
      </c>
      <c r="DB19" s="19">
        <f>DB9*CY17</f>
        <v/>
      </c>
      <c r="DC19" s="19">
        <f>DC9*CZ17</f>
        <v/>
      </c>
      <c r="DD19" s="19">
        <f>DD9*DA17</f>
        <v/>
      </c>
      <c r="DE19" s="19">
        <f>DE9*DB17</f>
        <v/>
      </c>
      <c r="DF19" s="19">
        <f>DF9*DC17</f>
        <v/>
      </c>
      <c r="DG19" s="19">
        <f>DG9*DD17</f>
        <v/>
      </c>
      <c r="DH19" s="19">
        <f>DH9*DE17</f>
        <v/>
      </c>
      <c r="DI19" s="19">
        <f>DI9*DF17</f>
        <v/>
      </c>
      <c r="DJ19" s="19">
        <f>DJ9*DG17</f>
        <v/>
      </c>
      <c r="DK19" s="19">
        <f>DK9*DH17</f>
        <v/>
      </c>
      <c r="DL19" s="19">
        <f>DL9*DI17</f>
        <v/>
      </c>
      <c r="DM19" s="19">
        <f>DM9*DJ17</f>
        <v/>
      </c>
      <c r="DN19" s="19">
        <f>DN9*DK17</f>
        <v/>
      </c>
      <c r="DO19" s="19">
        <f>DO9*DL17</f>
        <v/>
      </c>
      <c r="DP19" s="19">
        <f>DP9*DM17</f>
        <v/>
      </c>
      <c r="DQ19" s="19">
        <f>DQ9*DN17</f>
        <v/>
      </c>
      <c r="DR19" s="19">
        <f>DR9*DO17</f>
        <v/>
      </c>
      <c r="DS19" s="19">
        <f>DS9*DP17</f>
        <v/>
      </c>
      <c r="DT19" s="19">
        <f>DT9*DQ17</f>
        <v/>
      </c>
      <c r="DU19" s="19">
        <f>DU9*DR17</f>
        <v/>
      </c>
      <c r="DV19" s="19">
        <f>DV9*DS17</f>
        <v/>
      </c>
      <c r="DW19" s="19">
        <f>DW9*DT17</f>
        <v/>
      </c>
      <c r="DX19" s="19">
        <f>DX9*DU17</f>
        <v/>
      </c>
      <c r="DY19" s="19">
        <f>DY9*DV17</f>
        <v/>
      </c>
      <c r="DZ19" s="19">
        <f>DZ9*DW17</f>
        <v/>
      </c>
      <c r="EA19" s="19">
        <f>EA9*DX17</f>
        <v/>
      </c>
      <c r="EB19" s="19">
        <f>EB9*DY17</f>
        <v/>
      </c>
      <c r="EC19" s="19">
        <f>EC9*DZ17</f>
        <v/>
      </c>
      <c r="ED19" s="19">
        <f>ED9*EA17</f>
        <v/>
      </c>
      <c r="EE19" s="19">
        <f>EE9*EB17</f>
        <v/>
      </c>
      <c r="EF19" s="19">
        <f>EF9*EC17</f>
        <v/>
      </c>
      <c r="EG19" s="19">
        <f>EG9*ED17</f>
        <v/>
      </c>
      <c r="EH19" s="19">
        <f>EH9*EE17</f>
        <v/>
      </c>
      <c r="EI19" s="19">
        <f>EI9*EF17</f>
        <v/>
      </c>
      <c r="EJ19" s="19">
        <f>EJ9*EG17</f>
        <v/>
      </c>
      <c r="EK19" s="19">
        <f>EK9*EH17</f>
        <v/>
      </c>
      <c r="EL19" s="19">
        <f>EL9*EI17</f>
        <v/>
      </c>
      <c r="EM19" s="19">
        <f>EM9*EJ17</f>
        <v/>
      </c>
      <c r="EN19" s="19">
        <f>EN9*EK17</f>
        <v/>
      </c>
      <c r="EO19" s="19">
        <f>EO9*EL17</f>
        <v/>
      </c>
      <c r="EP19" s="19">
        <f>EP9*EM17</f>
        <v/>
      </c>
      <c r="EQ19" s="19">
        <f>EQ9*EN17</f>
        <v/>
      </c>
      <c r="ER19" s="19">
        <f>ER9*EO17</f>
        <v/>
      </c>
      <c r="ES19" s="19">
        <f>ES9*EP17</f>
        <v/>
      </c>
      <c r="ET19" s="19">
        <f>ET9*EQ17</f>
        <v/>
      </c>
      <c r="EU19" s="19">
        <f>EU9*ER17</f>
        <v/>
      </c>
      <c r="EV19" s="19">
        <f>EV9*ES17</f>
        <v/>
      </c>
      <c r="EW19" s="19">
        <f>EW9*ET17</f>
        <v/>
      </c>
      <c r="EX19" s="19">
        <f>EX9*EU17</f>
        <v/>
      </c>
      <c r="EY19" s="19">
        <f>EY9*EV17</f>
        <v/>
      </c>
      <c r="EZ19" s="19">
        <f>EZ9*EW17</f>
        <v/>
      </c>
      <c r="FA19" s="19">
        <f>FA9*EX17</f>
        <v/>
      </c>
      <c r="FB19" s="19">
        <f>FB9*EY17</f>
        <v/>
      </c>
      <c r="FC19" s="19">
        <f>FC9*EZ17</f>
        <v/>
      </c>
      <c r="FD19" s="19">
        <f>FD9*FA17</f>
        <v/>
      </c>
      <c r="FE19" s="19">
        <f>FE9*FB17</f>
        <v/>
      </c>
      <c r="FF19" s="19">
        <f>FF9*FC17</f>
        <v/>
      </c>
      <c r="FG19" s="19">
        <f>FG9*FD17</f>
        <v/>
      </c>
      <c r="FH19" s="19">
        <f>FH9*FE17</f>
        <v/>
      </c>
      <c r="FI19" s="19">
        <f>FI9*FF17</f>
        <v/>
      </c>
      <c r="FJ19" s="19">
        <f>FJ9*FG17</f>
        <v/>
      </c>
      <c r="FK19" s="19">
        <f>FK9*FH17</f>
        <v/>
      </c>
      <c r="FL19" s="19">
        <f>FL9*FI17</f>
        <v/>
      </c>
      <c r="FM19" s="19">
        <f>FM9*FJ17</f>
        <v/>
      </c>
      <c r="FN19" s="19">
        <f>FN9*FK17</f>
        <v/>
      </c>
      <c r="FO19" s="19">
        <f>FO9*FL17</f>
        <v/>
      </c>
      <c r="FP19" s="19">
        <f>FP9*FM17</f>
        <v/>
      </c>
      <c r="FQ19" s="19">
        <f>FQ9*FN17</f>
        <v/>
      </c>
      <c r="FR19" s="19">
        <f>FR9*FO17</f>
        <v/>
      </c>
      <c r="FS19" s="19">
        <f>FS9*FP17</f>
        <v/>
      </c>
      <c r="FT19" s="19">
        <f>FT9*FQ17</f>
        <v/>
      </c>
      <c r="FU19" s="19">
        <f>FU9*FR17</f>
        <v/>
      </c>
      <c r="FV19" s="19">
        <f>FV9*FS17</f>
        <v/>
      </c>
      <c r="FW19" s="19">
        <f>FW9*FT17</f>
        <v/>
      </c>
      <c r="FX19" s="19">
        <f>FX9*FU17</f>
        <v/>
      </c>
      <c r="FY19" s="19">
        <f>FY9*FV17</f>
        <v/>
      </c>
      <c r="FZ19" s="19">
        <f>FZ9*FW17</f>
        <v/>
      </c>
      <c r="GA19" s="19">
        <f>GA9*FX17</f>
        <v/>
      </c>
      <c r="GB19" s="19">
        <f>GB9*FY17</f>
        <v/>
      </c>
      <c r="GC19" s="19">
        <f>GC9*FZ17</f>
        <v/>
      </c>
      <c r="GD19" s="19">
        <f>GD9*GA17</f>
        <v/>
      </c>
      <c r="GE19" s="19">
        <f>GE9*GB17</f>
        <v/>
      </c>
      <c r="GF19" s="19">
        <f>GF9*GC17</f>
        <v/>
      </c>
      <c r="GG19" s="19">
        <f>GG9*GD17</f>
        <v/>
      </c>
      <c r="GH19" s="19">
        <f>GH9*GE17</f>
        <v/>
      </c>
      <c r="GI19" s="19">
        <f>GI9*GF17</f>
        <v/>
      </c>
      <c r="GJ19" s="19">
        <f>GJ9*GG17</f>
        <v/>
      </c>
      <c r="GK19" s="19">
        <f>GK9*GH17</f>
        <v/>
      </c>
      <c r="GL19" s="19">
        <f>GL9*GI17</f>
        <v/>
      </c>
      <c r="GM19" s="19">
        <f>GM9*GJ17</f>
        <v/>
      </c>
      <c r="GN19" s="19">
        <f>GN9*GK17</f>
        <v/>
      </c>
      <c r="GO19" s="19">
        <f>GO9*GL17</f>
        <v/>
      </c>
      <c r="GP19" s="19">
        <f>GP9*GM17</f>
        <v/>
      </c>
      <c r="GQ19" s="19">
        <f>GQ9*GN17</f>
        <v/>
      </c>
      <c r="GR19" s="19">
        <f>GR9*GO17</f>
        <v/>
      </c>
      <c r="GS19" s="19">
        <f>GS9*GP17</f>
        <v/>
      </c>
      <c r="GT19" s="19">
        <f>GT9*GQ17</f>
        <v/>
      </c>
      <c r="GU19" s="19">
        <f>GU9*GR17</f>
        <v/>
      </c>
      <c r="GV19" s="19">
        <f>GV9*GS17</f>
        <v/>
      </c>
      <c r="GW19" s="19">
        <f>GW9*GT17</f>
        <v/>
      </c>
      <c r="GX19" s="19">
        <f>GX9*GU17</f>
        <v/>
      </c>
      <c r="GY19" s="19">
        <f>GY9*GV17</f>
        <v/>
      </c>
      <c r="GZ19" s="19">
        <f>GZ9*GW17</f>
        <v/>
      </c>
      <c r="HA19" s="19">
        <f>HA9*GX17</f>
        <v/>
      </c>
      <c r="HB19" s="19">
        <f>HB9*GY17</f>
        <v/>
      </c>
      <c r="HC19" s="19">
        <f>HC9*GZ17</f>
        <v/>
      </c>
      <c r="HD19" s="19">
        <f>HD9*HA17</f>
        <v/>
      </c>
      <c r="HE19" s="19">
        <f>HE9*HB17</f>
        <v/>
      </c>
      <c r="HF19" s="19">
        <f>HF9*HC17</f>
        <v/>
      </c>
      <c r="HG19" s="19">
        <f>HG9*HD17</f>
        <v/>
      </c>
      <c r="HH19" s="19">
        <f>HH9*HE17</f>
        <v/>
      </c>
      <c r="HI19" s="19">
        <f>HI9*HF17</f>
        <v/>
      </c>
      <c r="HJ19" s="19">
        <f>HJ9*HG17</f>
        <v/>
      </c>
      <c r="HK19" s="19">
        <f>HK9*HH17</f>
        <v/>
      </c>
      <c r="HL19" s="19">
        <f>HL9*HI17</f>
        <v/>
      </c>
      <c r="HM19" s="19">
        <f>HM9*HJ17</f>
        <v/>
      </c>
      <c r="HN19" s="19">
        <f>HN9*HK17</f>
        <v/>
      </c>
      <c r="HO19" s="19">
        <f>HO9*HL17</f>
        <v/>
      </c>
      <c r="HP19" s="19">
        <f>HP9*HM17</f>
        <v/>
      </c>
      <c r="HQ19" s="19">
        <f>HQ9*HN17</f>
        <v/>
      </c>
      <c r="HR19" s="19">
        <f>HR9*HO17</f>
        <v/>
      </c>
      <c r="HS19" s="19">
        <f>HS9*HP17</f>
        <v/>
      </c>
      <c r="HT19" s="19">
        <f>HT9*HQ17</f>
        <v/>
      </c>
      <c r="HU19" s="19">
        <f>HU9*HR17</f>
        <v/>
      </c>
      <c r="HV19" s="19">
        <f>HV9*HS17</f>
        <v/>
      </c>
      <c r="HW19" s="19">
        <f>HW9*HT17</f>
        <v/>
      </c>
      <c r="HX19" s="19">
        <f>HX9*HU17</f>
        <v/>
      </c>
      <c r="HY19" s="19">
        <f>HY9*HV17</f>
        <v/>
      </c>
      <c r="HZ19" s="19">
        <f>HZ9*HW17</f>
        <v/>
      </c>
      <c r="IA19" s="19">
        <f>IA9*HX17</f>
        <v/>
      </c>
      <c r="IB19" s="19">
        <f>IB9*HY17</f>
        <v/>
      </c>
      <c r="IC19" s="19">
        <f>IC9*HZ17</f>
        <v/>
      </c>
      <c r="ID19" s="19">
        <f>ID9*IA17</f>
        <v/>
      </c>
      <c r="IE19" s="19">
        <f>IE9*IB17</f>
        <v/>
      </c>
      <c r="IF19" s="19">
        <f>IF9*IC17</f>
        <v/>
      </c>
      <c r="IG19" s="19">
        <f>IG9*ID17</f>
        <v/>
      </c>
      <c r="IH19" s="19">
        <f>IH9*IE17</f>
        <v/>
      </c>
      <c r="II19" s="19">
        <f>II9*IF17</f>
        <v/>
      </c>
      <c r="IJ19" s="19">
        <f>IJ9*IG17</f>
        <v/>
      </c>
      <c r="IK19" s="19">
        <f>IK9*IH17</f>
        <v/>
      </c>
      <c r="IL19" s="19">
        <f>IL9*II17</f>
        <v/>
      </c>
      <c r="IM19" s="19">
        <f>IM9*IJ17</f>
        <v/>
      </c>
      <c r="IN19" s="19">
        <f>IN9*IK17</f>
        <v/>
      </c>
      <c r="IO19" s="19">
        <f>IO9*IL17</f>
        <v/>
      </c>
      <c r="IP19" s="19">
        <f>IP9*IM17</f>
        <v/>
      </c>
      <c r="IQ19" s="19">
        <f>IQ9*IN17</f>
        <v/>
      </c>
      <c r="IR19" s="19">
        <f>IR9*IO17</f>
        <v/>
      </c>
      <c r="IS19" s="19">
        <f>IS9*IP17</f>
        <v/>
      </c>
      <c r="IT19" s="19">
        <f>IT9*IQ17</f>
        <v/>
      </c>
      <c r="IU19" s="19">
        <f>IU9*IR17</f>
        <v/>
      </c>
      <c r="IV19" s="19">
        <f>IV9*IS17</f>
        <v/>
      </c>
      <c r="IW19" s="19">
        <f>IW9*IT17</f>
        <v/>
      </c>
      <c r="IX19" s="19">
        <f>IX9*IU17</f>
        <v/>
      </c>
      <c r="IY19" s="19">
        <f>IY9*IV17</f>
        <v/>
      </c>
      <c r="IZ19" s="19">
        <f>IZ9*IW17</f>
        <v/>
      </c>
      <c r="JA19" s="19">
        <f>JA9*IX17</f>
        <v/>
      </c>
      <c r="JB19" s="19">
        <f>JB9*IY17</f>
        <v/>
      </c>
      <c r="JC19" s="19">
        <f>JC9*IZ17</f>
        <v/>
      </c>
      <c r="JD19" s="19">
        <f>JD9*JA17</f>
        <v/>
      </c>
      <c r="JE19" s="19">
        <f>JE9*JB17</f>
        <v/>
      </c>
      <c r="JF19" s="19">
        <f>JF9*JC17</f>
        <v/>
      </c>
      <c r="JG19" s="19">
        <f>JG9*JD17</f>
        <v/>
      </c>
      <c r="JH19" s="19">
        <f>JH9*JE17</f>
        <v/>
      </c>
      <c r="JI19" s="19">
        <f>JI9*JF17</f>
        <v/>
      </c>
      <c r="JJ19" s="19">
        <f>JJ9*JG17</f>
        <v/>
      </c>
      <c r="JK19" s="19">
        <f>JK9*JH17</f>
        <v/>
      </c>
      <c r="JL19" s="19">
        <f>JL9*JI17</f>
        <v/>
      </c>
      <c r="JM19" s="19">
        <f>JM9*JJ17</f>
        <v/>
      </c>
      <c r="JN19" s="19">
        <f>JN9*JK17</f>
        <v/>
      </c>
      <c r="JO19" s="19">
        <f>JO9*JL17</f>
        <v/>
      </c>
      <c r="JP19" s="19">
        <f>JP9*JM17</f>
        <v/>
      </c>
      <c r="JQ19" s="19">
        <f>JQ9*JN17</f>
        <v/>
      </c>
      <c r="JR19" s="19">
        <f>JR9*JO17</f>
        <v/>
      </c>
      <c r="JS19" s="19">
        <f>JS9*JP17</f>
        <v/>
      </c>
      <c r="JT19" s="19">
        <f>JT9*JQ17</f>
        <v/>
      </c>
      <c r="JU19" s="19">
        <f>JU9*JR17</f>
        <v/>
      </c>
      <c r="JV19" s="19">
        <f>JV9*JS17</f>
        <v/>
      </c>
      <c r="JW19" s="19">
        <f>JW9*JT17</f>
        <v/>
      </c>
      <c r="JX19" s="19">
        <f>JX9*JU17</f>
        <v/>
      </c>
      <c r="JY19" s="19">
        <f>JY9*JV17</f>
        <v/>
      </c>
      <c r="JZ19" s="19">
        <f>JZ9*JW17</f>
        <v/>
      </c>
      <c r="KA19" s="19">
        <f>KA9*JX17</f>
        <v/>
      </c>
      <c r="KB19" s="19">
        <f>KB9*JY17</f>
        <v/>
      </c>
      <c r="KC19" s="19">
        <f>KC9*JZ17</f>
        <v/>
      </c>
      <c r="KD19" s="19">
        <f>KD9*KA17</f>
        <v/>
      </c>
      <c r="KE19" s="19">
        <f>KE9*KB17</f>
        <v/>
      </c>
      <c r="KF19" s="19">
        <f>KF9*KC17</f>
        <v/>
      </c>
      <c r="KG19" s="19">
        <f>KG9*KD17</f>
        <v/>
      </c>
      <c r="KH19" s="19">
        <f>KH9*KE17</f>
        <v/>
      </c>
      <c r="KI19" s="19">
        <f>KI9*KF17</f>
        <v/>
      </c>
      <c r="KJ19" s="19">
        <f>KJ9*KG17</f>
        <v/>
      </c>
      <c r="KK19" s="19">
        <f>KK9*KH17</f>
        <v/>
      </c>
      <c r="KL19" s="19">
        <f>KL9*KI17</f>
        <v/>
      </c>
      <c r="KM19" s="19">
        <f>KM9*KJ17</f>
        <v/>
      </c>
      <c r="KN19" s="19">
        <f>KN9*KK17</f>
        <v/>
      </c>
      <c r="KO19" s="19">
        <f>KO9*KL17</f>
        <v/>
      </c>
      <c r="KP19" s="19">
        <f>KP9*KM17</f>
        <v/>
      </c>
      <c r="KQ19" s="19">
        <f>KQ9*KN17</f>
        <v/>
      </c>
      <c r="KR19" s="19">
        <f>KR9*KO17</f>
        <v/>
      </c>
      <c r="KS19" s="19">
        <f>KS9*KP17</f>
        <v/>
      </c>
      <c r="KT19" s="19">
        <f>KT9*KQ17</f>
        <v/>
      </c>
      <c r="KU19" s="19">
        <f>KU9*KR17</f>
        <v/>
      </c>
      <c r="KV19" s="19">
        <f>KV9*KS17</f>
        <v/>
      </c>
      <c r="KW19" s="19">
        <f>KW9*KT17</f>
        <v/>
      </c>
      <c r="KX19" s="19">
        <f>KX9*KU17</f>
        <v/>
      </c>
      <c r="KY19" s="19">
        <f>KY9*KV17</f>
        <v/>
      </c>
      <c r="KZ19" s="19">
        <f>KZ9*KW17</f>
        <v/>
      </c>
      <c r="LA19" s="19">
        <f>LA9*KX17</f>
        <v/>
      </c>
      <c r="LB19" s="19">
        <f>LB9*KY17</f>
        <v/>
      </c>
      <c r="LC19" s="19">
        <f>LC9*KZ17</f>
        <v/>
      </c>
      <c r="LD19" s="19">
        <f>LD9*LA17</f>
        <v/>
      </c>
      <c r="LE19" s="19">
        <f>LE9*LB17</f>
        <v/>
      </c>
      <c r="LF19" s="19">
        <f>LF9*LC17</f>
        <v/>
      </c>
      <c r="LG19" s="19">
        <f>LG9*LD17</f>
        <v/>
      </c>
      <c r="LH19" s="19">
        <f>LH9*LE17</f>
        <v/>
      </c>
      <c r="LI19" s="19">
        <f>LI9*LF17</f>
        <v/>
      </c>
    </row>
    <row r="20">
      <c r="B20" s="21" t="inlineStr">
        <is>
          <t>Variable a cobrar</t>
        </is>
      </c>
      <c r="D20" s="19" t="n">
        <v>0</v>
      </c>
      <c r="E20" s="19" t="n">
        <v>0</v>
      </c>
      <c r="F20" s="19" t="n">
        <v>0</v>
      </c>
      <c r="G20" s="19">
        <f>G9*D18</f>
        <v/>
      </c>
      <c r="H20" s="19">
        <f>H9*E18</f>
        <v/>
      </c>
      <c r="I20" s="19">
        <f>I9*F18</f>
        <v/>
      </c>
      <c r="J20" s="19">
        <f>J9*G18</f>
        <v/>
      </c>
      <c r="K20" s="19">
        <f>K9*H18</f>
        <v/>
      </c>
      <c r="L20" s="19">
        <f>L9*I18</f>
        <v/>
      </c>
      <c r="M20" s="19">
        <f>M9*J18</f>
        <v/>
      </c>
      <c r="N20" s="19">
        <f>N9*K18</f>
        <v/>
      </c>
      <c r="O20" s="19">
        <f>O9*L18</f>
        <v/>
      </c>
      <c r="P20" s="19">
        <f>P9*M18</f>
        <v/>
      </c>
      <c r="Q20" s="19">
        <f>Q9*N18</f>
        <v/>
      </c>
      <c r="R20" s="19">
        <f>R9*O18</f>
        <v/>
      </c>
      <c r="S20" s="19">
        <f>S9*P18</f>
        <v/>
      </c>
      <c r="T20" s="19">
        <f>T9*Q18</f>
        <v/>
      </c>
      <c r="U20" s="19">
        <f>U9*R18</f>
        <v/>
      </c>
      <c r="V20" s="19">
        <f>V9*S18</f>
        <v/>
      </c>
      <c r="W20" s="19">
        <f>W9*T18</f>
        <v/>
      </c>
      <c r="X20" s="19">
        <f>X9*U18</f>
        <v/>
      </c>
      <c r="Y20" s="19">
        <f>Y9*V18</f>
        <v/>
      </c>
      <c r="Z20" s="19">
        <f>Z9*W18</f>
        <v/>
      </c>
      <c r="AA20" s="19">
        <f>AA9*X18</f>
        <v/>
      </c>
      <c r="AB20" s="19">
        <f>AB9*Y18</f>
        <v/>
      </c>
      <c r="AC20" s="19">
        <f>AC9*Z18</f>
        <v/>
      </c>
      <c r="AD20" s="19">
        <f>AD9*AA18</f>
        <v/>
      </c>
      <c r="AE20" s="19">
        <f>AE9*AB18</f>
        <v/>
      </c>
      <c r="AF20" s="19">
        <f>AF9*AC18</f>
        <v/>
      </c>
      <c r="AG20" s="19">
        <f>AG9*AD18</f>
        <v/>
      </c>
      <c r="AH20" s="19">
        <f>AH9*AE18</f>
        <v/>
      </c>
      <c r="AI20" s="19">
        <f>AI9*AF18</f>
        <v/>
      </c>
      <c r="AJ20" s="19">
        <f>AJ9*AG18</f>
        <v/>
      </c>
      <c r="AK20" s="19">
        <f>AK9*AH18</f>
        <v/>
      </c>
      <c r="AL20" s="19">
        <f>AL9*AI18</f>
        <v/>
      </c>
      <c r="AM20" s="19">
        <f>AM9*AJ18</f>
        <v/>
      </c>
      <c r="AN20" s="19">
        <f>AN9*AK18</f>
        <v/>
      </c>
      <c r="AO20" s="19">
        <f>AO9*AL18</f>
        <v/>
      </c>
      <c r="AP20" s="19">
        <f>AP9*AM18</f>
        <v/>
      </c>
      <c r="AQ20" s="19">
        <f>AQ9*AN18</f>
        <v/>
      </c>
      <c r="AR20" s="19">
        <f>AR9*AO18</f>
        <v/>
      </c>
      <c r="AS20" s="19">
        <f>AS9*AP18</f>
        <v/>
      </c>
      <c r="AT20" s="19">
        <f>AT9*AQ18</f>
        <v/>
      </c>
      <c r="AU20" s="19">
        <f>AU9*AR18</f>
        <v/>
      </c>
      <c r="AV20" s="19">
        <f>AV9*AS18</f>
        <v/>
      </c>
      <c r="AW20" s="19">
        <f>AW9*AT18</f>
        <v/>
      </c>
      <c r="AX20" s="19">
        <f>AX9*AU18</f>
        <v/>
      </c>
      <c r="AY20" s="19">
        <f>AY9*AV18</f>
        <v/>
      </c>
      <c r="AZ20" s="19">
        <f>AZ9*AW18</f>
        <v/>
      </c>
      <c r="BA20" s="19">
        <f>BA9*AX18</f>
        <v/>
      </c>
      <c r="BB20" s="19">
        <f>BB9*AY18</f>
        <v/>
      </c>
      <c r="BC20" s="19">
        <f>BC9*AZ18</f>
        <v/>
      </c>
      <c r="BD20" s="19">
        <f>BD9*BA18</f>
        <v/>
      </c>
      <c r="BE20" s="19">
        <f>BE9*BB18</f>
        <v/>
      </c>
      <c r="BF20" s="19">
        <f>BF9*BC18</f>
        <v/>
      </c>
      <c r="BG20" s="19">
        <f>BG9*BD18</f>
        <v/>
      </c>
      <c r="BH20" s="19">
        <f>BH9*BE18</f>
        <v/>
      </c>
      <c r="BI20" s="19">
        <f>BI9*BF18</f>
        <v/>
      </c>
      <c r="BJ20" s="19">
        <f>BJ9*BG18</f>
        <v/>
      </c>
      <c r="BK20" s="19">
        <f>BK9*BH18</f>
        <v/>
      </c>
      <c r="BL20" s="19">
        <f>BL9*BI18</f>
        <v/>
      </c>
      <c r="BM20" s="19">
        <f>BM9*BJ18</f>
        <v/>
      </c>
      <c r="BN20" s="19">
        <f>BN9*BK18</f>
        <v/>
      </c>
      <c r="BO20" s="19">
        <f>BO9*BL18</f>
        <v/>
      </c>
      <c r="BP20" s="19">
        <f>BP9*BM18</f>
        <v/>
      </c>
      <c r="BQ20" s="19">
        <f>BQ9*BN18</f>
        <v/>
      </c>
      <c r="BR20" s="19">
        <f>BR9*BO18</f>
        <v/>
      </c>
      <c r="BS20" s="19">
        <f>BS9*BP18</f>
        <v/>
      </c>
      <c r="BT20" s="19">
        <f>BT9*BQ18</f>
        <v/>
      </c>
      <c r="BU20" s="19">
        <f>BU9*BR18</f>
        <v/>
      </c>
      <c r="BV20" s="19">
        <f>BV9*BS18</f>
        <v/>
      </c>
      <c r="BW20" s="19">
        <f>BW9*BT18</f>
        <v/>
      </c>
      <c r="BX20" s="19">
        <f>BX9*BU18</f>
        <v/>
      </c>
      <c r="BY20" s="19">
        <f>BY9*BV18</f>
        <v/>
      </c>
      <c r="BZ20" s="19">
        <f>BZ9*BW18</f>
        <v/>
      </c>
      <c r="CA20" s="19">
        <f>CA9*BX18</f>
        <v/>
      </c>
      <c r="CB20" s="19">
        <f>CB9*BY18</f>
        <v/>
      </c>
      <c r="CC20" s="19">
        <f>CC9*BZ18</f>
        <v/>
      </c>
      <c r="CD20" s="19">
        <f>CD9*CA18</f>
        <v/>
      </c>
      <c r="CE20" s="19">
        <f>CE9*CB18</f>
        <v/>
      </c>
      <c r="CF20" s="19">
        <f>CF9*CC18</f>
        <v/>
      </c>
      <c r="CG20" s="19">
        <f>CG9*CD18</f>
        <v/>
      </c>
      <c r="CH20" s="19">
        <f>CH9*CE18</f>
        <v/>
      </c>
      <c r="CI20" s="19">
        <f>CI9*CF18</f>
        <v/>
      </c>
      <c r="CJ20" s="19">
        <f>CJ9*CG18</f>
        <v/>
      </c>
      <c r="CK20" s="19">
        <f>CK9*CH18</f>
        <v/>
      </c>
      <c r="CL20" s="19">
        <f>CL9*CI18</f>
        <v/>
      </c>
      <c r="CM20" s="19">
        <f>CM9*CJ18</f>
        <v/>
      </c>
      <c r="CN20" s="19">
        <f>CN9*CK18</f>
        <v/>
      </c>
      <c r="CO20" s="19">
        <f>CO9*CL18</f>
        <v/>
      </c>
      <c r="CP20" s="19">
        <f>CP9*CM18</f>
        <v/>
      </c>
      <c r="CQ20" s="19">
        <f>CQ9*CN18</f>
        <v/>
      </c>
      <c r="CR20" s="19">
        <f>CR9*CO18</f>
        <v/>
      </c>
      <c r="CS20" s="19">
        <f>CS9*CP18</f>
        <v/>
      </c>
      <c r="CT20" s="19">
        <f>CT9*CQ18</f>
        <v/>
      </c>
      <c r="CU20" s="19">
        <f>CU9*CR18</f>
        <v/>
      </c>
      <c r="CV20" s="19">
        <f>CV9*CS18</f>
        <v/>
      </c>
      <c r="CW20" s="19">
        <f>CW9*CT18</f>
        <v/>
      </c>
      <c r="CX20" s="19">
        <f>CX9*CU18</f>
        <v/>
      </c>
      <c r="CY20" s="19">
        <f>CY9*CV18</f>
        <v/>
      </c>
      <c r="CZ20" s="19">
        <f>CZ9*CW18</f>
        <v/>
      </c>
      <c r="DA20" s="19">
        <f>DA9*CX18</f>
        <v/>
      </c>
      <c r="DB20" s="19">
        <f>DB9*CY18</f>
        <v/>
      </c>
      <c r="DC20" s="19">
        <f>DC9*CZ18</f>
        <v/>
      </c>
      <c r="DD20" s="19">
        <f>DD9*DA18</f>
        <v/>
      </c>
      <c r="DE20" s="19">
        <f>DE9*DB18</f>
        <v/>
      </c>
      <c r="DF20" s="19">
        <f>DF9*DC18</f>
        <v/>
      </c>
      <c r="DG20" s="19">
        <f>DG9*DD18</f>
        <v/>
      </c>
      <c r="DH20" s="19">
        <f>DH9*DE18</f>
        <v/>
      </c>
      <c r="DI20" s="19">
        <f>DI9*DF18</f>
        <v/>
      </c>
      <c r="DJ20" s="19">
        <f>DJ9*DG18</f>
        <v/>
      </c>
      <c r="DK20" s="19">
        <f>DK9*DH18</f>
        <v/>
      </c>
      <c r="DL20" s="19">
        <f>DL9*DI18</f>
        <v/>
      </c>
      <c r="DM20" s="19">
        <f>DM9*DJ18</f>
        <v/>
      </c>
      <c r="DN20" s="19">
        <f>DN9*DK18</f>
        <v/>
      </c>
      <c r="DO20" s="19">
        <f>DO9*DL18</f>
        <v/>
      </c>
      <c r="DP20" s="19">
        <f>DP9*DM18</f>
        <v/>
      </c>
      <c r="DQ20" s="19">
        <f>DQ9*DN18</f>
        <v/>
      </c>
      <c r="DR20" s="19">
        <f>DR9*DO18</f>
        <v/>
      </c>
      <c r="DS20" s="19">
        <f>DS9*DP18</f>
        <v/>
      </c>
      <c r="DT20" s="19">
        <f>DT9*DQ18</f>
        <v/>
      </c>
      <c r="DU20" s="19">
        <f>DU9*DR18</f>
        <v/>
      </c>
      <c r="DV20" s="19">
        <f>DV9*DS18</f>
        <v/>
      </c>
      <c r="DW20" s="19">
        <f>DW9*DT18</f>
        <v/>
      </c>
      <c r="DX20" s="19">
        <f>DX9*DU18</f>
        <v/>
      </c>
      <c r="DY20" s="19">
        <f>DY9*DV18</f>
        <v/>
      </c>
      <c r="DZ20" s="19">
        <f>DZ9*DW18</f>
        <v/>
      </c>
      <c r="EA20" s="19">
        <f>EA9*DX18</f>
        <v/>
      </c>
      <c r="EB20" s="19">
        <f>EB9*DY18</f>
        <v/>
      </c>
      <c r="EC20" s="19">
        <f>EC9*DZ18</f>
        <v/>
      </c>
      <c r="ED20" s="19">
        <f>ED9*EA18</f>
        <v/>
      </c>
      <c r="EE20" s="19">
        <f>EE9*EB18</f>
        <v/>
      </c>
      <c r="EF20" s="19">
        <f>EF9*EC18</f>
        <v/>
      </c>
      <c r="EG20" s="19">
        <f>EG9*ED18</f>
        <v/>
      </c>
      <c r="EH20" s="19">
        <f>EH9*EE18</f>
        <v/>
      </c>
      <c r="EI20" s="19">
        <f>EI9*EF18</f>
        <v/>
      </c>
      <c r="EJ20" s="19">
        <f>EJ9*EG18</f>
        <v/>
      </c>
      <c r="EK20" s="19">
        <f>EK9*EH18</f>
        <v/>
      </c>
      <c r="EL20" s="19">
        <f>EL9*EI18</f>
        <v/>
      </c>
      <c r="EM20" s="19">
        <f>EM9*EJ18</f>
        <v/>
      </c>
      <c r="EN20" s="19">
        <f>EN9*EK18</f>
        <v/>
      </c>
      <c r="EO20" s="19">
        <f>EO9*EL18</f>
        <v/>
      </c>
      <c r="EP20" s="19">
        <f>EP9*EM18</f>
        <v/>
      </c>
      <c r="EQ20" s="19">
        <f>EQ9*EN18</f>
        <v/>
      </c>
      <c r="ER20" s="19">
        <f>ER9*EO18</f>
        <v/>
      </c>
      <c r="ES20" s="19">
        <f>ES9*EP18</f>
        <v/>
      </c>
      <c r="ET20" s="19">
        <f>ET9*EQ18</f>
        <v/>
      </c>
      <c r="EU20" s="19">
        <f>EU9*ER18</f>
        <v/>
      </c>
      <c r="EV20" s="19">
        <f>EV9*ES18</f>
        <v/>
      </c>
      <c r="EW20" s="19">
        <f>EW9*ET18</f>
        <v/>
      </c>
      <c r="EX20" s="19">
        <f>EX9*EU18</f>
        <v/>
      </c>
      <c r="EY20" s="19">
        <f>EY9*EV18</f>
        <v/>
      </c>
      <c r="EZ20" s="19">
        <f>EZ9*EW18</f>
        <v/>
      </c>
      <c r="FA20" s="19">
        <f>FA9*EX18</f>
        <v/>
      </c>
      <c r="FB20" s="19">
        <f>FB9*EY18</f>
        <v/>
      </c>
      <c r="FC20" s="19">
        <f>FC9*EZ18</f>
        <v/>
      </c>
      <c r="FD20" s="19">
        <f>FD9*FA18</f>
        <v/>
      </c>
      <c r="FE20" s="19">
        <f>FE9*FB18</f>
        <v/>
      </c>
      <c r="FF20" s="19">
        <f>FF9*FC18</f>
        <v/>
      </c>
      <c r="FG20" s="19">
        <f>FG9*FD18</f>
        <v/>
      </c>
      <c r="FH20" s="19">
        <f>FH9*FE18</f>
        <v/>
      </c>
      <c r="FI20" s="19">
        <f>FI9*FF18</f>
        <v/>
      </c>
      <c r="FJ20" s="19">
        <f>FJ9*FG18</f>
        <v/>
      </c>
      <c r="FK20" s="19">
        <f>FK9*FH18</f>
        <v/>
      </c>
      <c r="FL20" s="19">
        <f>FL9*FI18</f>
        <v/>
      </c>
      <c r="FM20" s="19">
        <f>FM9*FJ18</f>
        <v/>
      </c>
      <c r="FN20" s="19">
        <f>FN9*FK18</f>
        <v/>
      </c>
      <c r="FO20" s="19">
        <f>FO9*FL18</f>
        <v/>
      </c>
      <c r="FP20" s="19">
        <f>FP9*FM18</f>
        <v/>
      </c>
      <c r="FQ20" s="19">
        <f>FQ9*FN18</f>
        <v/>
      </c>
      <c r="FR20" s="19">
        <f>FR9*FO18</f>
        <v/>
      </c>
      <c r="FS20" s="19">
        <f>FS9*FP18</f>
        <v/>
      </c>
      <c r="FT20" s="19">
        <f>FT9*FQ18</f>
        <v/>
      </c>
      <c r="FU20" s="19">
        <f>FU9*FR18</f>
        <v/>
      </c>
      <c r="FV20" s="19">
        <f>FV9*FS18</f>
        <v/>
      </c>
      <c r="FW20" s="19">
        <f>FW9*FT18</f>
        <v/>
      </c>
      <c r="FX20" s="19">
        <f>FX9*FU18</f>
        <v/>
      </c>
      <c r="FY20" s="19">
        <f>FY9*FV18</f>
        <v/>
      </c>
      <c r="FZ20" s="19">
        <f>FZ9*FW18</f>
        <v/>
      </c>
      <c r="GA20" s="19">
        <f>GA9*FX18</f>
        <v/>
      </c>
      <c r="GB20" s="19">
        <f>GB9*FY18</f>
        <v/>
      </c>
      <c r="GC20" s="19">
        <f>GC9*FZ18</f>
        <v/>
      </c>
      <c r="GD20" s="19">
        <f>GD9*GA18</f>
        <v/>
      </c>
      <c r="GE20" s="19">
        <f>GE9*GB18</f>
        <v/>
      </c>
      <c r="GF20" s="19">
        <f>GF9*GC18</f>
        <v/>
      </c>
      <c r="GG20" s="19">
        <f>GG9*GD18</f>
        <v/>
      </c>
      <c r="GH20" s="19">
        <f>GH9*GE18</f>
        <v/>
      </c>
      <c r="GI20" s="19">
        <f>GI9*GF18</f>
        <v/>
      </c>
      <c r="GJ20" s="19">
        <f>GJ9*GG18</f>
        <v/>
      </c>
      <c r="GK20" s="19">
        <f>GK9*GH18</f>
        <v/>
      </c>
      <c r="GL20" s="19">
        <f>GL9*GI18</f>
        <v/>
      </c>
      <c r="GM20" s="19">
        <f>GM9*GJ18</f>
        <v/>
      </c>
      <c r="GN20" s="19">
        <f>GN9*GK18</f>
        <v/>
      </c>
      <c r="GO20" s="19">
        <f>GO9*GL18</f>
        <v/>
      </c>
      <c r="GP20" s="19">
        <f>GP9*GM18</f>
        <v/>
      </c>
      <c r="GQ20" s="19">
        <f>GQ9*GN18</f>
        <v/>
      </c>
      <c r="GR20" s="19">
        <f>GR9*GO18</f>
        <v/>
      </c>
      <c r="GS20" s="19">
        <f>GS9*GP18</f>
        <v/>
      </c>
      <c r="GT20" s="19">
        <f>GT9*GQ18</f>
        <v/>
      </c>
      <c r="GU20" s="19">
        <f>GU9*GR18</f>
        <v/>
      </c>
      <c r="GV20" s="19">
        <f>GV9*GS18</f>
        <v/>
      </c>
      <c r="GW20" s="19">
        <f>GW9*GT18</f>
        <v/>
      </c>
      <c r="GX20" s="19">
        <f>GX9*GU18</f>
        <v/>
      </c>
      <c r="GY20" s="19">
        <f>GY9*GV18</f>
        <v/>
      </c>
      <c r="GZ20" s="19">
        <f>GZ9*GW18</f>
        <v/>
      </c>
      <c r="HA20" s="19">
        <f>HA9*GX18</f>
        <v/>
      </c>
      <c r="HB20" s="19">
        <f>HB9*GY18</f>
        <v/>
      </c>
      <c r="HC20" s="19">
        <f>HC9*GZ18</f>
        <v/>
      </c>
      <c r="HD20" s="19">
        <f>HD9*HA18</f>
        <v/>
      </c>
      <c r="HE20" s="19">
        <f>HE9*HB18</f>
        <v/>
      </c>
      <c r="HF20" s="19">
        <f>HF9*HC18</f>
        <v/>
      </c>
      <c r="HG20" s="19">
        <f>HG9*HD18</f>
        <v/>
      </c>
      <c r="HH20" s="19">
        <f>HH9*HE18</f>
        <v/>
      </c>
      <c r="HI20" s="19">
        <f>HI9*HF18</f>
        <v/>
      </c>
      <c r="HJ20" s="19">
        <f>HJ9*HG18</f>
        <v/>
      </c>
      <c r="HK20" s="19">
        <f>HK9*HH18</f>
        <v/>
      </c>
      <c r="HL20" s="19">
        <f>HL9*HI18</f>
        <v/>
      </c>
      <c r="HM20" s="19">
        <f>HM9*HJ18</f>
        <v/>
      </c>
      <c r="HN20" s="19">
        <f>HN9*HK18</f>
        <v/>
      </c>
      <c r="HO20" s="19">
        <f>HO9*HL18</f>
        <v/>
      </c>
      <c r="HP20" s="19">
        <f>HP9*HM18</f>
        <v/>
      </c>
      <c r="HQ20" s="19">
        <f>HQ9*HN18</f>
        <v/>
      </c>
      <c r="HR20" s="19">
        <f>HR9*HO18</f>
        <v/>
      </c>
      <c r="HS20" s="19">
        <f>HS9*HP18</f>
        <v/>
      </c>
      <c r="HT20" s="19">
        <f>HT9*HQ18</f>
        <v/>
      </c>
      <c r="HU20" s="19">
        <f>HU9*HR18</f>
        <v/>
      </c>
      <c r="HV20" s="19">
        <f>HV9*HS18</f>
        <v/>
      </c>
      <c r="HW20" s="19">
        <f>HW9*HT18</f>
        <v/>
      </c>
      <c r="HX20" s="19">
        <f>HX9*HU18</f>
        <v/>
      </c>
      <c r="HY20" s="19">
        <f>HY9*HV18</f>
        <v/>
      </c>
      <c r="HZ20" s="19">
        <f>HZ9*HW18</f>
        <v/>
      </c>
      <c r="IA20" s="19">
        <f>IA9*HX18</f>
        <v/>
      </c>
      <c r="IB20" s="19">
        <f>IB9*HY18</f>
        <v/>
      </c>
      <c r="IC20" s="19">
        <f>IC9*HZ18</f>
        <v/>
      </c>
      <c r="ID20" s="19">
        <f>ID9*IA18</f>
        <v/>
      </c>
      <c r="IE20" s="19">
        <f>IE9*IB18</f>
        <v/>
      </c>
      <c r="IF20" s="19">
        <f>IF9*IC18</f>
        <v/>
      </c>
      <c r="IG20" s="19">
        <f>IG9*ID18</f>
        <v/>
      </c>
      <c r="IH20" s="19">
        <f>IH9*IE18</f>
        <v/>
      </c>
      <c r="II20" s="19">
        <f>II9*IF18</f>
        <v/>
      </c>
      <c r="IJ20" s="19">
        <f>IJ9*IG18</f>
        <v/>
      </c>
      <c r="IK20" s="19">
        <f>IK9*IH18</f>
        <v/>
      </c>
      <c r="IL20" s="19">
        <f>IL9*II18</f>
        <v/>
      </c>
      <c r="IM20" s="19">
        <f>IM9*IJ18</f>
        <v/>
      </c>
      <c r="IN20" s="19">
        <f>IN9*IK18</f>
        <v/>
      </c>
      <c r="IO20" s="19">
        <f>IO9*IL18</f>
        <v/>
      </c>
      <c r="IP20" s="19">
        <f>IP9*IM18</f>
        <v/>
      </c>
      <c r="IQ20" s="19">
        <f>IQ9*IN18</f>
        <v/>
      </c>
      <c r="IR20" s="19">
        <f>IR9*IO18</f>
        <v/>
      </c>
      <c r="IS20" s="19">
        <f>IS9*IP18</f>
        <v/>
      </c>
      <c r="IT20" s="19">
        <f>IT9*IQ18</f>
        <v/>
      </c>
      <c r="IU20" s="19">
        <f>IU9*IR18</f>
        <v/>
      </c>
      <c r="IV20" s="19">
        <f>IV9*IS18</f>
        <v/>
      </c>
      <c r="IW20" s="19">
        <f>IW9*IT18</f>
        <v/>
      </c>
      <c r="IX20" s="19">
        <f>IX9*IU18</f>
        <v/>
      </c>
      <c r="IY20" s="19">
        <f>IY9*IV18</f>
        <v/>
      </c>
      <c r="IZ20" s="19">
        <f>IZ9*IW18</f>
        <v/>
      </c>
      <c r="JA20" s="19">
        <f>JA9*IX18</f>
        <v/>
      </c>
      <c r="JB20" s="19">
        <f>JB9*IY18</f>
        <v/>
      </c>
      <c r="JC20" s="19">
        <f>JC9*IZ18</f>
        <v/>
      </c>
      <c r="JD20" s="19">
        <f>JD9*JA18</f>
        <v/>
      </c>
      <c r="JE20" s="19">
        <f>JE9*JB18</f>
        <v/>
      </c>
      <c r="JF20" s="19">
        <f>JF9*JC18</f>
        <v/>
      </c>
      <c r="JG20" s="19">
        <f>JG9*JD18</f>
        <v/>
      </c>
      <c r="JH20" s="19">
        <f>JH9*JE18</f>
        <v/>
      </c>
      <c r="JI20" s="19">
        <f>JI9*JF18</f>
        <v/>
      </c>
      <c r="JJ20" s="19">
        <f>JJ9*JG18</f>
        <v/>
      </c>
      <c r="JK20" s="19">
        <f>JK9*JH18</f>
        <v/>
      </c>
      <c r="JL20" s="19">
        <f>JL9*JI18</f>
        <v/>
      </c>
      <c r="JM20" s="19">
        <f>JM9*JJ18</f>
        <v/>
      </c>
      <c r="JN20" s="19">
        <f>JN9*JK18</f>
        <v/>
      </c>
      <c r="JO20" s="19">
        <f>JO9*JL18</f>
        <v/>
      </c>
      <c r="JP20" s="19">
        <f>JP9*JM18</f>
        <v/>
      </c>
      <c r="JQ20" s="19">
        <f>JQ9*JN18</f>
        <v/>
      </c>
      <c r="JR20" s="19">
        <f>JR9*JO18</f>
        <v/>
      </c>
      <c r="JS20" s="19">
        <f>JS9*JP18</f>
        <v/>
      </c>
      <c r="JT20" s="19">
        <f>JT9*JQ18</f>
        <v/>
      </c>
      <c r="JU20" s="19">
        <f>JU9*JR18</f>
        <v/>
      </c>
      <c r="JV20" s="19">
        <f>JV9*JS18</f>
        <v/>
      </c>
      <c r="JW20" s="19">
        <f>JW9*JT18</f>
        <v/>
      </c>
      <c r="JX20" s="19">
        <f>JX9*JU18</f>
        <v/>
      </c>
      <c r="JY20" s="19">
        <f>JY9*JV18</f>
        <v/>
      </c>
      <c r="JZ20" s="19">
        <f>JZ9*JW18</f>
        <v/>
      </c>
      <c r="KA20" s="19">
        <f>KA9*JX18</f>
        <v/>
      </c>
      <c r="KB20" s="19">
        <f>KB9*JY18</f>
        <v/>
      </c>
      <c r="KC20" s="19">
        <f>KC9*JZ18</f>
        <v/>
      </c>
      <c r="KD20" s="19">
        <f>KD9*KA18</f>
        <v/>
      </c>
      <c r="KE20" s="19">
        <f>KE9*KB18</f>
        <v/>
      </c>
      <c r="KF20" s="19">
        <f>KF9*KC18</f>
        <v/>
      </c>
      <c r="KG20" s="19">
        <f>KG9*KD18</f>
        <v/>
      </c>
      <c r="KH20" s="19">
        <f>KH9*KE18</f>
        <v/>
      </c>
      <c r="KI20" s="19">
        <f>KI9*KF18</f>
        <v/>
      </c>
      <c r="KJ20" s="19">
        <f>KJ9*KG18</f>
        <v/>
      </c>
      <c r="KK20" s="19">
        <f>KK9*KH18</f>
        <v/>
      </c>
      <c r="KL20" s="19">
        <f>KL9*KI18</f>
        <v/>
      </c>
      <c r="KM20" s="19">
        <f>KM9*KJ18</f>
        <v/>
      </c>
      <c r="KN20" s="19">
        <f>KN9*KK18</f>
        <v/>
      </c>
      <c r="KO20" s="19">
        <f>KO9*KL18</f>
        <v/>
      </c>
      <c r="KP20" s="19">
        <f>KP9*KM18</f>
        <v/>
      </c>
      <c r="KQ20" s="19">
        <f>KQ9*KN18</f>
        <v/>
      </c>
      <c r="KR20" s="19">
        <f>KR9*KO18</f>
        <v/>
      </c>
      <c r="KS20" s="19">
        <f>KS9*KP18</f>
        <v/>
      </c>
      <c r="KT20" s="19">
        <f>KT9*KQ18</f>
        <v/>
      </c>
      <c r="KU20" s="19">
        <f>KU9*KR18</f>
        <v/>
      </c>
      <c r="KV20" s="19">
        <f>KV9*KS18</f>
        <v/>
      </c>
      <c r="KW20" s="19">
        <f>KW9*KT18</f>
        <v/>
      </c>
      <c r="KX20" s="19">
        <f>KX9*KU18</f>
        <v/>
      </c>
      <c r="KY20" s="19">
        <f>KY9*KV18</f>
        <v/>
      </c>
      <c r="KZ20" s="19">
        <f>KZ9*KW18</f>
        <v/>
      </c>
      <c r="LA20" s="19">
        <f>LA9*KX18</f>
        <v/>
      </c>
      <c r="LB20" s="19">
        <f>LB9*KY18</f>
        <v/>
      </c>
      <c r="LC20" s="19">
        <f>LC9*KZ18</f>
        <v/>
      </c>
      <c r="LD20" s="19">
        <f>LD9*LA18</f>
        <v/>
      </c>
      <c r="LE20" s="19">
        <f>LE9*LB18</f>
        <v/>
      </c>
      <c r="LF20" s="19">
        <f>LF9*LC18</f>
        <v/>
      </c>
      <c r="LG20" s="19">
        <f>LG9*LD18</f>
        <v/>
      </c>
      <c r="LH20" s="19">
        <f>LH9*LE18</f>
        <v/>
      </c>
      <c r="LI20" s="19">
        <f>LI9*LF18</f>
        <v/>
      </c>
    </row>
    <row r="21">
      <c r="B21" s="17" t="inlineStr">
        <is>
          <t>Primer mes de operacion</t>
        </is>
      </c>
      <c r="D21" s="18">
        <f>IF(AND(D7=1,0=0),1,0)</f>
        <v/>
      </c>
      <c r="E21" s="18">
        <f>IF(AND(E7=1,SUM($D7:D7)=0),1,0)</f>
        <v/>
      </c>
      <c r="F21" s="18">
        <f>IF(AND(F7=1,SUM($D7:E7)=0),1,0)</f>
        <v/>
      </c>
      <c r="G21" s="18">
        <f>IF(AND(G7=1,SUM($D7:F7)=0),1,0)</f>
        <v/>
      </c>
      <c r="H21" s="18">
        <f>IF(AND(H7=1,SUM($D7:G7)=0),1,0)</f>
        <v/>
      </c>
      <c r="I21" s="18">
        <f>IF(AND(I7=1,SUM($D7:H7)=0),1,0)</f>
        <v/>
      </c>
      <c r="J21" s="18">
        <f>IF(AND(J7=1,SUM($D7:I7)=0),1,0)</f>
        <v/>
      </c>
      <c r="K21" s="18">
        <f>IF(AND(K7=1,SUM($D7:J7)=0),1,0)</f>
        <v/>
      </c>
      <c r="L21" s="18">
        <f>IF(AND(L7=1,SUM($D7:K7)=0),1,0)</f>
        <v/>
      </c>
      <c r="M21" s="18">
        <f>IF(AND(M7=1,SUM($D7:L7)=0),1,0)</f>
        <v/>
      </c>
      <c r="N21" s="18">
        <f>IF(AND(N7=1,SUM($D7:M7)=0),1,0)</f>
        <v/>
      </c>
      <c r="O21" s="18">
        <f>IF(AND(O7=1,SUM($D7:N7)=0),1,0)</f>
        <v/>
      </c>
      <c r="P21" s="18">
        <f>IF(AND(P7=1,SUM($D7:O7)=0),1,0)</f>
        <v/>
      </c>
      <c r="Q21" s="18">
        <f>IF(AND(Q7=1,SUM($D7:P7)=0),1,0)</f>
        <v/>
      </c>
      <c r="R21" s="18">
        <f>IF(AND(R7=1,SUM($D7:Q7)=0),1,0)</f>
        <v/>
      </c>
      <c r="S21" s="18">
        <f>IF(AND(S7=1,SUM($D7:R7)=0),1,0)</f>
        <v/>
      </c>
      <c r="T21" s="18">
        <f>IF(AND(T7=1,SUM($D7:S7)=0),1,0)</f>
        <v/>
      </c>
      <c r="U21" s="18">
        <f>IF(AND(U7=1,SUM($D7:T7)=0),1,0)</f>
        <v/>
      </c>
      <c r="V21" s="18">
        <f>IF(AND(V7=1,SUM($D7:U7)=0),1,0)</f>
        <v/>
      </c>
      <c r="W21" s="18">
        <f>IF(AND(W7=1,SUM($D7:V7)=0),1,0)</f>
        <v/>
      </c>
      <c r="X21" s="18">
        <f>IF(AND(X7=1,SUM($D7:W7)=0),1,0)</f>
        <v/>
      </c>
      <c r="Y21" s="18">
        <f>IF(AND(Y7=1,SUM($D7:X7)=0),1,0)</f>
        <v/>
      </c>
      <c r="Z21" s="18">
        <f>IF(AND(Z7=1,SUM($D7:Y7)=0),1,0)</f>
        <v/>
      </c>
      <c r="AA21" s="18">
        <f>IF(AND(AA7=1,SUM($D7:Z7)=0),1,0)</f>
        <v/>
      </c>
      <c r="AB21" s="18">
        <f>IF(AND(AB7=1,SUM($D7:AA7)=0),1,0)</f>
        <v/>
      </c>
      <c r="AC21" s="18">
        <f>IF(AND(AC7=1,SUM($D7:AB7)=0),1,0)</f>
        <v/>
      </c>
      <c r="AD21" s="18">
        <f>IF(AND(AD7=1,SUM($D7:AC7)=0),1,0)</f>
        <v/>
      </c>
      <c r="AE21" s="18">
        <f>IF(AND(AE7=1,SUM($D7:AD7)=0),1,0)</f>
        <v/>
      </c>
      <c r="AF21" s="18">
        <f>IF(AND(AF7=1,SUM($D7:AE7)=0),1,0)</f>
        <v/>
      </c>
      <c r="AG21" s="18">
        <f>IF(AND(AG7=1,SUM($D7:AF7)=0),1,0)</f>
        <v/>
      </c>
      <c r="AH21" s="18">
        <f>IF(AND(AH7=1,SUM($D7:AG7)=0),1,0)</f>
        <v/>
      </c>
      <c r="AI21" s="18">
        <f>IF(AND(AI7=1,SUM($D7:AH7)=0),1,0)</f>
        <v/>
      </c>
      <c r="AJ21" s="18">
        <f>IF(AND(AJ7=1,SUM($D7:AI7)=0),1,0)</f>
        <v/>
      </c>
      <c r="AK21" s="18">
        <f>IF(AND(AK7=1,SUM($D7:AJ7)=0),1,0)</f>
        <v/>
      </c>
      <c r="AL21" s="18">
        <f>IF(AND(AL7=1,SUM($D7:AK7)=0),1,0)</f>
        <v/>
      </c>
      <c r="AM21" s="18">
        <f>IF(AND(AM7=1,SUM($D7:AL7)=0),1,0)</f>
        <v/>
      </c>
      <c r="AN21" s="18">
        <f>IF(AND(AN7=1,SUM($D7:AM7)=0),1,0)</f>
        <v/>
      </c>
      <c r="AO21" s="18">
        <f>IF(AND(AO7=1,SUM($D7:AN7)=0),1,0)</f>
        <v/>
      </c>
      <c r="AP21" s="18">
        <f>IF(AND(AP7=1,SUM($D7:AO7)=0),1,0)</f>
        <v/>
      </c>
      <c r="AQ21" s="18">
        <f>IF(AND(AQ7=1,SUM($D7:AP7)=0),1,0)</f>
        <v/>
      </c>
      <c r="AR21" s="18">
        <f>IF(AND(AR7=1,SUM($D7:AQ7)=0),1,0)</f>
        <v/>
      </c>
      <c r="AS21" s="18">
        <f>IF(AND(AS7=1,SUM($D7:AR7)=0),1,0)</f>
        <v/>
      </c>
      <c r="AT21" s="18">
        <f>IF(AND(AT7=1,SUM($D7:AS7)=0),1,0)</f>
        <v/>
      </c>
      <c r="AU21" s="18">
        <f>IF(AND(AU7=1,SUM($D7:AT7)=0),1,0)</f>
        <v/>
      </c>
      <c r="AV21" s="18">
        <f>IF(AND(AV7=1,SUM($D7:AU7)=0),1,0)</f>
        <v/>
      </c>
      <c r="AW21" s="18">
        <f>IF(AND(AW7=1,SUM($D7:AV7)=0),1,0)</f>
        <v/>
      </c>
      <c r="AX21" s="18">
        <f>IF(AND(AX7=1,SUM($D7:AW7)=0),1,0)</f>
        <v/>
      </c>
      <c r="AY21" s="18">
        <f>IF(AND(AY7=1,SUM($D7:AX7)=0),1,0)</f>
        <v/>
      </c>
      <c r="AZ21" s="18">
        <f>IF(AND(AZ7=1,SUM($D7:AY7)=0),1,0)</f>
        <v/>
      </c>
      <c r="BA21" s="18">
        <f>IF(AND(BA7=1,SUM($D7:AZ7)=0),1,0)</f>
        <v/>
      </c>
      <c r="BB21" s="18">
        <f>IF(AND(BB7=1,SUM($D7:BA7)=0),1,0)</f>
        <v/>
      </c>
      <c r="BC21" s="18">
        <f>IF(AND(BC7=1,SUM($D7:BB7)=0),1,0)</f>
        <v/>
      </c>
      <c r="BD21" s="18">
        <f>IF(AND(BD7=1,SUM($D7:BC7)=0),1,0)</f>
        <v/>
      </c>
      <c r="BE21" s="18">
        <f>IF(AND(BE7=1,SUM($D7:BD7)=0),1,0)</f>
        <v/>
      </c>
      <c r="BF21" s="18">
        <f>IF(AND(BF7=1,SUM($D7:BE7)=0),1,0)</f>
        <v/>
      </c>
      <c r="BG21" s="18">
        <f>IF(AND(BG7=1,SUM($D7:BF7)=0),1,0)</f>
        <v/>
      </c>
      <c r="BH21" s="18">
        <f>IF(AND(BH7=1,SUM($D7:BG7)=0),1,0)</f>
        <v/>
      </c>
      <c r="BI21" s="18">
        <f>IF(AND(BI7=1,SUM($D7:BH7)=0),1,0)</f>
        <v/>
      </c>
      <c r="BJ21" s="18">
        <f>IF(AND(BJ7=1,SUM($D7:BI7)=0),1,0)</f>
        <v/>
      </c>
      <c r="BK21" s="18">
        <f>IF(AND(BK7=1,SUM($D7:BJ7)=0),1,0)</f>
        <v/>
      </c>
      <c r="BL21" s="18">
        <f>IF(AND(BL7=1,SUM($D7:BK7)=0),1,0)</f>
        <v/>
      </c>
      <c r="BM21" s="18">
        <f>IF(AND(BM7=1,SUM($D7:BL7)=0),1,0)</f>
        <v/>
      </c>
      <c r="BN21" s="18">
        <f>IF(AND(BN7=1,SUM($D7:BM7)=0),1,0)</f>
        <v/>
      </c>
      <c r="BO21" s="18">
        <f>IF(AND(BO7=1,SUM($D7:BN7)=0),1,0)</f>
        <v/>
      </c>
      <c r="BP21" s="18">
        <f>IF(AND(BP7=1,SUM($D7:BO7)=0),1,0)</f>
        <v/>
      </c>
      <c r="BQ21" s="18">
        <f>IF(AND(BQ7=1,SUM($D7:BP7)=0),1,0)</f>
        <v/>
      </c>
      <c r="BR21" s="18">
        <f>IF(AND(BR7=1,SUM($D7:BQ7)=0),1,0)</f>
        <v/>
      </c>
      <c r="BS21" s="18">
        <f>IF(AND(BS7=1,SUM($D7:BR7)=0),1,0)</f>
        <v/>
      </c>
      <c r="BT21" s="18">
        <f>IF(AND(BT7=1,SUM($D7:BS7)=0),1,0)</f>
        <v/>
      </c>
      <c r="BU21" s="18">
        <f>IF(AND(BU7=1,SUM($D7:BT7)=0),1,0)</f>
        <v/>
      </c>
      <c r="BV21" s="18">
        <f>IF(AND(BV7=1,SUM($D7:BU7)=0),1,0)</f>
        <v/>
      </c>
      <c r="BW21" s="18">
        <f>IF(AND(BW7=1,SUM($D7:BV7)=0),1,0)</f>
        <v/>
      </c>
      <c r="BX21" s="18">
        <f>IF(AND(BX7=1,SUM($D7:BW7)=0),1,0)</f>
        <v/>
      </c>
      <c r="BY21" s="18">
        <f>IF(AND(BY7=1,SUM($D7:BX7)=0),1,0)</f>
        <v/>
      </c>
      <c r="BZ21" s="18">
        <f>IF(AND(BZ7=1,SUM($D7:BY7)=0),1,0)</f>
        <v/>
      </c>
      <c r="CA21" s="18">
        <f>IF(AND(CA7=1,SUM($D7:BZ7)=0),1,0)</f>
        <v/>
      </c>
      <c r="CB21" s="18">
        <f>IF(AND(CB7=1,SUM($D7:CA7)=0),1,0)</f>
        <v/>
      </c>
      <c r="CC21" s="18">
        <f>IF(AND(CC7=1,SUM($D7:CB7)=0),1,0)</f>
        <v/>
      </c>
      <c r="CD21" s="18">
        <f>IF(AND(CD7=1,SUM($D7:CC7)=0),1,0)</f>
        <v/>
      </c>
      <c r="CE21" s="18">
        <f>IF(AND(CE7=1,SUM($D7:CD7)=0),1,0)</f>
        <v/>
      </c>
      <c r="CF21" s="18">
        <f>IF(AND(CF7=1,SUM($D7:CE7)=0),1,0)</f>
        <v/>
      </c>
      <c r="CG21" s="18">
        <f>IF(AND(CG7=1,SUM($D7:CF7)=0),1,0)</f>
        <v/>
      </c>
      <c r="CH21" s="18">
        <f>IF(AND(CH7=1,SUM($D7:CG7)=0),1,0)</f>
        <v/>
      </c>
      <c r="CI21" s="18">
        <f>IF(AND(CI7=1,SUM($D7:CH7)=0),1,0)</f>
        <v/>
      </c>
      <c r="CJ21" s="18">
        <f>IF(AND(CJ7=1,SUM($D7:CI7)=0),1,0)</f>
        <v/>
      </c>
      <c r="CK21" s="18">
        <f>IF(AND(CK7=1,SUM($D7:CJ7)=0),1,0)</f>
        <v/>
      </c>
      <c r="CL21" s="18">
        <f>IF(AND(CL7=1,SUM($D7:CK7)=0),1,0)</f>
        <v/>
      </c>
      <c r="CM21" s="18">
        <f>IF(AND(CM7=1,SUM($D7:CL7)=0),1,0)</f>
        <v/>
      </c>
      <c r="CN21" s="18">
        <f>IF(AND(CN7=1,SUM($D7:CM7)=0),1,0)</f>
        <v/>
      </c>
      <c r="CO21" s="18">
        <f>IF(AND(CO7=1,SUM($D7:CN7)=0),1,0)</f>
        <v/>
      </c>
      <c r="CP21" s="18">
        <f>IF(AND(CP7=1,SUM($D7:CO7)=0),1,0)</f>
        <v/>
      </c>
      <c r="CQ21" s="18">
        <f>IF(AND(CQ7=1,SUM($D7:CP7)=0),1,0)</f>
        <v/>
      </c>
      <c r="CR21" s="18">
        <f>IF(AND(CR7=1,SUM($D7:CQ7)=0),1,0)</f>
        <v/>
      </c>
      <c r="CS21" s="18">
        <f>IF(AND(CS7=1,SUM($D7:CR7)=0),1,0)</f>
        <v/>
      </c>
      <c r="CT21" s="18">
        <f>IF(AND(CT7=1,SUM($D7:CS7)=0),1,0)</f>
        <v/>
      </c>
      <c r="CU21" s="18">
        <f>IF(AND(CU7=1,SUM($D7:CT7)=0),1,0)</f>
        <v/>
      </c>
      <c r="CV21" s="18">
        <f>IF(AND(CV7=1,SUM($D7:CU7)=0),1,0)</f>
        <v/>
      </c>
      <c r="CW21" s="18">
        <f>IF(AND(CW7=1,SUM($D7:CV7)=0),1,0)</f>
        <v/>
      </c>
      <c r="CX21" s="18">
        <f>IF(AND(CX7=1,SUM($D7:CW7)=0),1,0)</f>
        <v/>
      </c>
      <c r="CY21" s="18">
        <f>IF(AND(CY7=1,SUM($D7:CX7)=0),1,0)</f>
        <v/>
      </c>
      <c r="CZ21" s="18">
        <f>IF(AND(CZ7=1,SUM($D7:CY7)=0),1,0)</f>
        <v/>
      </c>
      <c r="DA21" s="18">
        <f>IF(AND(DA7=1,SUM($D7:CZ7)=0),1,0)</f>
        <v/>
      </c>
      <c r="DB21" s="18">
        <f>IF(AND(DB7=1,SUM($D7:DA7)=0),1,0)</f>
        <v/>
      </c>
      <c r="DC21" s="18">
        <f>IF(AND(DC7=1,SUM($D7:DB7)=0),1,0)</f>
        <v/>
      </c>
      <c r="DD21" s="18">
        <f>IF(AND(DD7=1,SUM($D7:DC7)=0),1,0)</f>
        <v/>
      </c>
      <c r="DE21" s="18">
        <f>IF(AND(DE7=1,SUM($D7:DD7)=0),1,0)</f>
        <v/>
      </c>
      <c r="DF21" s="18">
        <f>IF(AND(DF7=1,SUM($D7:DE7)=0),1,0)</f>
        <v/>
      </c>
      <c r="DG21" s="18">
        <f>IF(AND(DG7=1,SUM($D7:DF7)=0),1,0)</f>
        <v/>
      </c>
      <c r="DH21" s="18">
        <f>IF(AND(DH7=1,SUM($D7:DG7)=0),1,0)</f>
        <v/>
      </c>
      <c r="DI21" s="18">
        <f>IF(AND(DI7=1,SUM($D7:DH7)=0),1,0)</f>
        <v/>
      </c>
      <c r="DJ21" s="18">
        <f>IF(AND(DJ7=1,SUM($D7:DI7)=0),1,0)</f>
        <v/>
      </c>
      <c r="DK21" s="18">
        <f>IF(AND(DK7=1,SUM($D7:DJ7)=0),1,0)</f>
        <v/>
      </c>
      <c r="DL21" s="18">
        <f>IF(AND(DL7=1,SUM($D7:DK7)=0),1,0)</f>
        <v/>
      </c>
      <c r="DM21" s="18">
        <f>IF(AND(DM7=1,SUM($D7:DL7)=0),1,0)</f>
        <v/>
      </c>
      <c r="DN21" s="18">
        <f>IF(AND(DN7=1,SUM($D7:DM7)=0),1,0)</f>
        <v/>
      </c>
      <c r="DO21" s="18">
        <f>IF(AND(DO7=1,SUM($D7:DN7)=0),1,0)</f>
        <v/>
      </c>
      <c r="DP21" s="18">
        <f>IF(AND(DP7=1,SUM($D7:DO7)=0),1,0)</f>
        <v/>
      </c>
      <c r="DQ21" s="18">
        <f>IF(AND(DQ7=1,SUM($D7:DP7)=0),1,0)</f>
        <v/>
      </c>
      <c r="DR21" s="18">
        <f>IF(AND(DR7=1,SUM($D7:DQ7)=0),1,0)</f>
        <v/>
      </c>
      <c r="DS21" s="18">
        <f>IF(AND(DS7=1,SUM($D7:DR7)=0),1,0)</f>
        <v/>
      </c>
      <c r="DT21" s="18">
        <f>IF(AND(DT7=1,SUM($D7:DS7)=0),1,0)</f>
        <v/>
      </c>
      <c r="DU21" s="18">
        <f>IF(AND(DU7=1,SUM($D7:DT7)=0),1,0)</f>
        <v/>
      </c>
      <c r="DV21" s="18">
        <f>IF(AND(DV7=1,SUM($D7:DU7)=0),1,0)</f>
        <v/>
      </c>
      <c r="DW21" s="18">
        <f>IF(AND(DW7=1,SUM($D7:DV7)=0),1,0)</f>
        <v/>
      </c>
      <c r="DX21" s="18">
        <f>IF(AND(DX7=1,SUM($D7:DW7)=0),1,0)</f>
        <v/>
      </c>
      <c r="DY21" s="18">
        <f>IF(AND(DY7=1,SUM($D7:DX7)=0),1,0)</f>
        <v/>
      </c>
      <c r="DZ21" s="18">
        <f>IF(AND(DZ7=1,SUM($D7:DY7)=0),1,0)</f>
        <v/>
      </c>
      <c r="EA21" s="18">
        <f>IF(AND(EA7=1,SUM($D7:DZ7)=0),1,0)</f>
        <v/>
      </c>
      <c r="EB21" s="18">
        <f>IF(AND(EB7=1,SUM($D7:EA7)=0),1,0)</f>
        <v/>
      </c>
      <c r="EC21" s="18">
        <f>IF(AND(EC7=1,SUM($D7:EB7)=0),1,0)</f>
        <v/>
      </c>
      <c r="ED21" s="18">
        <f>IF(AND(ED7=1,SUM($D7:EC7)=0),1,0)</f>
        <v/>
      </c>
      <c r="EE21" s="18">
        <f>IF(AND(EE7=1,SUM($D7:ED7)=0),1,0)</f>
        <v/>
      </c>
      <c r="EF21" s="18">
        <f>IF(AND(EF7=1,SUM($D7:EE7)=0),1,0)</f>
        <v/>
      </c>
      <c r="EG21" s="18">
        <f>IF(AND(EG7=1,SUM($D7:EF7)=0),1,0)</f>
        <v/>
      </c>
      <c r="EH21" s="18">
        <f>IF(AND(EH7=1,SUM($D7:EG7)=0),1,0)</f>
        <v/>
      </c>
      <c r="EI21" s="18">
        <f>IF(AND(EI7=1,SUM($D7:EH7)=0),1,0)</f>
        <v/>
      </c>
      <c r="EJ21" s="18">
        <f>IF(AND(EJ7=1,SUM($D7:EI7)=0),1,0)</f>
        <v/>
      </c>
      <c r="EK21" s="18">
        <f>IF(AND(EK7=1,SUM($D7:EJ7)=0),1,0)</f>
        <v/>
      </c>
      <c r="EL21" s="18">
        <f>IF(AND(EL7=1,SUM($D7:EK7)=0),1,0)</f>
        <v/>
      </c>
      <c r="EM21" s="18">
        <f>IF(AND(EM7=1,SUM($D7:EL7)=0),1,0)</f>
        <v/>
      </c>
      <c r="EN21" s="18">
        <f>IF(AND(EN7=1,SUM($D7:EM7)=0),1,0)</f>
        <v/>
      </c>
      <c r="EO21" s="18">
        <f>IF(AND(EO7=1,SUM($D7:EN7)=0),1,0)</f>
        <v/>
      </c>
      <c r="EP21" s="18">
        <f>IF(AND(EP7=1,SUM($D7:EO7)=0),1,0)</f>
        <v/>
      </c>
      <c r="EQ21" s="18">
        <f>IF(AND(EQ7=1,SUM($D7:EP7)=0),1,0)</f>
        <v/>
      </c>
      <c r="ER21" s="18">
        <f>IF(AND(ER7=1,SUM($D7:EQ7)=0),1,0)</f>
        <v/>
      </c>
      <c r="ES21" s="18">
        <f>IF(AND(ES7=1,SUM($D7:ER7)=0),1,0)</f>
        <v/>
      </c>
      <c r="ET21" s="18">
        <f>IF(AND(ET7=1,SUM($D7:ES7)=0),1,0)</f>
        <v/>
      </c>
      <c r="EU21" s="18">
        <f>IF(AND(EU7=1,SUM($D7:ET7)=0),1,0)</f>
        <v/>
      </c>
      <c r="EV21" s="18">
        <f>IF(AND(EV7=1,SUM($D7:EU7)=0),1,0)</f>
        <v/>
      </c>
      <c r="EW21" s="18">
        <f>IF(AND(EW7=1,SUM($D7:EV7)=0),1,0)</f>
        <v/>
      </c>
      <c r="EX21" s="18">
        <f>IF(AND(EX7=1,SUM($D7:EW7)=0),1,0)</f>
        <v/>
      </c>
      <c r="EY21" s="18">
        <f>IF(AND(EY7=1,SUM($D7:EX7)=0),1,0)</f>
        <v/>
      </c>
      <c r="EZ21" s="18">
        <f>IF(AND(EZ7=1,SUM($D7:EY7)=0),1,0)</f>
        <v/>
      </c>
      <c r="FA21" s="18">
        <f>IF(AND(FA7=1,SUM($D7:EZ7)=0),1,0)</f>
        <v/>
      </c>
      <c r="FB21" s="18">
        <f>IF(AND(FB7=1,SUM($D7:FA7)=0),1,0)</f>
        <v/>
      </c>
      <c r="FC21" s="18">
        <f>IF(AND(FC7=1,SUM($D7:FB7)=0),1,0)</f>
        <v/>
      </c>
      <c r="FD21" s="18">
        <f>IF(AND(FD7=1,SUM($D7:FC7)=0),1,0)</f>
        <v/>
      </c>
      <c r="FE21" s="18">
        <f>IF(AND(FE7=1,SUM($D7:FD7)=0),1,0)</f>
        <v/>
      </c>
      <c r="FF21" s="18">
        <f>IF(AND(FF7=1,SUM($D7:FE7)=0),1,0)</f>
        <v/>
      </c>
      <c r="FG21" s="18">
        <f>IF(AND(FG7=1,SUM($D7:FF7)=0),1,0)</f>
        <v/>
      </c>
      <c r="FH21" s="18">
        <f>IF(AND(FH7=1,SUM($D7:FG7)=0),1,0)</f>
        <v/>
      </c>
      <c r="FI21" s="18">
        <f>IF(AND(FI7=1,SUM($D7:FH7)=0),1,0)</f>
        <v/>
      </c>
      <c r="FJ21" s="18">
        <f>IF(AND(FJ7=1,SUM($D7:FI7)=0),1,0)</f>
        <v/>
      </c>
      <c r="FK21" s="18">
        <f>IF(AND(FK7=1,SUM($D7:FJ7)=0),1,0)</f>
        <v/>
      </c>
      <c r="FL21" s="18">
        <f>IF(AND(FL7=1,SUM($D7:FK7)=0),1,0)</f>
        <v/>
      </c>
      <c r="FM21" s="18">
        <f>IF(AND(FM7=1,SUM($D7:FL7)=0),1,0)</f>
        <v/>
      </c>
      <c r="FN21" s="18">
        <f>IF(AND(FN7=1,SUM($D7:FM7)=0),1,0)</f>
        <v/>
      </c>
      <c r="FO21" s="18">
        <f>IF(AND(FO7=1,SUM($D7:FN7)=0),1,0)</f>
        <v/>
      </c>
      <c r="FP21" s="18">
        <f>IF(AND(FP7=1,SUM($D7:FO7)=0),1,0)</f>
        <v/>
      </c>
      <c r="FQ21" s="18">
        <f>IF(AND(FQ7=1,SUM($D7:FP7)=0),1,0)</f>
        <v/>
      </c>
      <c r="FR21" s="18">
        <f>IF(AND(FR7=1,SUM($D7:FQ7)=0),1,0)</f>
        <v/>
      </c>
      <c r="FS21" s="18">
        <f>IF(AND(FS7=1,SUM($D7:FR7)=0),1,0)</f>
        <v/>
      </c>
      <c r="FT21" s="18">
        <f>IF(AND(FT7=1,SUM($D7:FS7)=0),1,0)</f>
        <v/>
      </c>
      <c r="FU21" s="18">
        <f>IF(AND(FU7=1,SUM($D7:FT7)=0),1,0)</f>
        <v/>
      </c>
      <c r="FV21" s="18">
        <f>IF(AND(FV7=1,SUM($D7:FU7)=0),1,0)</f>
        <v/>
      </c>
      <c r="FW21" s="18">
        <f>IF(AND(FW7=1,SUM($D7:FV7)=0),1,0)</f>
        <v/>
      </c>
      <c r="FX21" s="18">
        <f>IF(AND(FX7=1,SUM($D7:FW7)=0),1,0)</f>
        <v/>
      </c>
      <c r="FY21" s="18">
        <f>IF(AND(FY7=1,SUM($D7:FX7)=0),1,0)</f>
        <v/>
      </c>
      <c r="FZ21" s="18">
        <f>IF(AND(FZ7=1,SUM($D7:FY7)=0),1,0)</f>
        <v/>
      </c>
      <c r="GA21" s="18">
        <f>IF(AND(GA7=1,SUM($D7:FZ7)=0),1,0)</f>
        <v/>
      </c>
      <c r="GB21" s="18">
        <f>IF(AND(GB7=1,SUM($D7:GA7)=0),1,0)</f>
        <v/>
      </c>
      <c r="GC21" s="18">
        <f>IF(AND(GC7=1,SUM($D7:GB7)=0),1,0)</f>
        <v/>
      </c>
      <c r="GD21" s="18">
        <f>IF(AND(GD7=1,SUM($D7:GC7)=0),1,0)</f>
        <v/>
      </c>
      <c r="GE21" s="18">
        <f>IF(AND(GE7=1,SUM($D7:GD7)=0),1,0)</f>
        <v/>
      </c>
      <c r="GF21" s="18">
        <f>IF(AND(GF7=1,SUM($D7:GE7)=0),1,0)</f>
        <v/>
      </c>
      <c r="GG21" s="18">
        <f>IF(AND(GG7=1,SUM($D7:GF7)=0),1,0)</f>
        <v/>
      </c>
      <c r="GH21" s="18">
        <f>IF(AND(GH7=1,SUM($D7:GG7)=0),1,0)</f>
        <v/>
      </c>
      <c r="GI21" s="18">
        <f>IF(AND(GI7=1,SUM($D7:GH7)=0),1,0)</f>
        <v/>
      </c>
      <c r="GJ21" s="18">
        <f>IF(AND(GJ7=1,SUM($D7:GI7)=0),1,0)</f>
        <v/>
      </c>
      <c r="GK21" s="18">
        <f>IF(AND(GK7=1,SUM($D7:GJ7)=0),1,0)</f>
        <v/>
      </c>
      <c r="GL21" s="18">
        <f>IF(AND(GL7=1,SUM($D7:GK7)=0),1,0)</f>
        <v/>
      </c>
      <c r="GM21" s="18">
        <f>IF(AND(GM7=1,SUM($D7:GL7)=0),1,0)</f>
        <v/>
      </c>
      <c r="GN21" s="18">
        <f>IF(AND(GN7=1,SUM($D7:GM7)=0),1,0)</f>
        <v/>
      </c>
      <c r="GO21" s="18">
        <f>IF(AND(GO7=1,SUM($D7:GN7)=0),1,0)</f>
        <v/>
      </c>
      <c r="GP21" s="18">
        <f>IF(AND(GP7=1,SUM($D7:GO7)=0),1,0)</f>
        <v/>
      </c>
      <c r="GQ21" s="18">
        <f>IF(AND(GQ7=1,SUM($D7:GP7)=0),1,0)</f>
        <v/>
      </c>
      <c r="GR21" s="18">
        <f>IF(AND(GR7=1,SUM($D7:GQ7)=0),1,0)</f>
        <v/>
      </c>
      <c r="GS21" s="18">
        <f>IF(AND(GS7=1,SUM($D7:GR7)=0),1,0)</f>
        <v/>
      </c>
      <c r="GT21" s="18">
        <f>IF(AND(GT7=1,SUM($D7:GS7)=0),1,0)</f>
        <v/>
      </c>
      <c r="GU21" s="18">
        <f>IF(AND(GU7=1,SUM($D7:GT7)=0),1,0)</f>
        <v/>
      </c>
      <c r="GV21" s="18">
        <f>IF(AND(GV7=1,SUM($D7:GU7)=0),1,0)</f>
        <v/>
      </c>
      <c r="GW21" s="18">
        <f>IF(AND(GW7=1,SUM($D7:GV7)=0),1,0)</f>
        <v/>
      </c>
      <c r="GX21" s="18">
        <f>IF(AND(GX7=1,SUM($D7:GW7)=0),1,0)</f>
        <v/>
      </c>
      <c r="GY21" s="18">
        <f>IF(AND(GY7=1,SUM($D7:GX7)=0),1,0)</f>
        <v/>
      </c>
      <c r="GZ21" s="18">
        <f>IF(AND(GZ7=1,SUM($D7:GY7)=0),1,0)</f>
        <v/>
      </c>
      <c r="HA21" s="18">
        <f>IF(AND(HA7=1,SUM($D7:GZ7)=0),1,0)</f>
        <v/>
      </c>
      <c r="HB21" s="18">
        <f>IF(AND(HB7=1,SUM($D7:HA7)=0),1,0)</f>
        <v/>
      </c>
      <c r="HC21" s="18">
        <f>IF(AND(HC7=1,SUM($D7:HB7)=0),1,0)</f>
        <v/>
      </c>
      <c r="HD21" s="18">
        <f>IF(AND(HD7=1,SUM($D7:HC7)=0),1,0)</f>
        <v/>
      </c>
      <c r="HE21" s="18">
        <f>IF(AND(HE7=1,SUM($D7:HD7)=0),1,0)</f>
        <v/>
      </c>
      <c r="HF21" s="18">
        <f>IF(AND(HF7=1,SUM($D7:HE7)=0),1,0)</f>
        <v/>
      </c>
      <c r="HG21" s="18">
        <f>IF(AND(HG7=1,SUM($D7:HF7)=0),1,0)</f>
        <v/>
      </c>
      <c r="HH21" s="18">
        <f>IF(AND(HH7=1,SUM($D7:HG7)=0),1,0)</f>
        <v/>
      </c>
      <c r="HI21" s="18">
        <f>IF(AND(HI7=1,SUM($D7:HH7)=0),1,0)</f>
        <v/>
      </c>
      <c r="HJ21" s="18">
        <f>IF(AND(HJ7=1,SUM($D7:HI7)=0),1,0)</f>
        <v/>
      </c>
      <c r="HK21" s="18">
        <f>IF(AND(HK7=1,SUM($D7:HJ7)=0),1,0)</f>
        <v/>
      </c>
      <c r="HL21" s="18">
        <f>IF(AND(HL7=1,SUM($D7:HK7)=0),1,0)</f>
        <v/>
      </c>
      <c r="HM21" s="18">
        <f>IF(AND(HM7=1,SUM($D7:HL7)=0),1,0)</f>
        <v/>
      </c>
      <c r="HN21" s="18">
        <f>IF(AND(HN7=1,SUM($D7:HM7)=0),1,0)</f>
        <v/>
      </c>
      <c r="HO21" s="18">
        <f>IF(AND(HO7=1,SUM($D7:HN7)=0),1,0)</f>
        <v/>
      </c>
      <c r="HP21" s="18">
        <f>IF(AND(HP7=1,SUM($D7:HO7)=0),1,0)</f>
        <v/>
      </c>
      <c r="HQ21" s="18">
        <f>IF(AND(HQ7=1,SUM($D7:HP7)=0),1,0)</f>
        <v/>
      </c>
      <c r="HR21" s="18">
        <f>IF(AND(HR7=1,SUM($D7:HQ7)=0),1,0)</f>
        <v/>
      </c>
      <c r="HS21" s="18">
        <f>IF(AND(HS7=1,SUM($D7:HR7)=0),1,0)</f>
        <v/>
      </c>
      <c r="HT21" s="18">
        <f>IF(AND(HT7=1,SUM($D7:HS7)=0),1,0)</f>
        <v/>
      </c>
      <c r="HU21" s="18">
        <f>IF(AND(HU7=1,SUM($D7:HT7)=0),1,0)</f>
        <v/>
      </c>
      <c r="HV21" s="18">
        <f>IF(AND(HV7=1,SUM($D7:HU7)=0),1,0)</f>
        <v/>
      </c>
      <c r="HW21" s="18">
        <f>IF(AND(HW7=1,SUM($D7:HV7)=0),1,0)</f>
        <v/>
      </c>
      <c r="HX21" s="18">
        <f>IF(AND(HX7=1,SUM($D7:HW7)=0),1,0)</f>
        <v/>
      </c>
      <c r="HY21" s="18">
        <f>IF(AND(HY7=1,SUM($D7:HX7)=0),1,0)</f>
        <v/>
      </c>
      <c r="HZ21" s="18">
        <f>IF(AND(HZ7=1,SUM($D7:HY7)=0),1,0)</f>
        <v/>
      </c>
      <c r="IA21" s="18">
        <f>IF(AND(IA7=1,SUM($D7:HZ7)=0),1,0)</f>
        <v/>
      </c>
      <c r="IB21" s="18">
        <f>IF(AND(IB7=1,SUM($D7:IA7)=0),1,0)</f>
        <v/>
      </c>
      <c r="IC21" s="18">
        <f>IF(AND(IC7=1,SUM($D7:IB7)=0),1,0)</f>
        <v/>
      </c>
      <c r="ID21" s="18">
        <f>IF(AND(ID7=1,SUM($D7:IC7)=0),1,0)</f>
        <v/>
      </c>
      <c r="IE21" s="18">
        <f>IF(AND(IE7=1,SUM($D7:ID7)=0),1,0)</f>
        <v/>
      </c>
      <c r="IF21" s="18">
        <f>IF(AND(IF7=1,SUM($D7:IE7)=0),1,0)</f>
        <v/>
      </c>
      <c r="IG21" s="18">
        <f>IF(AND(IG7=1,SUM($D7:IF7)=0),1,0)</f>
        <v/>
      </c>
      <c r="IH21" s="18">
        <f>IF(AND(IH7=1,SUM($D7:IG7)=0),1,0)</f>
        <v/>
      </c>
      <c r="II21" s="18">
        <f>IF(AND(II7=1,SUM($D7:IH7)=0),1,0)</f>
        <v/>
      </c>
      <c r="IJ21" s="18">
        <f>IF(AND(IJ7=1,SUM($D7:II7)=0),1,0)</f>
        <v/>
      </c>
      <c r="IK21" s="18">
        <f>IF(AND(IK7=1,SUM($D7:IJ7)=0),1,0)</f>
        <v/>
      </c>
      <c r="IL21" s="18">
        <f>IF(AND(IL7=1,SUM($D7:IK7)=0),1,0)</f>
        <v/>
      </c>
      <c r="IM21" s="18">
        <f>IF(AND(IM7=1,SUM($D7:IL7)=0),1,0)</f>
        <v/>
      </c>
      <c r="IN21" s="18">
        <f>IF(AND(IN7=1,SUM($D7:IM7)=0),1,0)</f>
        <v/>
      </c>
      <c r="IO21" s="18">
        <f>IF(AND(IO7=1,SUM($D7:IN7)=0),1,0)</f>
        <v/>
      </c>
      <c r="IP21" s="18">
        <f>IF(AND(IP7=1,SUM($D7:IO7)=0),1,0)</f>
        <v/>
      </c>
      <c r="IQ21" s="18">
        <f>IF(AND(IQ7=1,SUM($D7:IP7)=0),1,0)</f>
        <v/>
      </c>
      <c r="IR21" s="18">
        <f>IF(AND(IR7=1,SUM($D7:IQ7)=0),1,0)</f>
        <v/>
      </c>
      <c r="IS21" s="18">
        <f>IF(AND(IS7=1,SUM($D7:IR7)=0),1,0)</f>
        <v/>
      </c>
      <c r="IT21" s="18">
        <f>IF(AND(IT7=1,SUM($D7:IS7)=0),1,0)</f>
        <v/>
      </c>
      <c r="IU21" s="18">
        <f>IF(AND(IU7=1,SUM($D7:IT7)=0),1,0)</f>
        <v/>
      </c>
      <c r="IV21" s="18">
        <f>IF(AND(IV7=1,SUM($D7:IU7)=0),1,0)</f>
        <v/>
      </c>
      <c r="IW21" s="18">
        <f>IF(AND(IW7=1,SUM($D7:IV7)=0),1,0)</f>
        <v/>
      </c>
      <c r="IX21" s="18">
        <f>IF(AND(IX7=1,SUM($D7:IW7)=0),1,0)</f>
        <v/>
      </c>
      <c r="IY21" s="18">
        <f>IF(AND(IY7=1,SUM($D7:IX7)=0),1,0)</f>
        <v/>
      </c>
      <c r="IZ21" s="18">
        <f>IF(AND(IZ7=1,SUM($D7:IY7)=0),1,0)</f>
        <v/>
      </c>
      <c r="JA21" s="18">
        <f>IF(AND(JA7=1,SUM($D7:IZ7)=0),1,0)</f>
        <v/>
      </c>
      <c r="JB21" s="18">
        <f>IF(AND(JB7=1,SUM($D7:JA7)=0),1,0)</f>
        <v/>
      </c>
      <c r="JC21" s="18">
        <f>IF(AND(JC7=1,SUM($D7:JB7)=0),1,0)</f>
        <v/>
      </c>
      <c r="JD21" s="18">
        <f>IF(AND(JD7=1,SUM($D7:JC7)=0),1,0)</f>
        <v/>
      </c>
      <c r="JE21" s="18">
        <f>IF(AND(JE7=1,SUM($D7:JD7)=0),1,0)</f>
        <v/>
      </c>
      <c r="JF21" s="18">
        <f>IF(AND(JF7=1,SUM($D7:JE7)=0),1,0)</f>
        <v/>
      </c>
      <c r="JG21" s="18">
        <f>IF(AND(JG7=1,SUM($D7:JF7)=0),1,0)</f>
        <v/>
      </c>
      <c r="JH21" s="18">
        <f>IF(AND(JH7=1,SUM($D7:JG7)=0),1,0)</f>
        <v/>
      </c>
      <c r="JI21" s="18">
        <f>IF(AND(JI7=1,SUM($D7:JH7)=0),1,0)</f>
        <v/>
      </c>
      <c r="JJ21" s="18">
        <f>IF(AND(JJ7=1,SUM($D7:JI7)=0),1,0)</f>
        <v/>
      </c>
      <c r="JK21" s="18">
        <f>IF(AND(JK7=1,SUM($D7:JJ7)=0),1,0)</f>
        <v/>
      </c>
      <c r="JL21" s="18">
        <f>IF(AND(JL7=1,SUM($D7:JK7)=0),1,0)</f>
        <v/>
      </c>
      <c r="JM21" s="18">
        <f>IF(AND(JM7=1,SUM($D7:JL7)=0),1,0)</f>
        <v/>
      </c>
      <c r="JN21" s="18">
        <f>IF(AND(JN7=1,SUM($D7:JM7)=0),1,0)</f>
        <v/>
      </c>
      <c r="JO21" s="18">
        <f>IF(AND(JO7=1,SUM($D7:JN7)=0),1,0)</f>
        <v/>
      </c>
      <c r="JP21" s="18">
        <f>IF(AND(JP7=1,SUM($D7:JO7)=0),1,0)</f>
        <v/>
      </c>
      <c r="JQ21" s="18">
        <f>IF(AND(JQ7=1,SUM($D7:JP7)=0),1,0)</f>
        <v/>
      </c>
      <c r="JR21" s="18">
        <f>IF(AND(JR7=1,SUM($D7:JQ7)=0),1,0)</f>
        <v/>
      </c>
      <c r="JS21" s="18">
        <f>IF(AND(JS7=1,SUM($D7:JR7)=0),1,0)</f>
        <v/>
      </c>
      <c r="JT21" s="18">
        <f>IF(AND(JT7=1,SUM($D7:JS7)=0),1,0)</f>
        <v/>
      </c>
      <c r="JU21" s="18">
        <f>IF(AND(JU7=1,SUM($D7:JT7)=0),1,0)</f>
        <v/>
      </c>
      <c r="JV21" s="18">
        <f>IF(AND(JV7=1,SUM($D7:JU7)=0),1,0)</f>
        <v/>
      </c>
      <c r="JW21" s="18">
        <f>IF(AND(JW7=1,SUM($D7:JV7)=0),1,0)</f>
        <v/>
      </c>
      <c r="JX21" s="18">
        <f>IF(AND(JX7=1,SUM($D7:JW7)=0),1,0)</f>
        <v/>
      </c>
      <c r="JY21" s="18">
        <f>IF(AND(JY7=1,SUM($D7:JX7)=0),1,0)</f>
        <v/>
      </c>
      <c r="JZ21" s="18">
        <f>IF(AND(JZ7=1,SUM($D7:JY7)=0),1,0)</f>
        <v/>
      </c>
      <c r="KA21" s="18">
        <f>IF(AND(KA7=1,SUM($D7:JZ7)=0),1,0)</f>
        <v/>
      </c>
      <c r="KB21" s="18">
        <f>IF(AND(KB7=1,SUM($D7:KA7)=0),1,0)</f>
        <v/>
      </c>
      <c r="KC21" s="18">
        <f>IF(AND(KC7=1,SUM($D7:KB7)=0),1,0)</f>
        <v/>
      </c>
      <c r="KD21" s="18">
        <f>IF(AND(KD7=1,SUM($D7:KC7)=0),1,0)</f>
        <v/>
      </c>
      <c r="KE21" s="18">
        <f>IF(AND(KE7=1,SUM($D7:KD7)=0),1,0)</f>
        <v/>
      </c>
      <c r="KF21" s="18">
        <f>IF(AND(KF7=1,SUM($D7:KE7)=0),1,0)</f>
        <v/>
      </c>
      <c r="KG21" s="18">
        <f>IF(AND(KG7=1,SUM($D7:KF7)=0),1,0)</f>
        <v/>
      </c>
      <c r="KH21" s="18">
        <f>IF(AND(KH7=1,SUM($D7:KG7)=0),1,0)</f>
        <v/>
      </c>
      <c r="KI21" s="18">
        <f>IF(AND(KI7=1,SUM($D7:KH7)=0),1,0)</f>
        <v/>
      </c>
      <c r="KJ21" s="18">
        <f>IF(AND(KJ7=1,SUM($D7:KI7)=0),1,0)</f>
        <v/>
      </c>
      <c r="KK21" s="18">
        <f>IF(AND(KK7=1,SUM($D7:KJ7)=0),1,0)</f>
        <v/>
      </c>
      <c r="KL21" s="18">
        <f>IF(AND(KL7=1,SUM($D7:KK7)=0),1,0)</f>
        <v/>
      </c>
      <c r="KM21" s="18">
        <f>IF(AND(KM7=1,SUM($D7:KL7)=0),1,0)</f>
        <v/>
      </c>
      <c r="KN21" s="18">
        <f>IF(AND(KN7=1,SUM($D7:KM7)=0),1,0)</f>
        <v/>
      </c>
      <c r="KO21" s="18">
        <f>IF(AND(KO7=1,SUM($D7:KN7)=0),1,0)</f>
        <v/>
      </c>
      <c r="KP21" s="18">
        <f>IF(AND(KP7=1,SUM($D7:KO7)=0),1,0)</f>
        <v/>
      </c>
      <c r="KQ21" s="18">
        <f>IF(AND(KQ7=1,SUM($D7:KP7)=0),1,0)</f>
        <v/>
      </c>
      <c r="KR21" s="18">
        <f>IF(AND(KR7=1,SUM($D7:KQ7)=0),1,0)</f>
        <v/>
      </c>
      <c r="KS21" s="18">
        <f>IF(AND(KS7=1,SUM($D7:KR7)=0),1,0)</f>
        <v/>
      </c>
      <c r="KT21" s="18">
        <f>IF(AND(KT7=1,SUM($D7:KS7)=0),1,0)</f>
        <v/>
      </c>
      <c r="KU21" s="18">
        <f>IF(AND(KU7=1,SUM($D7:KT7)=0),1,0)</f>
        <v/>
      </c>
      <c r="KV21" s="18">
        <f>IF(AND(KV7=1,SUM($D7:KU7)=0),1,0)</f>
        <v/>
      </c>
      <c r="KW21" s="18">
        <f>IF(AND(KW7=1,SUM($D7:KV7)=0),1,0)</f>
        <v/>
      </c>
      <c r="KX21" s="18">
        <f>IF(AND(KX7=1,SUM($D7:KW7)=0),1,0)</f>
        <v/>
      </c>
      <c r="KY21" s="18">
        <f>IF(AND(KY7=1,SUM($D7:KX7)=0),1,0)</f>
        <v/>
      </c>
      <c r="KZ21" s="18">
        <f>IF(AND(KZ7=1,SUM($D7:KY7)=0),1,0)</f>
        <v/>
      </c>
      <c r="LA21" s="18">
        <f>IF(AND(LA7=1,SUM($D7:KZ7)=0),1,0)</f>
        <v/>
      </c>
      <c r="LB21" s="18">
        <f>IF(AND(LB7=1,SUM($D7:LA7)=0),1,0)</f>
        <v/>
      </c>
      <c r="LC21" s="18">
        <f>IF(AND(LC7=1,SUM($D7:LB7)=0),1,0)</f>
        <v/>
      </c>
      <c r="LD21" s="18">
        <f>IF(AND(LD7=1,SUM($D7:LC7)=0),1,0)</f>
        <v/>
      </c>
      <c r="LE21" s="18">
        <f>IF(AND(LE7=1,SUM($D7:LD7)=0),1,0)</f>
        <v/>
      </c>
      <c r="LF21" s="18">
        <f>IF(AND(LF7=1,SUM($D7:LE7)=0),1,0)</f>
        <v/>
      </c>
      <c r="LG21" s="18">
        <f>IF(AND(LG7=1,SUM($D7:LF7)=0),1,0)</f>
        <v/>
      </c>
      <c r="LH21" s="18">
        <f>IF(AND(LH7=1,SUM($D7:LG7)=0),1,0)</f>
        <v/>
      </c>
      <c r="LI21" s="18">
        <f>IF(AND(LI7=1,SUM($D7:LH7)=0),1,0)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E34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</cols>
  <sheetData>
    <row r="2">
      <c r="B2" s="1" t="inlineStr">
        <is>
          <t>Flujo de caja financiero</t>
        </is>
      </c>
    </row>
    <row r="3">
      <c r="B3" s="2" t="inlineStr">
        <is>
          <t>El VAN de la ultima fila es la celda que Buscar Objetivo lleva a cero.</t>
        </is>
      </c>
    </row>
    <row r="6">
      <c r="B6" s="15" t="inlineStr">
        <is>
          <t>Ano</t>
        </is>
      </c>
      <c r="D6" s="16" t="n">
        <v>2026</v>
      </c>
      <c r="E6" s="16" t="n">
        <v>2027</v>
      </c>
      <c r="F6" s="16" t="n">
        <v>2027</v>
      </c>
      <c r="G6" s="16" t="n">
        <v>2027</v>
      </c>
      <c r="H6" s="16" t="n">
        <v>2027</v>
      </c>
      <c r="I6" s="16" t="n">
        <v>2028</v>
      </c>
      <c r="J6" s="16" t="n">
        <v>2028</v>
      </c>
      <c r="K6" s="16" t="n">
        <v>2028</v>
      </c>
      <c r="L6" s="16" t="n">
        <v>2028</v>
      </c>
      <c r="M6" s="16" t="n">
        <v>2029</v>
      </c>
      <c r="N6" s="16" t="n">
        <v>2029</v>
      </c>
      <c r="O6" s="16" t="n">
        <v>2029</v>
      </c>
      <c r="P6" s="16" t="n">
        <v>2029</v>
      </c>
      <c r="Q6" s="16" t="n">
        <v>2030</v>
      </c>
      <c r="R6" s="16" t="n">
        <v>2030</v>
      </c>
      <c r="S6" s="16" t="n">
        <v>2030</v>
      </c>
      <c r="T6" s="16" t="n">
        <v>2030</v>
      </c>
      <c r="U6" s="16" t="n">
        <v>2031</v>
      </c>
      <c r="V6" s="16" t="n">
        <v>2031</v>
      </c>
      <c r="W6" s="16" t="n">
        <v>2031</v>
      </c>
      <c r="X6" s="16" t="n">
        <v>2031</v>
      </c>
      <c r="Y6" s="16" t="n">
        <v>2032</v>
      </c>
      <c r="Z6" s="16" t="n">
        <v>2032</v>
      </c>
      <c r="AA6" s="16" t="n">
        <v>2032</v>
      </c>
      <c r="AB6" s="16" t="n">
        <v>2032</v>
      </c>
      <c r="AC6" s="16" t="n">
        <v>2033</v>
      </c>
      <c r="AD6" s="16" t="n">
        <v>2033</v>
      </c>
      <c r="AE6" s="16" t="n">
        <v>2033</v>
      </c>
      <c r="AF6" s="16" t="n">
        <v>2033</v>
      </c>
      <c r="AG6" s="16" t="n">
        <v>2034</v>
      </c>
      <c r="AH6" s="16" t="n">
        <v>2034</v>
      </c>
      <c r="AI6" s="16" t="n">
        <v>2034</v>
      </c>
      <c r="AJ6" s="16" t="n">
        <v>2034</v>
      </c>
      <c r="AK6" s="16" t="n">
        <v>2035</v>
      </c>
      <c r="AL6" s="16" t="n">
        <v>2035</v>
      </c>
      <c r="AM6" s="16" t="n">
        <v>2035</v>
      </c>
      <c r="AN6" s="16" t="n">
        <v>2035</v>
      </c>
      <c r="AO6" s="16" t="n">
        <v>2036</v>
      </c>
      <c r="AP6" s="16" t="n">
        <v>2036</v>
      </c>
      <c r="AQ6" s="16" t="n">
        <v>2036</v>
      </c>
      <c r="AR6" s="16" t="n">
        <v>2036</v>
      </c>
      <c r="AS6" s="16" t="n">
        <v>2037</v>
      </c>
      <c r="AT6" s="16" t="n">
        <v>2037</v>
      </c>
      <c r="AU6" s="16" t="n">
        <v>2037</v>
      </c>
      <c r="AV6" s="16" t="n">
        <v>2037</v>
      </c>
      <c r="AW6" s="16" t="n">
        <v>2038</v>
      </c>
      <c r="AX6" s="16" t="n">
        <v>2038</v>
      </c>
      <c r="AY6" s="16" t="n">
        <v>2038</v>
      </c>
      <c r="AZ6" s="16" t="n">
        <v>2038</v>
      </c>
      <c r="BA6" s="16" t="n">
        <v>2039</v>
      </c>
      <c r="BB6" s="16" t="n">
        <v>2039</v>
      </c>
      <c r="BC6" s="16" t="n">
        <v>2039</v>
      </c>
      <c r="BD6" s="16" t="n">
        <v>2039</v>
      </c>
      <c r="BE6" s="16" t="n">
        <v>2040</v>
      </c>
      <c r="BF6" s="16" t="n">
        <v>2040</v>
      </c>
      <c r="BG6" s="16" t="n">
        <v>2040</v>
      </c>
      <c r="BH6" s="16" t="n">
        <v>2040</v>
      </c>
      <c r="BI6" s="16" t="n">
        <v>2041</v>
      </c>
      <c r="BJ6" s="16" t="n">
        <v>2041</v>
      </c>
      <c r="BK6" s="16" t="n">
        <v>2041</v>
      </c>
      <c r="BL6" s="16" t="n">
        <v>2041</v>
      </c>
      <c r="BM6" s="16" t="n">
        <v>2042</v>
      </c>
      <c r="BN6" s="16" t="n">
        <v>2042</v>
      </c>
      <c r="BO6" s="16" t="n">
        <v>2042</v>
      </c>
      <c r="BP6" s="16" t="n">
        <v>2042</v>
      </c>
      <c r="BQ6" s="16" t="n">
        <v>2043</v>
      </c>
      <c r="BR6" s="16" t="n">
        <v>2043</v>
      </c>
      <c r="BS6" s="16" t="n">
        <v>2043</v>
      </c>
      <c r="BT6" s="16" t="n">
        <v>2043</v>
      </c>
      <c r="BU6" s="16" t="n">
        <v>2044</v>
      </c>
      <c r="BV6" s="16" t="n">
        <v>2044</v>
      </c>
      <c r="BW6" s="16" t="n">
        <v>2044</v>
      </c>
      <c r="BX6" s="16" t="n">
        <v>2044</v>
      </c>
      <c r="BY6" s="16" t="n">
        <v>2045</v>
      </c>
      <c r="BZ6" s="16" t="n">
        <v>2045</v>
      </c>
      <c r="CA6" s="16" t="n">
        <v>2045</v>
      </c>
      <c r="CB6" s="16" t="n">
        <v>2045</v>
      </c>
      <c r="CC6" s="16" t="n">
        <v>2046</v>
      </c>
      <c r="CD6" s="16" t="n">
        <v>2046</v>
      </c>
      <c r="CE6" s="16" t="n">
        <v>2046</v>
      </c>
      <c r="CF6" s="16" t="n">
        <v>2046</v>
      </c>
      <c r="CG6" s="16" t="n">
        <v>2047</v>
      </c>
      <c r="CH6" s="16" t="n">
        <v>2047</v>
      </c>
      <c r="CI6" s="16" t="n">
        <v>2047</v>
      </c>
      <c r="CJ6" s="16" t="n">
        <v>2047</v>
      </c>
      <c r="CK6" s="16" t="n">
        <v>2048</v>
      </c>
      <c r="CL6" s="16" t="n">
        <v>2048</v>
      </c>
      <c r="CM6" s="16" t="n">
        <v>2048</v>
      </c>
      <c r="CN6" s="16" t="n">
        <v>2048</v>
      </c>
      <c r="CO6" s="16" t="n">
        <v>2049</v>
      </c>
      <c r="CP6" s="16" t="n">
        <v>2049</v>
      </c>
      <c r="CQ6" s="16" t="n">
        <v>2049</v>
      </c>
      <c r="CR6" s="16" t="n">
        <v>2049</v>
      </c>
      <c r="CS6" s="16" t="n">
        <v>2050</v>
      </c>
      <c r="CT6" s="16" t="n">
        <v>2050</v>
      </c>
      <c r="CU6" s="16" t="n">
        <v>2050</v>
      </c>
      <c r="CV6" s="16" t="n">
        <v>2050</v>
      </c>
      <c r="CW6" s="16" t="n">
        <v>2051</v>
      </c>
      <c r="CX6" s="16" t="n">
        <v>2051</v>
      </c>
      <c r="CY6" s="16" t="n">
        <v>2051</v>
      </c>
      <c r="CZ6" s="16" t="n">
        <v>2051</v>
      </c>
      <c r="DA6" s="16" t="n">
        <v>2052</v>
      </c>
      <c r="DB6" s="16" t="n">
        <v>2052</v>
      </c>
      <c r="DC6" s="16" t="n">
        <v>2052</v>
      </c>
      <c r="DD6" s="16" t="n">
        <v>2052</v>
      </c>
      <c r="DE6" s="16" t="n">
        <v>2053</v>
      </c>
    </row>
    <row r="7">
      <c r="B7" s="15" t="inlineStr">
        <is>
          <t>Trimestre</t>
        </is>
      </c>
      <c r="D7" s="16" t="n">
        <v>1</v>
      </c>
      <c r="E7" s="16" t="n">
        <v>2</v>
      </c>
      <c r="F7" s="16" t="n">
        <v>3</v>
      </c>
      <c r="G7" s="16" t="n">
        <v>4</v>
      </c>
      <c r="H7" s="16" t="n">
        <v>5</v>
      </c>
      <c r="I7" s="16" t="n">
        <v>6</v>
      </c>
      <c r="J7" s="16" t="n">
        <v>7</v>
      </c>
      <c r="K7" s="16" t="n">
        <v>8</v>
      </c>
      <c r="L7" s="16" t="n">
        <v>9</v>
      </c>
      <c r="M7" s="16" t="n">
        <v>10</v>
      </c>
      <c r="N7" s="16" t="n">
        <v>11</v>
      </c>
      <c r="O7" s="16" t="n">
        <v>12</v>
      </c>
      <c r="P7" s="16" t="n">
        <v>13</v>
      </c>
      <c r="Q7" s="16" t="n">
        <v>14</v>
      </c>
      <c r="R7" s="16" t="n">
        <v>15</v>
      </c>
      <c r="S7" s="16" t="n">
        <v>16</v>
      </c>
      <c r="T7" s="16" t="n">
        <v>17</v>
      </c>
      <c r="U7" s="16" t="n">
        <v>18</v>
      </c>
      <c r="V7" s="16" t="n">
        <v>19</v>
      </c>
      <c r="W7" s="16" t="n">
        <v>20</v>
      </c>
      <c r="X7" s="16" t="n">
        <v>21</v>
      </c>
      <c r="Y7" s="16" t="n">
        <v>22</v>
      </c>
      <c r="Z7" s="16" t="n">
        <v>23</v>
      </c>
      <c r="AA7" s="16" t="n">
        <v>24</v>
      </c>
      <c r="AB7" s="16" t="n">
        <v>25</v>
      </c>
      <c r="AC7" s="16" t="n">
        <v>26</v>
      </c>
      <c r="AD7" s="16" t="n">
        <v>27</v>
      </c>
      <c r="AE7" s="16" t="n">
        <v>28</v>
      </c>
      <c r="AF7" s="16" t="n">
        <v>29</v>
      </c>
      <c r="AG7" s="16" t="n">
        <v>30</v>
      </c>
      <c r="AH7" s="16" t="n">
        <v>31</v>
      </c>
      <c r="AI7" s="16" t="n">
        <v>32</v>
      </c>
      <c r="AJ7" s="16" t="n">
        <v>33</v>
      </c>
      <c r="AK7" s="16" t="n">
        <v>34</v>
      </c>
      <c r="AL7" s="16" t="n">
        <v>35</v>
      </c>
      <c r="AM7" s="16" t="n">
        <v>36</v>
      </c>
      <c r="AN7" s="16" t="n">
        <v>37</v>
      </c>
      <c r="AO7" s="16" t="n">
        <v>38</v>
      </c>
      <c r="AP7" s="16" t="n">
        <v>39</v>
      </c>
      <c r="AQ7" s="16" t="n">
        <v>40</v>
      </c>
      <c r="AR7" s="16" t="n">
        <v>41</v>
      </c>
      <c r="AS7" s="16" t="n">
        <v>42</v>
      </c>
      <c r="AT7" s="16" t="n">
        <v>43</v>
      </c>
      <c r="AU7" s="16" t="n">
        <v>44</v>
      </c>
      <c r="AV7" s="16" t="n">
        <v>45</v>
      </c>
      <c r="AW7" s="16" t="n">
        <v>46</v>
      </c>
      <c r="AX7" s="16" t="n">
        <v>47</v>
      </c>
      <c r="AY7" s="16" t="n">
        <v>48</v>
      </c>
      <c r="AZ7" s="16" t="n">
        <v>49</v>
      </c>
      <c r="BA7" s="16" t="n">
        <v>50</v>
      </c>
      <c r="BB7" s="16" t="n">
        <v>51</v>
      </c>
      <c r="BC7" s="16" t="n">
        <v>52</v>
      </c>
      <c r="BD7" s="16" t="n">
        <v>53</v>
      </c>
      <c r="BE7" s="16" t="n">
        <v>54</v>
      </c>
      <c r="BF7" s="16" t="n">
        <v>55</v>
      </c>
      <c r="BG7" s="16" t="n">
        <v>56</v>
      </c>
      <c r="BH7" s="16" t="n">
        <v>57</v>
      </c>
      <c r="BI7" s="16" t="n">
        <v>58</v>
      </c>
      <c r="BJ7" s="16" t="n">
        <v>59</v>
      </c>
      <c r="BK7" s="16" t="n">
        <v>60</v>
      </c>
      <c r="BL7" s="16" t="n">
        <v>61</v>
      </c>
      <c r="BM7" s="16" t="n">
        <v>62</v>
      </c>
      <c r="BN7" s="16" t="n">
        <v>63</v>
      </c>
      <c r="BO7" s="16" t="n">
        <v>64</v>
      </c>
      <c r="BP7" s="16" t="n">
        <v>65</v>
      </c>
      <c r="BQ7" s="16" t="n">
        <v>66</v>
      </c>
      <c r="BR7" s="16" t="n">
        <v>67</v>
      </c>
      <c r="BS7" s="16" t="n">
        <v>68</v>
      </c>
      <c r="BT7" s="16" t="n">
        <v>69</v>
      </c>
      <c r="BU7" s="16" t="n">
        <v>70</v>
      </c>
      <c r="BV7" s="16" t="n">
        <v>71</v>
      </c>
      <c r="BW7" s="16" t="n">
        <v>72</v>
      </c>
      <c r="BX7" s="16" t="n">
        <v>73</v>
      </c>
      <c r="BY7" s="16" t="n">
        <v>74</v>
      </c>
      <c r="BZ7" s="16" t="n">
        <v>75</v>
      </c>
      <c r="CA7" s="16" t="n">
        <v>76</v>
      </c>
      <c r="CB7" s="16" t="n">
        <v>77</v>
      </c>
      <c r="CC7" s="16" t="n">
        <v>78</v>
      </c>
      <c r="CD7" s="16" t="n">
        <v>79</v>
      </c>
      <c r="CE7" s="16" t="n">
        <v>80</v>
      </c>
      <c r="CF7" s="16" t="n">
        <v>81</v>
      </c>
      <c r="CG7" s="16" t="n">
        <v>82</v>
      </c>
      <c r="CH7" s="16" t="n">
        <v>83</v>
      </c>
      <c r="CI7" s="16" t="n">
        <v>84</v>
      </c>
      <c r="CJ7" s="16" t="n">
        <v>85</v>
      </c>
      <c r="CK7" s="16" t="n">
        <v>86</v>
      </c>
      <c r="CL7" s="16" t="n">
        <v>87</v>
      </c>
      <c r="CM7" s="16" t="n">
        <v>88</v>
      </c>
      <c r="CN7" s="16" t="n">
        <v>89</v>
      </c>
      <c r="CO7" s="16" t="n">
        <v>90</v>
      </c>
      <c r="CP7" s="16" t="n">
        <v>91</v>
      </c>
      <c r="CQ7" s="16" t="n">
        <v>92</v>
      </c>
      <c r="CR7" s="16" t="n">
        <v>93</v>
      </c>
      <c r="CS7" s="16" t="n">
        <v>94</v>
      </c>
      <c r="CT7" s="16" t="n">
        <v>95</v>
      </c>
      <c r="CU7" s="16" t="n">
        <v>96</v>
      </c>
      <c r="CV7" s="16" t="n">
        <v>97</v>
      </c>
      <c r="CW7" s="16" t="n">
        <v>98</v>
      </c>
      <c r="CX7" s="16" t="n">
        <v>99</v>
      </c>
      <c r="CY7" s="16" t="n">
        <v>100</v>
      </c>
      <c r="CZ7" s="16" t="n">
        <v>101</v>
      </c>
      <c r="DA7" s="16" t="n">
        <v>102</v>
      </c>
      <c r="DB7" s="16" t="n">
        <v>103</v>
      </c>
      <c r="DC7" s="16" t="n">
        <v>104</v>
      </c>
      <c r="DD7" s="16" t="n">
        <v>105</v>
      </c>
      <c r="DE7" s="16" t="n">
        <v>106</v>
      </c>
    </row>
    <row r="8">
      <c r="B8" s="15" t="inlineStr">
        <is>
          <t>Meses vivos</t>
        </is>
      </c>
      <c r="D8" s="16" t="n">
        <v>3</v>
      </c>
      <c r="E8" s="16" t="n">
        <v>3</v>
      </c>
      <c r="F8" s="16" t="n">
        <v>3</v>
      </c>
      <c r="G8" s="16" t="n">
        <v>3</v>
      </c>
      <c r="H8" s="16" t="n">
        <v>3</v>
      </c>
      <c r="I8" s="16" t="n">
        <v>3</v>
      </c>
      <c r="J8" s="16" t="n">
        <v>3</v>
      </c>
      <c r="K8" s="16" t="n">
        <v>3</v>
      </c>
      <c r="L8" s="16" t="n">
        <v>3</v>
      </c>
      <c r="M8" s="16" t="n">
        <v>3</v>
      </c>
      <c r="N8" s="16" t="n">
        <v>3</v>
      </c>
      <c r="O8" s="16" t="n">
        <v>3</v>
      </c>
      <c r="P8" s="16" t="n">
        <v>3</v>
      </c>
      <c r="Q8" s="16" t="n">
        <v>3</v>
      </c>
      <c r="R8" s="16" t="n">
        <v>3</v>
      </c>
      <c r="S8" s="16" t="n">
        <v>3</v>
      </c>
      <c r="T8" s="16" t="n">
        <v>3</v>
      </c>
      <c r="U8" s="16" t="n">
        <v>3</v>
      </c>
      <c r="V8" s="16" t="n">
        <v>3</v>
      </c>
      <c r="W8" s="16" t="n">
        <v>3</v>
      </c>
      <c r="X8" s="16" t="n">
        <v>3</v>
      </c>
      <c r="Y8" s="16" t="n">
        <v>3</v>
      </c>
      <c r="Z8" s="16" t="n">
        <v>3</v>
      </c>
      <c r="AA8" s="16" t="n">
        <v>3</v>
      </c>
      <c r="AB8" s="16" t="n">
        <v>3</v>
      </c>
      <c r="AC8" s="16" t="n">
        <v>3</v>
      </c>
      <c r="AD8" s="16" t="n">
        <v>3</v>
      </c>
      <c r="AE8" s="16" t="n">
        <v>3</v>
      </c>
      <c r="AF8" s="16" t="n">
        <v>3</v>
      </c>
      <c r="AG8" s="16" t="n">
        <v>3</v>
      </c>
      <c r="AH8" s="16" t="n">
        <v>3</v>
      </c>
      <c r="AI8" s="16" t="n">
        <v>3</v>
      </c>
      <c r="AJ8" s="16" t="n">
        <v>3</v>
      </c>
      <c r="AK8" s="16" t="n">
        <v>3</v>
      </c>
      <c r="AL8" s="16" t="n">
        <v>3</v>
      </c>
      <c r="AM8" s="16" t="n">
        <v>3</v>
      </c>
      <c r="AN8" s="16" t="n">
        <v>3</v>
      </c>
      <c r="AO8" s="16" t="n">
        <v>3</v>
      </c>
      <c r="AP8" s="16" t="n">
        <v>3</v>
      </c>
      <c r="AQ8" s="16" t="n">
        <v>3</v>
      </c>
      <c r="AR8" s="16" t="n">
        <v>3</v>
      </c>
      <c r="AS8" s="16" t="n">
        <v>3</v>
      </c>
      <c r="AT8" s="16" t="n">
        <v>3</v>
      </c>
      <c r="AU8" s="16" t="n">
        <v>3</v>
      </c>
      <c r="AV8" s="16" t="n">
        <v>3</v>
      </c>
      <c r="AW8" s="16" t="n">
        <v>3</v>
      </c>
      <c r="AX8" s="16" t="n">
        <v>3</v>
      </c>
      <c r="AY8" s="16" t="n">
        <v>3</v>
      </c>
      <c r="AZ8" s="16" t="n">
        <v>3</v>
      </c>
      <c r="BA8" s="16" t="n">
        <v>3</v>
      </c>
      <c r="BB8" s="16" t="n">
        <v>3</v>
      </c>
      <c r="BC8" s="16" t="n">
        <v>3</v>
      </c>
      <c r="BD8" s="16" t="n">
        <v>3</v>
      </c>
      <c r="BE8" s="16" t="n">
        <v>3</v>
      </c>
      <c r="BF8" s="16" t="n">
        <v>3</v>
      </c>
      <c r="BG8" s="16" t="n">
        <v>3</v>
      </c>
      <c r="BH8" s="16" t="n">
        <v>3</v>
      </c>
      <c r="BI8" s="16" t="n">
        <v>3</v>
      </c>
      <c r="BJ8" s="16" t="n">
        <v>3</v>
      </c>
      <c r="BK8" s="16" t="n">
        <v>3</v>
      </c>
      <c r="BL8" s="16" t="n">
        <v>3</v>
      </c>
      <c r="BM8" s="16" t="n">
        <v>3</v>
      </c>
      <c r="BN8" s="16" t="n">
        <v>3</v>
      </c>
      <c r="BO8" s="16" t="n">
        <v>3</v>
      </c>
      <c r="BP8" s="16" t="n">
        <v>3</v>
      </c>
      <c r="BQ8" s="16" t="n">
        <v>3</v>
      </c>
      <c r="BR8" s="16" t="n">
        <v>3</v>
      </c>
      <c r="BS8" s="16" t="n">
        <v>3</v>
      </c>
      <c r="BT8" s="16" t="n">
        <v>3</v>
      </c>
      <c r="BU8" s="16" t="n">
        <v>3</v>
      </c>
      <c r="BV8" s="16" t="n">
        <v>3</v>
      </c>
      <c r="BW8" s="16" t="n">
        <v>3</v>
      </c>
      <c r="BX8" s="16" t="n">
        <v>3</v>
      </c>
      <c r="BY8" s="16" t="n">
        <v>3</v>
      </c>
      <c r="BZ8" s="16" t="n">
        <v>3</v>
      </c>
      <c r="CA8" s="16" t="n">
        <v>3</v>
      </c>
      <c r="CB8" s="16" t="n">
        <v>3</v>
      </c>
      <c r="CC8" s="16" t="n">
        <v>3</v>
      </c>
      <c r="CD8" s="16" t="n">
        <v>3</v>
      </c>
      <c r="CE8" s="16" t="n">
        <v>3</v>
      </c>
      <c r="CF8" s="16" t="n">
        <v>3</v>
      </c>
      <c r="CG8" s="16" t="n">
        <v>3</v>
      </c>
      <c r="CH8" s="16" t="n">
        <v>3</v>
      </c>
      <c r="CI8" s="16" t="n">
        <v>3</v>
      </c>
      <c r="CJ8" s="16" t="n">
        <v>3</v>
      </c>
      <c r="CK8" s="16" t="n">
        <v>3</v>
      </c>
      <c r="CL8" s="16" t="n">
        <v>3</v>
      </c>
      <c r="CM8" s="16" t="n">
        <v>3</v>
      </c>
      <c r="CN8" s="16" t="n">
        <v>3</v>
      </c>
      <c r="CO8" s="16" t="n">
        <v>3</v>
      </c>
      <c r="CP8" s="16" t="n">
        <v>3</v>
      </c>
      <c r="CQ8" s="16" t="n">
        <v>3</v>
      </c>
      <c r="CR8" s="16" t="n">
        <v>3</v>
      </c>
      <c r="CS8" s="16" t="n">
        <v>3</v>
      </c>
      <c r="CT8" s="16" t="n">
        <v>3</v>
      </c>
      <c r="CU8" s="16" t="n">
        <v>3</v>
      </c>
      <c r="CV8" s="16" t="n">
        <v>3</v>
      </c>
      <c r="CW8" s="16" t="n">
        <v>3</v>
      </c>
      <c r="CX8" s="16" t="n">
        <v>3</v>
      </c>
      <c r="CY8" s="16" t="n">
        <v>3</v>
      </c>
      <c r="CZ8" s="16" t="n">
        <v>3</v>
      </c>
      <c r="DA8" s="16" t="n">
        <v>3</v>
      </c>
      <c r="DB8" s="16" t="n">
        <v>3</v>
      </c>
      <c r="DC8" s="16" t="n">
        <v>3</v>
      </c>
      <c r="DD8" s="16" t="n">
        <v>3</v>
      </c>
      <c r="DE8" s="16" t="n">
        <v>0</v>
      </c>
    </row>
    <row r="9">
      <c r="B9" s="17" t="inlineStr">
        <is>
          <t>PPD Inversiones</t>
        </is>
      </c>
      <c r="D9" s="19">
        <f>p_ppdi_anual*0.0</f>
        <v/>
      </c>
      <c r="E9" s="19">
        <f>p_ppdi_anual*0.0</f>
        <v/>
      </c>
      <c r="F9" s="19">
        <f>p_ppdi_anual*0.0</f>
        <v/>
      </c>
      <c r="G9" s="19">
        <f>p_ppdi_anual*0.0</f>
        <v/>
      </c>
      <c r="H9" s="19">
        <f>p_ppdi_anual*0.0</f>
        <v/>
      </c>
      <c r="I9" s="19">
        <f>p_ppdi_anual*0.0</f>
        <v/>
      </c>
      <c r="J9" s="19">
        <f>p_ppdi_anual*0.0</f>
        <v/>
      </c>
      <c r="K9" s="19">
        <f>p_ppdi_anual*0.0</f>
        <v/>
      </c>
      <c r="L9" s="19">
        <f>p_ppdi_anual*0.0</f>
        <v/>
      </c>
      <c r="M9" s="19">
        <f>p_ppdi_anual*0.0</f>
        <v/>
      </c>
      <c r="N9" s="19">
        <f>p_ppdi_anual*0.0</f>
        <v/>
      </c>
      <c r="O9" s="19">
        <f>p_ppdi_anual*0.0</f>
        <v/>
      </c>
      <c r="P9" s="19">
        <f>p_ppdi_anual*0.0</f>
        <v/>
      </c>
      <c r="Q9" s="19">
        <f>p_ppdi_anual*0.0</f>
        <v/>
      </c>
      <c r="R9" s="19">
        <f>p_ppdi_anual*0.0</f>
        <v/>
      </c>
      <c r="S9" s="19">
        <f>p_ppdi_anual*0.0</f>
        <v/>
      </c>
      <c r="T9" s="19">
        <f>p_ppdi_anual*0.25</f>
        <v/>
      </c>
      <c r="U9" s="19">
        <f>p_ppdi_anual*0.25</f>
        <v/>
      </c>
      <c r="V9" s="19">
        <f>p_ppdi_anual*0.25</f>
        <v/>
      </c>
      <c r="W9" s="19">
        <f>p_ppdi_anual*0.25</f>
        <v/>
      </c>
      <c r="X9" s="19">
        <f>p_ppdi_anual*0.25</f>
        <v/>
      </c>
      <c r="Y9" s="19">
        <f>p_ppdi_anual*0.25</f>
        <v/>
      </c>
      <c r="Z9" s="19">
        <f>p_ppdi_anual*0.25</f>
        <v/>
      </c>
      <c r="AA9" s="19">
        <f>p_ppdi_anual*0.25</f>
        <v/>
      </c>
      <c r="AB9" s="19">
        <f>p_ppdi_anual*0.25</f>
        <v/>
      </c>
      <c r="AC9" s="19">
        <f>p_ppdi_anual*0.25</f>
        <v/>
      </c>
      <c r="AD9" s="19">
        <f>p_ppdi_anual*0.25</f>
        <v/>
      </c>
      <c r="AE9" s="19">
        <f>p_ppdi_anual*0.25</f>
        <v/>
      </c>
      <c r="AF9" s="19">
        <f>p_ppdi_anual*0.25</f>
        <v/>
      </c>
      <c r="AG9" s="19">
        <f>p_ppdi_anual*0.25</f>
        <v/>
      </c>
      <c r="AH9" s="19">
        <f>p_ppdi_anual*0.25</f>
        <v/>
      </c>
      <c r="AI9" s="19">
        <f>p_ppdi_anual*0.25</f>
        <v/>
      </c>
      <c r="AJ9" s="19">
        <f>p_ppdi_anual*0.25</f>
        <v/>
      </c>
      <c r="AK9" s="19">
        <f>p_ppdi_anual*0.25</f>
        <v/>
      </c>
      <c r="AL9" s="19">
        <f>p_ppdi_anual*0.25</f>
        <v/>
      </c>
      <c r="AM9" s="19">
        <f>p_ppdi_anual*0.25</f>
        <v/>
      </c>
      <c r="AN9" s="19">
        <f>p_ppdi_anual*0.25</f>
        <v/>
      </c>
      <c r="AO9" s="19">
        <f>p_ppdi_anual*0.25</f>
        <v/>
      </c>
      <c r="AP9" s="19">
        <f>p_ppdi_anual*0.25</f>
        <v/>
      </c>
      <c r="AQ9" s="19">
        <f>p_ppdi_anual*0.25</f>
        <v/>
      </c>
      <c r="AR9" s="19">
        <f>p_ppdi_anual*0.25</f>
        <v/>
      </c>
      <c r="AS9" s="19">
        <f>p_ppdi_anual*0.25</f>
        <v/>
      </c>
      <c r="AT9" s="19">
        <f>p_ppdi_anual*0.25</f>
        <v/>
      </c>
      <c r="AU9" s="19">
        <f>p_ppdi_anual*0.25</f>
        <v/>
      </c>
      <c r="AV9" s="19">
        <f>p_ppdi_anual*0.25</f>
        <v/>
      </c>
      <c r="AW9" s="19">
        <f>p_ppdi_anual*0.25</f>
        <v/>
      </c>
      <c r="AX9" s="19">
        <f>p_ppdi_anual*0.25</f>
        <v/>
      </c>
      <c r="AY9" s="19">
        <f>p_ppdi_anual*0.25</f>
        <v/>
      </c>
      <c r="AZ9" s="19">
        <f>p_ppdi_anual*0.25</f>
        <v/>
      </c>
      <c r="BA9" s="19">
        <f>p_ppdi_anual*0.25</f>
        <v/>
      </c>
      <c r="BB9" s="19">
        <f>p_ppdi_anual*0.25</f>
        <v/>
      </c>
      <c r="BC9" s="19">
        <f>p_ppdi_anual*0.25</f>
        <v/>
      </c>
      <c r="BD9" s="19">
        <f>p_ppdi_anual*0.25</f>
        <v/>
      </c>
      <c r="BE9" s="19">
        <f>p_ppdi_anual*0.25</f>
        <v/>
      </c>
      <c r="BF9" s="19">
        <f>p_ppdi_anual*0.25</f>
        <v/>
      </c>
      <c r="BG9" s="19">
        <f>p_ppdi_anual*0.25</f>
        <v/>
      </c>
      <c r="BH9" s="19">
        <f>p_ppdi_anual*0.25</f>
        <v/>
      </c>
      <c r="BI9" s="19">
        <f>p_ppdi_anual*0.25</f>
        <v/>
      </c>
      <c r="BJ9" s="19">
        <f>p_ppdi_anual*0.25</f>
        <v/>
      </c>
      <c r="BK9" s="19">
        <f>p_ppdi_anual*0.25</f>
        <v/>
      </c>
      <c r="BL9" s="19">
        <f>p_ppdi_anual*0.25</f>
        <v/>
      </c>
      <c r="BM9" s="19">
        <f>p_ppdi_anual*0.25</f>
        <v/>
      </c>
      <c r="BN9" s="19">
        <f>p_ppdi_anual*0.25</f>
        <v/>
      </c>
      <c r="BO9" s="19">
        <f>p_ppdi_anual*0.25</f>
        <v/>
      </c>
      <c r="BP9" s="19">
        <f>p_ppdi_anual*0.25</f>
        <v/>
      </c>
      <c r="BQ9" s="19">
        <f>p_ppdi_anual*0.25</f>
        <v/>
      </c>
      <c r="BR9" s="19">
        <f>p_ppdi_anual*0.25</f>
        <v/>
      </c>
      <c r="BS9" s="19">
        <f>p_ppdi_anual*0.25</f>
        <v/>
      </c>
      <c r="BT9" s="19">
        <f>p_ppdi_anual*0.25</f>
        <v/>
      </c>
      <c r="BU9" s="19">
        <f>p_ppdi_anual*0.25</f>
        <v/>
      </c>
      <c r="BV9" s="19">
        <f>p_ppdi_anual*0.25</f>
        <v/>
      </c>
      <c r="BW9" s="19">
        <f>p_ppdi_anual*0.25</f>
        <v/>
      </c>
      <c r="BX9" s="19">
        <f>p_ppdi_anual*0.25</f>
        <v/>
      </c>
      <c r="BY9" s="19">
        <f>p_ppdi_anual*0.25</f>
        <v/>
      </c>
      <c r="BZ9" s="19">
        <f>p_ppdi_anual*0.25</f>
        <v/>
      </c>
      <c r="CA9" s="19">
        <f>p_ppdi_anual*0.25</f>
        <v/>
      </c>
      <c r="CB9" s="19">
        <f>p_ppdi_anual*0.0</f>
        <v/>
      </c>
      <c r="CC9" s="19">
        <f>p_ppdi_anual*0.0</f>
        <v/>
      </c>
      <c r="CD9" s="19">
        <f>p_ppdi_anual*0.0</f>
        <v/>
      </c>
      <c r="CE9" s="19">
        <f>p_ppdi_anual*0.0</f>
        <v/>
      </c>
      <c r="CF9" s="19">
        <f>p_ppdi_anual*0.0</f>
        <v/>
      </c>
      <c r="CG9" s="19">
        <f>p_ppdi_anual*0.0</f>
        <v/>
      </c>
      <c r="CH9" s="19">
        <f>p_ppdi_anual*0.0</f>
        <v/>
      </c>
      <c r="CI9" s="19">
        <f>p_ppdi_anual*0.0</f>
        <v/>
      </c>
      <c r="CJ9" s="19">
        <f>p_ppdi_anual*0.0</f>
        <v/>
      </c>
      <c r="CK9" s="19">
        <f>p_ppdi_anual*0.0</f>
        <v/>
      </c>
      <c r="CL9" s="19">
        <f>p_ppdi_anual*0.0</f>
        <v/>
      </c>
      <c r="CM9" s="19">
        <f>p_ppdi_anual*0.0</f>
        <v/>
      </c>
      <c r="CN9" s="19">
        <f>p_ppdi_anual*0.0</f>
        <v/>
      </c>
      <c r="CO9" s="19">
        <f>p_ppdi_anual*0.0</f>
        <v/>
      </c>
      <c r="CP9" s="19">
        <f>p_ppdi_anual*0.0</f>
        <v/>
      </c>
      <c r="CQ9" s="19">
        <f>p_ppdi_anual*0.0</f>
        <v/>
      </c>
      <c r="CR9" s="19">
        <f>p_ppdi_anual*0.0</f>
        <v/>
      </c>
      <c r="CS9" s="19">
        <f>p_ppdi_anual*0.0</f>
        <v/>
      </c>
      <c r="CT9" s="19">
        <f>p_ppdi_anual*0.0</f>
        <v/>
      </c>
      <c r="CU9" s="19">
        <f>p_ppdi_anual*0.0</f>
        <v/>
      </c>
      <c r="CV9" s="19">
        <f>p_ppdi_anual*0.0</f>
        <v/>
      </c>
      <c r="CW9" s="19">
        <f>p_ppdi_anual*0.0</f>
        <v/>
      </c>
      <c r="CX9" s="19">
        <f>p_ppdi_anual*0.0</f>
        <v/>
      </c>
      <c r="CY9" s="19">
        <f>p_ppdi_anual*0.0</f>
        <v/>
      </c>
      <c r="CZ9" s="19">
        <f>p_ppdi_anual*0.0</f>
        <v/>
      </c>
      <c r="DA9" s="19">
        <f>p_ppdi_anual*0.0</f>
        <v/>
      </c>
      <c r="DB9" s="19">
        <f>p_ppdi_anual*0.0</f>
        <v/>
      </c>
      <c r="DC9" s="19">
        <f>p_ppdi_anual*0.0</f>
        <v/>
      </c>
      <c r="DD9" s="19">
        <f>p_ppdi_anual*0.0</f>
        <v/>
      </c>
      <c r="DE9" s="19">
        <f>p_ppdi_anual*0.0</f>
        <v/>
      </c>
    </row>
    <row r="10">
      <c r="B10" s="17" t="inlineStr">
        <is>
          <t>PPD MO fijo</t>
        </is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9" t="n">
        <v>0</v>
      </c>
      <c r="R10" s="19" t="n">
        <v>0</v>
      </c>
      <c r="S10" s="19" t="n">
        <v>0</v>
      </c>
      <c r="T10" s="19" t="n">
        <v>0</v>
      </c>
      <c r="U10" s="19" t="n">
        <v>1669.977527169678</v>
      </c>
      <c r="V10" s="19" t="n">
        <v>1669.977527169678</v>
      </c>
      <c r="W10" s="19" t="n">
        <v>1669.977527169678</v>
      </c>
      <c r="X10" s="19" t="n">
        <v>1669.977527169678</v>
      </c>
      <c r="Y10" s="19" t="n">
        <v>1704.234332843685</v>
      </c>
      <c r="Z10" s="19" t="n">
        <v>1721.362735680688</v>
      </c>
      <c r="AA10" s="19" t="n">
        <v>1721.362735680688</v>
      </c>
      <c r="AB10" s="19" t="n">
        <v>1721.362735680688</v>
      </c>
      <c r="AC10" s="19" t="n">
        <v>1721.362735680688</v>
      </c>
      <c r="AD10" s="19" t="n">
        <v>1774.334422842511</v>
      </c>
      <c r="AE10" s="19" t="n">
        <v>1774.334422842511</v>
      </c>
      <c r="AF10" s="19" t="n">
        <v>1774.334422842511</v>
      </c>
      <c r="AG10" s="19" t="n">
        <v>1774.334422842511</v>
      </c>
      <c r="AH10" s="19" t="n">
        <v>1792.531611296903</v>
      </c>
      <c r="AI10" s="19" t="n">
        <v>1828.925988205688</v>
      </c>
      <c r="AJ10" s="19" t="n">
        <v>1828.925988205688</v>
      </c>
      <c r="AK10" s="19" t="n">
        <v>1828.925988205688</v>
      </c>
      <c r="AL10" s="19" t="n">
        <v>1828.925988205688</v>
      </c>
      <c r="AM10" s="19" t="n">
        <v>1866.444816649433</v>
      </c>
      <c r="AN10" s="19" t="n">
        <v>1885.204230871306</v>
      </c>
      <c r="AO10" s="19" t="n">
        <v>1885.204230871306</v>
      </c>
      <c r="AP10" s="19" t="n">
        <v>1885.204230871306</v>
      </c>
      <c r="AQ10" s="19" t="n">
        <v>1885.204230871306</v>
      </c>
      <c r="AR10" s="19" t="n">
        <v>1943.219250165181</v>
      </c>
      <c r="AS10" s="19" t="n">
        <v>1943.219250165181</v>
      </c>
      <c r="AT10" s="19" t="n">
        <v>1943.219250165181</v>
      </c>
      <c r="AU10" s="19" t="n">
        <v>1943.219250165181</v>
      </c>
      <c r="AV10" s="19" t="n">
        <v>1963.153215247829</v>
      </c>
      <c r="AW10" s="19" t="n">
        <v>2003.021145413126</v>
      </c>
      <c r="AX10" s="19" t="n">
        <v>2003.021145413126</v>
      </c>
      <c r="AY10" s="19" t="n">
        <v>2003.021145413126</v>
      </c>
      <c r="AZ10" s="19" t="n">
        <v>2003.021145413126</v>
      </c>
      <c r="BA10" s="19" t="n">
        <v>2044.113725765015</v>
      </c>
      <c r="BB10" s="19" t="n">
        <v>2064.660015940959</v>
      </c>
      <c r="BC10" s="19" t="n">
        <v>2064.660015940959</v>
      </c>
      <c r="BD10" s="19" t="n">
        <v>2064.660015940959</v>
      </c>
      <c r="BE10" s="19" t="n">
        <v>2064.660015940959</v>
      </c>
      <c r="BF10" s="19" t="n">
        <v>2128.185961074494</v>
      </c>
      <c r="BG10" s="19" t="n">
        <v>2128.185961074494</v>
      </c>
      <c r="BH10" s="19" t="n">
        <v>2128.185961074494</v>
      </c>
      <c r="BI10" s="19" t="n">
        <v>2128.185961074494</v>
      </c>
      <c r="BJ10" s="19" t="n">
        <v>2150.012567354602</v>
      </c>
      <c r="BK10" s="19" t="n">
        <v>2193.665779914817</v>
      </c>
      <c r="BL10" s="19" t="n">
        <v>2193.665779914817</v>
      </c>
      <c r="BM10" s="19" t="n">
        <v>2193.665779914817</v>
      </c>
      <c r="BN10" s="19" t="n">
        <v>2193.665779914817</v>
      </c>
      <c r="BO10" s="19" t="n">
        <v>2238.666107680282</v>
      </c>
      <c r="BP10" s="19" t="n">
        <v>2261.166271563015</v>
      </c>
      <c r="BQ10" s="19" t="n">
        <v>2261.166271563015</v>
      </c>
      <c r="BR10" s="19" t="n">
        <v>2261.166271563015</v>
      </c>
      <c r="BS10" s="19" t="n">
        <v>2261.166271563015</v>
      </c>
      <c r="BT10" s="19" t="n">
        <v>2330.737535344904</v>
      </c>
      <c r="BU10" s="19" t="n">
        <v>2330.737535344904</v>
      </c>
      <c r="BV10" s="19" t="n">
        <v>2330.737535344904</v>
      </c>
      <c r="BW10" s="19" t="n">
        <v>2330.737535344904</v>
      </c>
      <c r="BX10" s="19" t="n">
        <v>2354.646046942216</v>
      </c>
      <c r="BY10" s="19" t="n">
        <v>2402.463070136841</v>
      </c>
      <c r="BZ10" s="19" t="n">
        <v>2402.463070136841</v>
      </c>
      <c r="CA10" s="19" t="n">
        <v>2402.463070136841</v>
      </c>
      <c r="CB10" s="19" t="n">
        <v>2402.463070136841</v>
      </c>
      <c r="CC10" s="19" t="n">
        <v>2451.749673555376</v>
      </c>
      <c r="CD10" s="19" t="n">
        <v>2476.392975264643</v>
      </c>
      <c r="CE10" s="19" t="n">
        <v>2476.392975264643</v>
      </c>
      <c r="CF10" s="19" t="n">
        <v>2476.392975264643</v>
      </c>
      <c r="CG10" s="19" t="n">
        <v>2476.392975264643</v>
      </c>
      <c r="CH10" s="19" t="n">
        <v>2552.594049829396</v>
      </c>
      <c r="CI10" s="19" t="n">
        <v>2552.594049829396</v>
      </c>
      <c r="CJ10" s="19" t="n">
        <v>2552.594049829396</v>
      </c>
      <c r="CK10" s="19" t="n">
        <v>2552.594049829396</v>
      </c>
      <c r="CL10" s="19" t="n">
        <v>2578.779297455416</v>
      </c>
      <c r="CM10" s="19" t="n">
        <v>2631.149792707457</v>
      </c>
      <c r="CN10" s="19" t="n">
        <v>2631.149792707457</v>
      </c>
      <c r="CO10" s="19" t="n">
        <v>2631.149792707457</v>
      </c>
      <c r="CP10" s="19" t="n">
        <v>2631.149792707457</v>
      </c>
      <c r="CQ10" s="19" t="n">
        <v>2685.123466385581</v>
      </c>
      <c r="CR10" s="19" t="n">
        <v>2712.110303224643</v>
      </c>
      <c r="CS10" s="19" t="n">
        <v>2712.110303224643</v>
      </c>
      <c r="CT10" s="19" t="n">
        <v>2712.110303224643</v>
      </c>
      <c r="CU10" s="19" t="n">
        <v>2712.110303224643</v>
      </c>
      <c r="CV10" s="19" t="n">
        <v>2795.575780032584</v>
      </c>
      <c r="CW10" s="19" t="n">
        <v>2795.575780032584</v>
      </c>
      <c r="CX10" s="19" t="n">
        <v>2795.575780032584</v>
      </c>
      <c r="CY10" s="19" t="n">
        <v>2795.575780032584</v>
      </c>
      <c r="CZ10" s="19" t="n">
        <v>2824.249294174087</v>
      </c>
      <c r="DA10" s="19" t="n">
        <v>2881.596322457094</v>
      </c>
      <c r="DB10" s="19" t="n">
        <v>2881.596322457094</v>
      </c>
      <c r="DC10" s="19" t="n">
        <v>2881.596322457094</v>
      </c>
      <c r="DD10" s="19" t="n">
        <v>2881.596322457094</v>
      </c>
      <c r="DE10" s="19" t="n">
        <v>0</v>
      </c>
    </row>
    <row r="11">
      <c r="B11" s="17" t="inlineStr">
        <is>
          <t>PPD MO variable</t>
        </is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N11" s="19" t="n">
        <v>0</v>
      </c>
      <c r="O11" s="19" t="n">
        <v>0</v>
      </c>
      <c r="P11" s="19" t="n">
        <v>0</v>
      </c>
      <c r="Q11" s="19" t="n">
        <v>0</v>
      </c>
      <c r="R11" s="19" t="n">
        <v>0</v>
      </c>
      <c r="S11" s="19" t="n">
        <v>0</v>
      </c>
      <c r="T11" s="19" t="n">
        <v>0</v>
      </c>
      <c r="U11" s="19" t="n">
        <v>6464.256420416443</v>
      </c>
      <c r="V11" s="19" t="n">
        <v>6548.774917959478</v>
      </c>
      <c r="W11" s="19" t="n">
        <v>6548.774917959478</v>
      </c>
      <c r="X11" s="19" t="n">
        <v>6548.774917959478</v>
      </c>
      <c r="Y11" s="19" t="n">
        <v>6683.112120776554</v>
      </c>
      <c r="Z11" s="19" t="n">
        <v>6822.879998612118</v>
      </c>
      <c r="AA11" s="19" t="n">
        <v>6822.879998612118</v>
      </c>
      <c r="AB11" s="19" t="n">
        <v>6822.879998612118</v>
      </c>
      <c r="AC11" s="19" t="n">
        <v>6822.879998612118</v>
      </c>
      <c r="AD11" s="19" t="n">
        <v>7092.707950264514</v>
      </c>
      <c r="AE11" s="19" t="n">
        <v>7092.707950264514</v>
      </c>
      <c r="AF11" s="19" t="n">
        <v>7092.707950264514</v>
      </c>
      <c r="AG11" s="19" t="n">
        <v>7092.707950264514</v>
      </c>
      <c r="AH11" s="19" t="n">
        <v>7225.929908029148</v>
      </c>
      <c r="AI11" s="19" t="n">
        <v>7372.640412285751</v>
      </c>
      <c r="AJ11" s="19" t="n">
        <v>7372.640412285751</v>
      </c>
      <c r="AK11" s="19" t="n">
        <v>7372.640412285751</v>
      </c>
      <c r="AL11" s="19" t="n">
        <v>7434.349057711873</v>
      </c>
      <c r="AM11" s="19" t="n">
        <v>7586.858272784518</v>
      </c>
      <c r="AN11" s="19" t="n">
        <v>7663.11288032084</v>
      </c>
      <c r="AO11" s="19" t="n">
        <v>7663.11288032084</v>
      </c>
      <c r="AP11" s="19" t="n">
        <v>7726.720374658429</v>
      </c>
      <c r="AQ11" s="19" t="n">
        <v>7726.720374658429</v>
      </c>
      <c r="AR11" s="19" t="n">
        <v>7964.5014194246</v>
      </c>
      <c r="AS11" s="19" t="n">
        <v>7964.5014194246</v>
      </c>
      <c r="AT11" s="19" t="n">
        <v>8357.891075868703</v>
      </c>
      <c r="AU11" s="19" t="n">
        <v>8357.891075868703</v>
      </c>
      <c r="AV11" s="19" t="n">
        <v>8443.628137631953</v>
      </c>
      <c r="AW11" s="19" t="n">
        <v>8615.102261158454</v>
      </c>
      <c r="AX11" s="19" t="n">
        <v>8699.580612415153</v>
      </c>
      <c r="AY11" s="19" t="n">
        <v>8699.580612415153</v>
      </c>
      <c r="AZ11" s="19" t="n">
        <v>8699.580612415153</v>
      </c>
      <c r="BA11" s="19" t="n">
        <v>8878.055121364818</v>
      </c>
      <c r="BB11" s="19" t="n">
        <v>9054.370375216611</v>
      </c>
      <c r="BC11" s="19" t="n">
        <v>9054.370375216611</v>
      </c>
      <c r="BD11" s="19" t="n">
        <v>9054.370375216611</v>
      </c>
      <c r="BE11" s="19" t="n">
        <v>9054.370375216611</v>
      </c>
      <c r="BF11" s="19" t="n">
        <v>9440.666056087943</v>
      </c>
      <c r="BG11" s="19" t="n">
        <v>9440.666056087943</v>
      </c>
      <c r="BH11" s="19" t="n">
        <v>9440.666056087943</v>
      </c>
      <c r="BI11" s="19" t="n">
        <v>9440.666056087943</v>
      </c>
      <c r="BJ11" s="19" t="n">
        <v>9628.16700440651</v>
      </c>
      <c r="BK11" s="19" t="n">
        <v>9823.654429545495</v>
      </c>
      <c r="BL11" s="19" t="n">
        <v>9823.654429545495</v>
      </c>
      <c r="BM11" s="19" t="n">
        <v>9823.654429545495</v>
      </c>
      <c r="BN11" s="19" t="n">
        <v>9934.677082733049</v>
      </c>
      <c r="BO11" s="19" t="n">
        <v>10138.47463888785</v>
      </c>
      <c r="BP11" s="19" t="n">
        <v>10240.37341696524</v>
      </c>
      <c r="BQ11" s="19" t="n">
        <v>10240.37341696524</v>
      </c>
      <c r="BR11" s="19" t="n">
        <v>10335.73915934712</v>
      </c>
      <c r="BS11" s="19" t="n">
        <v>10335.73915934712</v>
      </c>
      <c r="BT11" s="19" t="n">
        <v>10653.74781022739</v>
      </c>
      <c r="BU11" s="19" t="n">
        <v>10653.74781022739</v>
      </c>
      <c r="BV11" s="19" t="n">
        <v>10771.70774169328</v>
      </c>
      <c r="BW11" s="19" t="n">
        <v>10771.70774169328</v>
      </c>
      <c r="BX11" s="19" t="n">
        <v>10882.20302293353</v>
      </c>
      <c r="BY11" s="19" t="n">
        <v>11103.19358541402</v>
      </c>
      <c r="BZ11" s="19" t="n">
        <v>11224.78358634938</v>
      </c>
      <c r="CA11" s="19" t="n">
        <v>11224.78358634938</v>
      </c>
      <c r="CB11" s="19" t="n">
        <v>11224.78358634938</v>
      </c>
      <c r="CC11" s="19" t="n">
        <v>11455.06036519192</v>
      </c>
      <c r="CD11" s="19" t="n">
        <v>11695.53038943478</v>
      </c>
      <c r="CE11" s="19" t="n">
        <v>11695.53038943478</v>
      </c>
      <c r="CF11" s="19" t="n">
        <v>11695.53038943478</v>
      </c>
      <c r="CG11" s="19" t="n">
        <v>11695.53038943478</v>
      </c>
      <c r="CH11" s="19" t="n">
        <v>12184.60170431816</v>
      </c>
      <c r="CI11" s="19" t="n">
        <v>12184.60170431816</v>
      </c>
      <c r="CJ11" s="19" t="n">
        <v>12184.60170431816</v>
      </c>
      <c r="CK11" s="19" t="n">
        <v>12184.60170431816</v>
      </c>
      <c r="CL11" s="19" t="n">
        <v>12440.10833463588</v>
      </c>
      <c r="CM11" s="19" t="n">
        <v>12692.74516754235</v>
      </c>
      <c r="CN11" s="19" t="n">
        <v>12692.74516754235</v>
      </c>
      <c r="CO11" s="19" t="n">
        <v>12692.74516754235</v>
      </c>
      <c r="CP11" s="19" t="n">
        <v>12825.90913153125</v>
      </c>
      <c r="CQ11" s="19" t="n">
        <v>13089.0113828775</v>
      </c>
      <c r="CR11" s="19" t="n">
        <v>13220.56250855062</v>
      </c>
      <c r="CS11" s="19" t="n">
        <v>13220.56250855062</v>
      </c>
      <c r="CT11" s="19" t="n">
        <v>13380.70083275871</v>
      </c>
      <c r="CU11" s="19" t="n">
        <v>13380.70083275871</v>
      </c>
      <c r="CV11" s="19" t="n">
        <v>13792.49329330234</v>
      </c>
      <c r="CW11" s="19" t="n">
        <v>13792.49329330234</v>
      </c>
      <c r="CX11" s="19" t="n">
        <v>13957.55989110217</v>
      </c>
      <c r="CY11" s="19" t="n">
        <v>13957.55989110217</v>
      </c>
      <c r="CZ11" s="19" t="n">
        <v>14100.71905486976</v>
      </c>
      <c r="DA11" s="19" t="n">
        <v>14387.03738240494</v>
      </c>
      <c r="DB11" s="19" t="n">
        <v>14387.03738240494</v>
      </c>
      <c r="DC11" s="19" t="n">
        <v>14387.03738240494</v>
      </c>
      <c r="DD11" s="19" t="n">
        <v>14387.03738240494</v>
      </c>
      <c r="DE11" s="19" t="n">
        <v>0</v>
      </c>
    </row>
    <row r="12">
      <c r="B12" s="17" t="inlineStr">
        <is>
          <t>Flag de supervision</t>
        </is>
      </c>
      <c r="D12" s="18" t="n">
        <v>0</v>
      </c>
      <c r="E12" s="18" t="n">
        <v>0</v>
      </c>
      <c r="F12" s="18" t="n">
        <v>0</v>
      </c>
      <c r="G12" s="18" t="n">
        <v>0</v>
      </c>
      <c r="H12" s="18" t="n">
        <v>0</v>
      </c>
      <c r="I12" s="18" t="n">
        <v>0</v>
      </c>
      <c r="J12" s="18" t="n">
        <v>0</v>
      </c>
      <c r="K12" s="18" t="n">
        <v>0</v>
      </c>
      <c r="L12" s="18" t="n">
        <v>0</v>
      </c>
      <c r="M12" s="18" t="n">
        <v>0</v>
      </c>
      <c r="N12" s="18" t="n">
        <v>0</v>
      </c>
      <c r="O12" s="18" t="n">
        <v>0</v>
      </c>
      <c r="P12" s="18" t="n">
        <v>0</v>
      </c>
      <c r="Q12" s="18" t="n">
        <v>0</v>
      </c>
      <c r="R12" s="18" t="n">
        <v>0</v>
      </c>
      <c r="S12" s="18" t="n">
        <v>0</v>
      </c>
      <c r="T12" s="18" t="n">
        <v>1</v>
      </c>
      <c r="U12" s="18" t="n">
        <v>1</v>
      </c>
      <c r="V12" s="18" t="n">
        <v>1</v>
      </c>
      <c r="W12" s="18" t="n">
        <v>1</v>
      </c>
      <c r="X12" s="18" t="n">
        <v>1</v>
      </c>
      <c r="Y12" s="18" t="n">
        <v>1</v>
      </c>
      <c r="Z12" s="18" t="n">
        <v>1</v>
      </c>
      <c r="AA12" s="18" t="n">
        <v>1</v>
      </c>
      <c r="AB12" s="18" t="n">
        <v>1</v>
      </c>
      <c r="AC12" s="18" t="n">
        <v>1</v>
      </c>
      <c r="AD12" s="18" t="n">
        <v>1</v>
      </c>
      <c r="AE12" s="18" t="n">
        <v>1</v>
      </c>
      <c r="AF12" s="18" t="n">
        <v>1</v>
      </c>
      <c r="AG12" s="18" t="n">
        <v>1</v>
      </c>
      <c r="AH12" s="18" t="n">
        <v>1</v>
      </c>
      <c r="AI12" s="18" t="n">
        <v>1</v>
      </c>
      <c r="AJ12" s="18" t="n">
        <v>1</v>
      </c>
      <c r="AK12" s="18" t="n">
        <v>1</v>
      </c>
      <c r="AL12" s="18" t="n">
        <v>1</v>
      </c>
      <c r="AM12" s="18" t="n">
        <v>1</v>
      </c>
      <c r="AN12" s="18" t="n">
        <v>1</v>
      </c>
      <c r="AO12" s="18" t="n">
        <v>1</v>
      </c>
      <c r="AP12" s="18" t="n">
        <v>1</v>
      </c>
      <c r="AQ12" s="18" t="n">
        <v>1</v>
      </c>
      <c r="AR12" s="18" t="n">
        <v>1</v>
      </c>
      <c r="AS12" s="18" t="n">
        <v>1</v>
      </c>
      <c r="AT12" s="18" t="n">
        <v>1</v>
      </c>
      <c r="AU12" s="18" t="n">
        <v>1</v>
      </c>
      <c r="AV12" s="18" t="n">
        <v>1</v>
      </c>
      <c r="AW12" s="18" t="n">
        <v>1</v>
      </c>
      <c r="AX12" s="18" t="n">
        <v>1</v>
      </c>
      <c r="AY12" s="18" t="n">
        <v>1</v>
      </c>
      <c r="AZ12" s="18" t="n">
        <v>1</v>
      </c>
      <c r="BA12" s="18" t="n">
        <v>1</v>
      </c>
      <c r="BB12" s="18" t="n">
        <v>1</v>
      </c>
      <c r="BC12" s="18" t="n">
        <v>1</v>
      </c>
      <c r="BD12" s="18" t="n">
        <v>1</v>
      </c>
      <c r="BE12" s="18" t="n">
        <v>1</v>
      </c>
      <c r="BF12" s="18" t="n">
        <v>1</v>
      </c>
      <c r="BG12" s="18" t="n">
        <v>1</v>
      </c>
      <c r="BH12" s="18" t="n">
        <v>1</v>
      </c>
      <c r="BI12" s="18" t="n">
        <v>1</v>
      </c>
      <c r="BJ12" s="18" t="n">
        <v>1</v>
      </c>
      <c r="BK12" s="18" t="n">
        <v>1</v>
      </c>
      <c r="BL12" s="18" t="n">
        <v>1</v>
      </c>
      <c r="BM12" s="18" t="n">
        <v>1</v>
      </c>
      <c r="BN12" s="18" t="n">
        <v>1</v>
      </c>
      <c r="BO12" s="18" t="n">
        <v>1</v>
      </c>
      <c r="BP12" s="18" t="n">
        <v>1</v>
      </c>
      <c r="BQ12" s="18" t="n">
        <v>1</v>
      </c>
      <c r="BR12" s="18" t="n">
        <v>1</v>
      </c>
      <c r="BS12" s="18" t="n">
        <v>1</v>
      </c>
      <c r="BT12" s="18" t="n">
        <v>1</v>
      </c>
      <c r="BU12" s="18" t="n">
        <v>1</v>
      </c>
      <c r="BV12" s="18" t="n">
        <v>1</v>
      </c>
      <c r="BW12" s="18" t="n">
        <v>1</v>
      </c>
      <c r="BX12" s="18" t="n">
        <v>1</v>
      </c>
      <c r="BY12" s="18" t="n">
        <v>1</v>
      </c>
      <c r="BZ12" s="18" t="n">
        <v>1</v>
      </c>
      <c r="CA12" s="18" t="n">
        <v>1</v>
      </c>
      <c r="CB12" s="18" t="n">
        <v>1</v>
      </c>
      <c r="CC12" s="18" t="n">
        <v>1</v>
      </c>
      <c r="CD12" s="18" t="n">
        <v>1</v>
      </c>
      <c r="CE12" s="18" t="n">
        <v>1</v>
      </c>
      <c r="CF12" s="18" t="n">
        <v>1</v>
      </c>
      <c r="CG12" s="18" t="n">
        <v>1</v>
      </c>
      <c r="CH12" s="18" t="n">
        <v>1</v>
      </c>
      <c r="CI12" s="18" t="n">
        <v>1</v>
      </c>
      <c r="CJ12" s="18" t="n">
        <v>1</v>
      </c>
      <c r="CK12" s="18" t="n">
        <v>1</v>
      </c>
      <c r="CL12" s="18" t="n">
        <v>1</v>
      </c>
      <c r="CM12" s="18" t="n">
        <v>1</v>
      </c>
      <c r="CN12" s="18" t="n">
        <v>1</v>
      </c>
      <c r="CO12" s="18" t="n">
        <v>1</v>
      </c>
      <c r="CP12" s="18" t="n">
        <v>1</v>
      </c>
      <c r="CQ12" s="18" t="n">
        <v>1</v>
      </c>
      <c r="CR12" s="18" t="n">
        <v>1</v>
      </c>
      <c r="CS12" s="18" t="n">
        <v>1</v>
      </c>
      <c r="CT12" s="18" t="n">
        <v>1</v>
      </c>
      <c r="CU12" s="18" t="n">
        <v>1</v>
      </c>
      <c r="CV12" s="18" t="n">
        <v>1</v>
      </c>
      <c r="CW12" s="18" t="n">
        <v>1</v>
      </c>
      <c r="CX12" s="18" t="n">
        <v>1</v>
      </c>
      <c r="CY12" s="18" t="n">
        <v>1</v>
      </c>
      <c r="CZ12" s="18" t="n">
        <v>1</v>
      </c>
      <c r="DA12" s="18" t="n">
        <v>1</v>
      </c>
      <c r="DB12" s="18" t="n">
        <v>1</v>
      </c>
      <c r="DC12" s="18" t="n">
        <v>1</v>
      </c>
      <c r="DD12" s="18" t="n">
        <v>0</v>
      </c>
      <c r="DE12" s="18" t="n">
        <v>0</v>
      </c>
    </row>
    <row r="13">
      <c r="B13" s="17" t="inlineStr">
        <is>
          <t>Supervision SUNASS</t>
        </is>
      </c>
      <c r="D13" s="19">
        <f>-p_superv*SUM(D9:D11)*D12</f>
        <v/>
      </c>
      <c r="E13" s="19">
        <f>-p_superv*SUM(E9:E11)*E12</f>
        <v/>
      </c>
      <c r="F13" s="19">
        <f>-p_superv*SUM(F9:F11)*F12</f>
        <v/>
      </c>
      <c r="G13" s="19">
        <f>-p_superv*SUM(G9:G11)*G12</f>
        <v/>
      </c>
      <c r="H13" s="19">
        <f>-p_superv*SUM(H9:H11)*H12</f>
        <v/>
      </c>
      <c r="I13" s="19">
        <f>-p_superv*SUM(I9:I11)*I12</f>
        <v/>
      </c>
      <c r="J13" s="19">
        <f>-p_superv*SUM(J9:J11)*J12</f>
        <v/>
      </c>
      <c r="K13" s="19">
        <f>-p_superv*SUM(K9:K11)*K12</f>
        <v/>
      </c>
      <c r="L13" s="19">
        <f>-p_superv*SUM(L9:L11)*L12</f>
        <v/>
      </c>
      <c r="M13" s="19">
        <f>-p_superv*SUM(M9:M11)*M12</f>
        <v/>
      </c>
      <c r="N13" s="19">
        <f>-p_superv*SUM(N9:N11)*N12</f>
        <v/>
      </c>
      <c r="O13" s="19">
        <f>-p_superv*SUM(O9:O11)*O12</f>
        <v/>
      </c>
      <c r="P13" s="19">
        <f>-p_superv*SUM(P9:P11)*P12</f>
        <v/>
      </c>
      <c r="Q13" s="19">
        <f>-p_superv*SUM(Q9:Q11)*Q12</f>
        <v/>
      </c>
      <c r="R13" s="19">
        <f>-p_superv*SUM(R9:R11)*R12</f>
        <v/>
      </c>
      <c r="S13" s="19">
        <f>-p_superv*SUM(S9:S11)*S12</f>
        <v/>
      </c>
      <c r="T13" s="19">
        <f>-p_superv*SUM(T9:T11)*T12</f>
        <v/>
      </c>
      <c r="U13" s="19">
        <f>-p_superv*SUM(U9:U11)*U12</f>
        <v/>
      </c>
      <c r="V13" s="19">
        <f>-p_superv*SUM(V9:V11)*V12</f>
        <v/>
      </c>
      <c r="W13" s="19">
        <f>-p_superv*SUM(W9:W11)*W12</f>
        <v/>
      </c>
      <c r="X13" s="19">
        <f>-p_superv*SUM(X9:X11)*X12</f>
        <v/>
      </c>
      <c r="Y13" s="19">
        <f>-p_superv*SUM(Y9:Y11)*Y12</f>
        <v/>
      </c>
      <c r="Z13" s="19">
        <f>-p_superv*SUM(Z9:Z11)*Z12</f>
        <v/>
      </c>
      <c r="AA13" s="19">
        <f>-p_superv*SUM(AA9:AA11)*AA12</f>
        <v/>
      </c>
      <c r="AB13" s="19">
        <f>-p_superv*SUM(AB9:AB11)*AB12</f>
        <v/>
      </c>
      <c r="AC13" s="19">
        <f>-p_superv*SUM(AC9:AC11)*AC12</f>
        <v/>
      </c>
      <c r="AD13" s="19">
        <f>-p_superv*SUM(AD9:AD11)*AD12</f>
        <v/>
      </c>
      <c r="AE13" s="19">
        <f>-p_superv*SUM(AE9:AE11)*AE12</f>
        <v/>
      </c>
      <c r="AF13" s="19">
        <f>-p_superv*SUM(AF9:AF11)*AF12</f>
        <v/>
      </c>
      <c r="AG13" s="19">
        <f>-p_superv*SUM(AG9:AG11)*AG12</f>
        <v/>
      </c>
      <c r="AH13" s="19">
        <f>-p_superv*SUM(AH9:AH11)*AH12</f>
        <v/>
      </c>
      <c r="AI13" s="19">
        <f>-p_superv*SUM(AI9:AI11)*AI12</f>
        <v/>
      </c>
      <c r="AJ13" s="19">
        <f>-p_superv*SUM(AJ9:AJ11)*AJ12</f>
        <v/>
      </c>
      <c r="AK13" s="19">
        <f>-p_superv*SUM(AK9:AK11)*AK12</f>
        <v/>
      </c>
      <c r="AL13" s="19">
        <f>-p_superv*SUM(AL9:AL11)*AL12</f>
        <v/>
      </c>
      <c r="AM13" s="19">
        <f>-p_superv*SUM(AM9:AM11)*AM12</f>
        <v/>
      </c>
      <c r="AN13" s="19">
        <f>-p_superv*SUM(AN9:AN11)*AN12</f>
        <v/>
      </c>
      <c r="AO13" s="19">
        <f>-p_superv*SUM(AO9:AO11)*AO12</f>
        <v/>
      </c>
      <c r="AP13" s="19">
        <f>-p_superv*SUM(AP9:AP11)*AP12</f>
        <v/>
      </c>
      <c r="AQ13" s="19">
        <f>-p_superv*SUM(AQ9:AQ11)*AQ12</f>
        <v/>
      </c>
      <c r="AR13" s="19">
        <f>-p_superv*SUM(AR9:AR11)*AR12</f>
        <v/>
      </c>
      <c r="AS13" s="19">
        <f>-p_superv*SUM(AS9:AS11)*AS12</f>
        <v/>
      </c>
      <c r="AT13" s="19">
        <f>-p_superv*SUM(AT9:AT11)*AT12</f>
        <v/>
      </c>
      <c r="AU13" s="19">
        <f>-p_superv*SUM(AU9:AU11)*AU12</f>
        <v/>
      </c>
      <c r="AV13" s="19">
        <f>-p_superv*SUM(AV9:AV11)*AV12</f>
        <v/>
      </c>
      <c r="AW13" s="19">
        <f>-p_superv*SUM(AW9:AW11)*AW12</f>
        <v/>
      </c>
      <c r="AX13" s="19">
        <f>-p_superv*SUM(AX9:AX11)*AX12</f>
        <v/>
      </c>
      <c r="AY13" s="19">
        <f>-p_superv*SUM(AY9:AY11)*AY12</f>
        <v/>
      </c>
      <c r="AZ13" s="19">
        <f>-p_superv*SUM(AZ9:AZ11)*AZ12</f>
        <v/>
      </c>
      <c r="BA13" s="19">
        <f>-p_superv*SUM(BA9:BA11)*BA12</f>
        <v/>
      </c>
      <c r="BB13" s="19">
        <f>-p_superv*SUM(BB9:BB11)*BB12</f>
        <v/>
      </c>
      <c r="BC13" s="19">
        <f>-p_superv*SUM(BC9:BC11)*BC12</f>
        <v/>
      </c>
      <c r="BD13" s="19">
        <f>-p_superv*SUM(BD9:BD11)*BD12</f>
        <v/>
      </c>
      <c r="BE13" s="19">
        <f>-p_superv*SUM(BE9:BE11)*BE12</f>
        <v/>
      </c>
      <c r="BF13" s="19">
        <f>-p_superv*SUM(BF9:BF11)*BF12</f>
        <v/>
      </c>
      <c r="BG13" s="19">
        <f>-p_superv*SUM(BG9:BG11)*BG12</f>
        <v/>
      </c>
      <c r="BH13" s="19">
        <f>-p_superv*SUM(BH9:BH11)*BH12</f>
        <v/>
      </c>
      <c r="BI13" s="19">
        <f>-p_superv*SUM(BI9:BI11)*BI12</f>
        <v/>
      </c>
      <c r="BJ13" s="19">
        <f>-p_superv*SUM(BJ9:BJ11)*BJ12</f>
        <v/>
      </c>
      <c r="BK13" s="19">
        <f>-p_superv*SUM(BK9:BK11)*BK12</f>
        <v/>
      </c>
      <c r="BL13" s="19">
        <f>-p_superv*SUM(BL9:BL11)*BL12</f>
        <v/>
      </c>
      <c r="BM13" s="19">
        <f>-p_superv*SUM(BM9:BM11)*BM12</f>
        <v/>
      </c>
      <c r="BN13" s="19">
        <f>-p_superv*SUM(BN9:BN11)*BN12</f>
        <v/>
      </c>
      <c r="BO13" s="19">
        <f>-p_superv*SUM(BO9:BO11)*BO12</f>
        <v/>
      </c>
      <c r="BP13" s="19">
        <f>-p_superv*SUM(BP9:BP11)*BP12</f>
        <v/>
      </c>
      <c r="BQ13" s="19">
        <f>-p_superv*SUM(BQ9:BQ11)*BQ12</f>
        <v/>
      </c>
      <c r="BR13" s="19">
        <f>-p_superv*SUM(BR9:BR11)*BR12</f>
        <v/>
      </c>
      <c r="BS13" s="19">
        <f>-p_superv*SUM(BS9:BS11)*BS12</f>
        <v/>
      </c>
      <c r="BT13" s="19">
        <f>-p_superv*SUM(BT9:BT11)*BT12</f>
        <v/>
      </c>
      <c r="BU13" s="19">
        <f>-p_superv*SUM(BU9:BU11)*BU12</f>
        <v/>
      </c>
      <c r="BV13" s="19">
        <f>-p_superv*SUM(BV9:BV11)*BV12</f>
        <v/>
      </c>
      <c r="BW13" s="19">
        <f>-p_superv*SUM(BW9:BW11)*BW12</f>
        <v/>
      </c>
      <c r="BX13" s="19">
        <f>-p_superv*SUM(BX9:BX11)*BX12</f>
        <v/>
      </c>
      <c r="BY13" s="19">
        <f>-p_superv*SUM(BY9:BY11)*BY12</f>
        <v/>
      </c>
      <c r="BZ13" s="19">
        <f>-p_superv*SUM(BZ9:BZ11)*BZ12</f>
        <v/>
      </c>
      <c r="CA13" s="19">
        <f>-p_superv*SUM(CA9:CA11)*CA12</f>
        <v/>
      </c>
      <c r="CB13" s="19">
        <f>-p_superv*SUM(CB9:CB11)*CB12</f>
        <v/>
      </c>
      <c r="CC13" s="19">
        <f>-p_superv*SUM(CC9:CC11)*CC12</f>
        <v/>
      </c>
      <c r="CD13" s="19">
        <f>-p_superv*SUM(CD9:CD11)*CD12</f>
        <v/>
      </c>
      <c r="CE13" s="19">
        <f>-p_superv*SUM(CE9:CE11)*CE12</f>
        <v/>
      </c>
      <c r="CF13" s="19">
        <f>-p_superv*SUM(CF9:CF11)*CF12</f>
        <v/>
      </c>
      <c r="CG13" s="19">
        <f>-p_superv*SUM(CG9:CG11)*CG12</f>
        <v/>
      </c>
      <c r="CH13" s="19">
        <f>-p_superv*SUM(CH9:CH11)*CH12</f>
        <v/>
      </c>
      <c r="CI13" s="19">
        <f>-p_superv*SUM(CI9:CI11)*CI12</f>
        <v/>
      </c>
      <c r="CJ13" s="19">
        <f>-p_superv*SUM(CJ9:CJ11)*CJ12</f>
        <v/>
      </c>
      <c r="CK13" s="19">
        <f>-p_superv*SUM(CK9:CK11)*CK12</f>
        <v/>
      </c>
      <c r="CL13" s="19">
        <f>-p_superv*SUM(CL9:CL11)*CL12</f>
        <v/>
      </c>
      <c r="CM13" s="19">
        <f>-p_superv*SUM(CM9:CM11)*CM12</f>
        <v/>
      </c>
      <c r="CN13" s="19">
        <f>-p_superv*SUM(CN9:CN11)*CN12</f>
        <v/>
      </c>
      <c r="CO13" s="19">
        <f>-p_superv*SUM(CO9:CO11)*CO12</f>
        <v/>
      </c>
      <c r="CP13" s="19">
        <f>-p_superv*SUM(CP9:CP11)*CP12</f>
        <v/>
      </c>
      <c r="CQ13" s="19">
        <f>-p_superv*SUM(CQ9:CQ11)*CQ12</f>
        <v/>
      </c>
      <c r="CR13" s="19">
        <f>-p_superv*SUM(CR9:CR11)*CR12</f>
        <v/>
      </c>
      <c r="CS13" s="19">
        <f>-p_superv*SUM(CS9:CS11)*CS12</f>
        <v/>
      </c>
      <c r="CT13" s="19">
        <f>-p_superv*SUM(CT9:CT11)*CT12</f>
        <v/>
      </c>
      <c r="CU13" s="19">
        <f>-p_superv*SUM(CU9:CU11)*CU12</f>
        <v/>
      </c>
      <c r="CV13" s="19">
        <f>-p_superv*SUM(CV9:CV11)*CV12</f>
        <v/>
      </c>
      <c r="CW13" s="19">
        <f>-p_superv*SUM(CW9:CW11)*CW12</f>
        <v/>
      </c>
      <c r="CX13" s="19">
        <f>-p_superv*SUM(CX9:CX11)*CX12</f>
        <v/>
      </c>
      <c r="CY13" s="19">
        <f>-p_superv*SUM(CY9:CY11)*CY12</f>
        <v/>
      </c>
      <c r="CZ13" s="19">
        <f>-p_superv*SUM(CZ9:CZ11)*CZ12</f>
        <v/>
      </c>
      <c r="DA13" s="19">
        <f>-p_superv*SUM(DA9:DA11)*DA12</f>
        <v/>
      </c>
      <c r="DB13" s="19">
        <f>-p_superv*SUM(DB9:DB11)*DB12</f>
        <v/>
      </c>
      <c r="DC13" s="19">
        <f>-p_superv*SUM(DC9:DC11)*DC12</f>
        <v/>
      </c>
      <c r="DD13" s="19">
        <f>-p_superv*SUM(DD9:DD11)*DD12</f>
        <v/>
      </c>
      <c r="DE13" s="19">
        <f>-p_superv*SUM(DE9:DE11)*DE12</f>
        <v/>
      </c>
    </row>
    <row r="14">
      <c r="B14" s="17" t="inlineStr">
        <is>
          <t>Costo fijo (del motor)</t>
        </is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  <c r="I14" s="19" t="n">
        <v>0</v>
      </c>
      <c r="J14" s="19" t="n">
        <v>0</v>
      </c>
      <c r="K14" s="19" t="n">
        <v>0</v>
      </c>
      <c r="L14" s="19" t="n">
        <v>0</v>
      </c>
      <c r="M14" s="19" t="n">
        <v>0</v>
      </c>
      <c r="N14" s="19" t="n">
        <v>0</v>
      </c>
      <c r="O14" s="19" t="n">
        <v>0</v>
      </c>
      <c r="P14" s="19" t="n">
        <v>0</v>
      </c>
      <c r="Q14" s="19" t="n">
        <v>0</v>
      </c>
      <c r="R14" s="19" t="n">
        <v>0</v>
      </c>
      <c r="S14" s="19" t="n">
        <v>0</v>
      </c>
      <c r="T14" s="19" t="n">
        <v>-2185.32</v>
      </c>
      <c r="U14" s="19" t="n">
        <v>-2196.17</v>
      </c>
      <c r="V14" s="19" t="n">
        <v>-2207.07</v>
      </c>
      <c r="W14" s="19" t="n">
        <v>-2218.02</v>
      </c>
      <c r="X14" s="19" t="n">
        <v>-2229.03</v>
      </c>
      <c r="Y14" s="19" t="n">
        <v>-2240.1</v>
      </c>
      <c r="Z14" s="19" t="n">
        <v>-2251.21</v>
      </c>
      <c r="AA14" s="19" t="n">
        <v>-2262.38</v>
      </c>
      <c r="AB14" s="19" t="n">
        <v>-2273.61</v>
      </c>
      <c r="AC14" s="19" t="n">
        <v>-2284.89</v>
      </c>
      <c r="AD14" s="19" t="n">
        <v>-2296.23</v>
      </c>
      <c r="AE14" s="19" t="n">
        <v>-2307.63</v>
      </c>
      <c r="AF14" s="19" t="n">
        <v>-2319.08</v>
      </c>
      <c r="AG14" s="19" t="n">
        <v>-2330.59</v>
      </c>
      <c r="AH14" s="19" t="n">
        <v>-2342.16</v>
      </c>
      <c r="AI14" s="19" t="n">
        <v>-2353.78</v>
      </c>
      <c r="AJ14" s="19" t="n">
        <v>-2365.47</v>
      </c>
      <c r="AK14" s="19" t="n">
        <v>-2377.2</v>
      </c>
      <c r="AL14" s="19" t="n">
        <v>-2389</v>
      </c>
      <c r="AM14" s="19" t="n">
        <v>-2400.87</v>
      </c>
      <c r="AN14" s="19" t="n">
        <v>-2412.78</v>
      </c>
      <c r="AO14" s="19" t="n">
        <v>-2424.75</v>
      </c>
      <c r="AP14" s="19" t="n">
        <v>-2436.78</v>
      </c>
      <c r="AQ14" s="19" t="n">
        <v>-2448.88</v>
      </c>
      <c r="AR14" s="19" t="n">
        <v>-2461.03</v>
      </c>
      <c r="AS14" s="19" t="n">
        <v>-2473.24</v>
      </c>
      <c r="AT14" s="19" t="n">
        <v>-2485.52</v>
      </c>
      <c r="AU14" s="19" t="n">
        <v>-2497.85</v>
      </c>
      <c r="AV14" s="19" t="n">
        <v>-2510.25</v>
      </c>
      <c r="AW14" s="19" t="n">
        <v>-2522.71</v>
      </c>
      <c r="AX14" s="19" t="n">
        <v>-2535.23</v>
      </c>
      <c r="AY14" s="19" t="n">
        <v>-2547.81</v>
      </c>
      <c r="AZ14" s="19" t="n">
        <v>-2560.45</v>
      </c>
      <c r="BA14" s="19" t="n">
        <v>-2573.17</v>
      </c>
      <c r="BB14" s="19" t="n">
        <v>-2585.94</v>
      </c>
      <c r="BC14" s="19" t="n">
        <v>-2598.77</v>
      </c>
      <c r="BD14" s="19" t="n">
        <v>-2611.66</v>
      </c>
      <c r="BE14" s="19" t="n">
        <v>-2624.62</v>
      </c>
      <c r="BF14" s="19" t="n">
        <v>-2637.66</v>
      </c>
      <c r="BG14" s="19" t="n">
        <v>-2650.74</v>
      </c>
      <c r="BH14" s="19" t="n">
        <v>-2663.89</v>
      </c>
      <c r="BI14" s="19" t="n">
        <v>-2677.12</v>
      </c>
      <c r="BJ14" s="19" t="n">
        <v>-2690.4</v>
      </c>
      <c r="BK14" s="19" t="n">
        <v>-2703.76</v>
      </c>
      <c r="BL14" s="19" t="n">
        <v>-2717.17</v>
      </c>
      <c r="BM14" s="19" t="n">
        <v>-2730.66</v>
      </c>
      <c r="BN14" s="19" t="n">
        <v>-2744.22</v>
      </c>
      <c r="BO14" s="19" t="n">
        <v>-2757.83</v>
      </c>
      <c r="BP14" s="19" t="n">
        <v>-2771.52</v>
      </c>
      <c r="BQ14" s="19" t="n">
        <v>-2785.27</v>
      </c>
      <c r="BR14" s="19" t="n">
        <v>-2799.09</v>
      </c>
      <c r="BS14" s="19" t="n">
        <v>-2812.99</v>
      </c>
      <c r="BT14" s="19" t="n">
        <v>-2826.95</v>
      </c>
      <c r="BU14" s="19" t="n">
        <v>-2840.98</v>
      </c>
      <c r="BV14" s="19" t="n">
        <v>-2855.07</v>
      </c>
      <c r="BW14" s="19" t="n">
        <v>-2869.25</v>
      </c>
      <c r="BX14" s="19" t="n">
        <v>-2883.49</v>
      </c>
      <c r="BY14" s="19" t="n">
        <v>-2897.8</v>
      </c>
      <c r="BZ14" s="19" t="n">
        <v>-2912.19</v>
      </c>
      <c r="CA14" s="19" t="n">
        <v>-2926.62</v>
      </c>
      <c r="CB14" s="19" t="n">
        <v>-2941.15</v>
      </c>
      <c r="CC14" s="19" t="n">
        <v>-2955.76</v>
      </c>
      <c r="CD14" s="19" t="n">
        <v>-2970.43</v>
      </c>
      <c r="CE14" s="19" t="n">
        <v>-2985.16</v>
      </c>
      <c r="CF14" s="19" t="n">
        <v>-2999.97</v>
      </c>
      <c r="CG14" s="19" t="n">
        <v>-3014.88</v>
      </c>
      <c r="CH14" s="19" t="n">
        <v>-3029.83</v>
      </c>
      <c r="CI14" s="19" t="n">
        <v>-3044.87</v>
      </c>
      <c r="CJ14" s="19" t="n">
        <v>-3059.98</v>
      </c>
      <c r="CK14" s="19" t="n">
        <v>-3075.16</v>
      </c>
      <c r="CL14" s="19" t="n">
        <v>-3090.42</v>
      </c>
      <c r="CM14" s="19" t="n">
        <v>-3105.76</v>
      </c>
      <c r="CN14" s="19" t="n">
        <v>-3121.18</v>
      </c>
      <c r="CO14" s="19" t="n">
        <v>-3136.67</v>
      </c>
      <c r="CP14" s="19" t="n">
        <v>-3152.23</v>
      </c>
      <c r="CQ14" s="19" t="n">
        <v>-3167.88</v>
      </c>
      <c r="CR14" s="19" t="n">
        <v>-3183.6</v>
      </c>
      <c r="CS14" s="19" t="n">
        <v>-3199.41</v>
      </c>
      <c r="CT14" s="19" t="n">
        <v>-3215.28</v>
      </c>
      <c r="CU14" s="19" t="n">
        <v>-3231.24</v>
      </c>
      <c r="CV14" s="19" t="n">
        <v>-3247.27</v>
      </c>
      <c r="CW14" s="19" t="n">
        <v>-3263.39</v>
      </c>
      <c r="CX14" s="19" t="n">
        <v>-3279.58</v>
      </c>
      <c r="CY14" s="19" t="n">
        <v>-3295.86</v>
      </c>
      <c r="CZ14" s="19" t="n">
        <v>-3312.22</v>
      </c>
      <c r="DA14" s="19" t="n">
        <v>-3328.65</v>
      </c>
      <c r="DB14" s="19" t="n">
        <v>-3345.18</v>
      </c>
      <c r="DC14" s="19" t="n">
        <v>-3361.77</v>
      </c>
      <c r="DD14" s="19" t="n">
        <v>0</v>
      </c>
      <c r="DE14" s="19" t="n">
        <v>0</v>
      </c>
    </row>
    <row r="15">
      <c r="B15" s="17" t="inlineStr">
        <is>
          <t>Costo variable (del motor)</t>
        </is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0</v>
      </c>
      <c r="K15" s="19" t="n">
        <v>0</v>
      </c>
      <c r="L15" s="19" t="n">
        <v>0</v>
      </c>
      <c r="M15" s="19" t="n">
        <v>0</v>
      </c>
      <c r="N15" s="19" t="n">
        <v>0</v>
      </c>
      <c r="O15" s="19" t="n">
        <v>0</v>
      </c>
      <c r="P15" s="19" t="n">
        <v>0</v>
      </c>
      <c r="Q15" s="19" t="n">
        <v>0</v>
      </c>
      <c r="R15" s="19" t="n">
        <v>0</v>
      </c>
      <c r="S15" s="19" t="n">
        <v>0</v>
      </c>
      <c r="T15" s="19" t="n">
        <v>-4129.23</v>
      </c>
      <c r="U15" s="19" t="n">
        <v>-4195.86</v>
      </c>
      <c r="V15" s="19" t="n">
        <v>-4216.68</v>
      </c>
      <c r="W15" s="19" t="n">
        <v>-4237.62</v>
      </c>
      <c r="X15" s="19" t="n">
        <v>-4258.650000000001</v>
      </c>
      <c r="Y15" s="19" t="n">
        <v>-4319.01</v>
      </c>
      <c r="Z15" s="19" t="n">
        <v>-4340.44</v>
      </c>
      <c r="AA15" s="19" t="n">
        <v>-4361.99</v>
      </c>
      <c r="AB15" s="19" t="n">
        <v>-4383.63</v>
      </c>
      <c r="AC15" s="19" t="n">
        <v>-4437.39</v>
      </c>
      <c r="AD15" s="19" t="n">
        <v>-4459.42</v>
      </c>
      <c r="AE15" s="19" t="n">
        <v>-4481.559999999999</v>
      </c>
      <c r="AF15" s="19" t="n">
        <v>-4503.79</v>
      </c>
      <c r="AG15" s="19" t="n">
        <v>-4558.799999999999</v>
      </c>
      <c r="AH15" s="19" t="n">
        <v>-4581.42</v>
      </c>
      <c r="AI15" s="19" t="n">
        <v>-4604.16</v>
      </c>
      <c r="AJ15" s="19" t="n">
        <v>-4627</v>
      </c>
      <c r="AK15" s="19" t="n">
        <v>-4683.28</v>
      </c>
      <c r="AL15" s="19" t="n">
        <v>-4706.52</v>
      </c>
      <c r="AM15" s="19" t="n">
        <v>-4729.87</v>
      </c>
      <c r="AN15" s="19" t="n">
        <v>-4753.36</v>
      </c>
      <c r="AO15" s="19" t="n">
        <v>-4810.9</v>
      </c>
      <c r="AP15" s="19" t="n">
        <v>-4834.79</v>
      </c>
      <c r="AQ15" s="19" t="n">
        <v>-4858.780000000001</v>
      </c>
      <c r="AR15" s="19" t="n">
        <v>-4882.9</v>
      </c>
      <c r="AS15" s="19" t="n">
        <v>-5115.01</v>
      </c>
      <c r="AT15" s="19" t="n">
        <v>-5140.39</v>
      </c>
      <c r="AU15" s="19" t="n">
        <v>-5165.91</v>
      </c>
      <c r="AV15" s="19" t="n">
        <v>-5191.54</v>
      </c>
      <c r="AW15" s="19" t="n">
        <v>-5261.49</v>
      </c>
      <c r="AX15" s="19" t="n">
        <v>-5287.6</v>
      </c>
      <c r="AY15" s="19" t="n">
        <v>-5313.85</v>
      </c>
      <c r="AZ15" s="19" t="n">
        <v>-5340.22</v>
      </c>
      <c r="BA15" s="19" t="n">
        <v>-5411.77</v>
      </c>
      <c r="BB15" s="19" t="n">
        <v>-5438.64</v>
      </c>
      <c r="BC15" s="19" t="n">
        <v>-5465.62</v>
      </c>
      <c r="BD15" s="19" t="n">
        <v>-5492.76</v>
      </c>
      <c r="BE15" s="19" t="n">
        <v>-5575.17</v>
      </c>
      <c r="BF15" s="19" t="n">
        <v>-5602.84</v>
      </c>
      <c r="BG15" s="19" t="n">
        <v>-5630.639999999999</v>
      </c>
      <c r="BH15" s="19" t="n">
        <v>-5658.58</v>
      </c>
      <c r="BI15" s="19" t="n">
        <v>-5733.55</v>
      </c>
      <c r="BJ15" s="19" t="n">
        <v>-5762.01</v>
      </c>
      <c r="BK15" s="19" t="n">
        <v>-5790.610000000001</v>
      </c>
      <c r="BL15" s="19" t="n">
        <v>-5819.34</v>
      </c>
      <c r="BM15" s="19" t="n">
        <v>-5905.599999999999</v>
      </c>
      <c r="BN15" s="19" t="n">
        <v>-5934.91</v>
      </c>
      <c r="BO15" s="19" t="n">
        <v>-5964.360000000001</v>
      </c>
      <c r="BP15" s="19" t="n">
        <v>-5993.97</v>
      </c>
      <c r="BQ15" s="19" t="n">
        <v>-6072.48</v>
      </c>
      <c r="BR15" s="19" t="n">
        <v>-6102.63</v>
      </c>
      <c r="BS15" s="19" t="n">
        <v>-6132.91</v>
      </c>
      <c r="BT15" s="19" t="n">
        <v>-6163.35</v>
      </c>
      <c r="BU15" s="19" t="n">
        <v>-6253.639999999999</v>
      </c>
      <c r="BV15" s="19" t="n">
        <v>-6284.68</v>
      </c>
      <c r="BW15" s="19" t="n">
        <v>-6315.870000000001</v>
      </c>
      <c r="BX15" s="19" t="n">
        <v>-6347.209999999999</v>
      </c>
      <c r="BY15" s="19" t="n">
        <v>-6439.6</v>
      </c>
      <c r="BZ15" s="19" t="n">
        <v>-6471.57</v>
      </c>
      <c r="CA15" s="19" t="n">
        <v>-6503.68</v>
      </c>
      <c r="CB15" s="19" t="n">
        <v>-6535.96</v>
      </c>
      <c r="CC15" s="19" t="n">
        <v>-6630.51</v>
      </c>
      <c r="CD15" s="19" t="n">
        <v>-6663.41</v>
      </c>
      <c r="CE15" s="19" t="n">
        <v>-6696.49</v>
      </c>
      <c r="CF15" s="19" t="n">
        <v>-6729.719999999999</v>
      </c>
      <c r="CG15" s="19" t="n">
        <v>-6826.48</v>
      </c>
      <c r="CH15" s="19" t="n">
        <v>-6860.35</v>
      </c>
      <c r="CI15" s="19" t="n">
        <v>-6894.4</v>
      </c>
      <c r="CJ15" s="19" t="n">
        <v>-6928.620000000001</v>
      </c>
      <c r="CK15" s="19" t="n">
        <v>-7027.629999999999</v>
      </c>
      <c r="CL15" s="19" t="n">
        <v>-7062.490000000001</v>
      </c>
      <c r="CM15" s="19" t="n">
        <v>-7097.549999999999</v>
      </c>
      <c r="CN15" s="19" t="n">
        <v>-7132.780000000001</v>
      </c>
      <c r="CO15" s="19" t="n">
        <v>-7234.08</v>
      </c>
      <c r="CP15" s="19" t="n">
        <v>-7269.99</v>
      </c>
      <c r="CQ15" s="19" t="n">
        <v>-7306.070000000001</v>
      </c>
      <c r="CR15" s="19" t="n">
        <v>-7342.32</v>
      </c>
      <c r="CS15" s="19" t="n">
        <v>-7457.200000000001</v>
      </c>
      <c r="CT15" s="19" t="n">
        <v>-7494.210000000001</v>
      </c>
      <c r="CU15" s="19" t="n">
        <v>-7531.41</v>
      </c>
      <c r="CV15" s="19" t="n">
        <v>-7568.79</v>
      </c>
      <c r="CW15" s="19" t="n">
        <v>-7686.360000000001</v>
      </c>
      <c r="CX15" s="19" t="n">
        <v>-7724.5</v>
      </c>
      <c r="CY15" s="19" t="n">
        <v>-7762.830000000001</v>
      </c>
      <c r="CZ15" s="19" t="n">
        <v>-7801.36</v>
      </c>
      <c r="DA15" s="19" t="n">
        <v>-7840.08</v>
      </c>
      <c r="DB15" s="19" t="n">
        <v>-7878.99</v>
      </c>
      <c r="DC15" s="19" t="n">
        <v>-7918.09</v>
      </c>
      <c r="DD15" s="19" t="n">
        <v>0</v>
      </c>
      <c r="DE15" s="19" t="n">
        <v>0</v>
      </c>
    </row>
    <row r="16">
      <c r="B16" s="17" t="inlineStr">
        <is>
          <t>Gastos SPV (del motor)</t>
        </is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0</v>
      </c>
      <c r="R16" s="19" t="n">
        <v>0</v>
      </c>
      <c r="S16" s="19" t="n">
        <v>0</v>
      </c>
      <c r="T16" s="19" t="n">
        <v>-491.0700000000001</v>
      </c>
      <c r="U16" s="19" t="n">
        <v>-493.5</v>
      </c>
      <c r="V16" s="19" t="n">
        <v>-495.9400000000001</v>
      </c>
      <c r="W16" s="19" t="n">
        <v>-498.4</v>
      </c>
      <c r="X16" s="19" t="n">
        <v>-500.88</v>
      </c>
      <c r="Y16" s="19" t="n">
        <v>-503.3699999999999</v>
      </c>
      <c r="Z16" s="19" t="n">
        <v>-505.86</v>
      </c>
      <c r="AA16" s="19" t="n">
        <v>-508.38</v>
      </c>
      <c r="AB16" s="19" t="n">
        <v>-510.9000000000001</v>
      </c>
      <c r="AC16" s="19" t="n">
        <v>-513.4300000000001</v>
      </c>
      <c r="AD16" s="19" t="n">
        <v>-515.98</v>
      </c>
      <c r="AE16" s="19" t="n">
        <v>-518.54</v>
      </c>
      <c r="AF16" s="19" t="n">
        <v>-521.11</v>
      </c>
      <c r="AG16" s="19" t="n">
        <v>-523.7</v>
      </c>
      <c r="AH16" s="19" t="n">
        <v>-526.29</v>
      </c>
      <c r="AI16" s="19" t="n">
        <v>-528.9</v>
      </c>
      <c r="AJ16" s="19" t="n">
        <v>-531.54</v>
      </c>
      <c r="AK16" s="19" t="n">
        <v>-534.17</v>
      </c>
      <c r="AL16" s="19" t="n">
        <v>-536.83</v>
      </c>
      <c r="AM16" s="19" t="n">
        <v>-539.49</v>
      </c>
      <c r="AN16" s="19" t="n">
        <v>-542.16</v>
      </c>
      <c r="AO16" s="19" t="n">
        <v>-544.86</v>
      </c>
      <c r="AP16" s="19" t="n">
        <v>-547.5599999999999</v>
      </c>
      <c r="AQ16" s="19" t="n">
        <v>-550.28</v>
      </c>
      <c r="AR16" s="19" t="n">
        <v>-553.01</v>
      </c>
      <c r="AS16" s="19" t="n">
        <v>-555.76</v>
      </c>
      <c r="AT16" s="19" t="n">
        <v>-558.51</v>
      </c>
      <c r="AU16" s="19" t="n">
        <v>-561.28</v>
      </c>
      <c r="AV16" s="19" t="n">
        <v>-564.0600000000001</v>
      </c>
      <c r="AW16" s="19" t="n">
        <v>-566.87</v>
      </c>
      <c r="AX16" s="19" t="n">
        <v>-569.6800000000001</v>
      </c>
      <c r="AY16" s="19" t="n">
        <v>-572.51</v>
      </c>
      <c r="AZ16" s="19" t="n">
        <v>-575.35</v>
      </c>
      <c r="BA16" s="19" t="n">
        <v>-578.21</v>
      </c>
      <c r="BB16" s="19" t="n">
        <v>-581.0699999999999</v>
      </c>
      <c r="BC16" s="19" t="n">
        <v>-583.95</v>
      </c>
      <c r="BD16" s="19" t="n">
        <v>-586.86</v>
      </c>
      <c r="BE16" s="19" t="n">
        <v>-589.78</v>
      </c>
      <c r="BF16" s="19" t="n">
        <v>-592.7</v>
      </c>
      <c r="BG16" s="19" t="n">
        <v>-595.64</v>
      </c>
      <c r="BH16" s="19" t="n">
        <v>-598.59</v>
      </c>
      <c r="BI16" s="19" t="n">
        <v>-601.5600000000001</v>
      </c>
      <c r="BJ16" s="19" t="n">
        <v>-604.5600000000001</v>
      </c>
      <c r="BK16" s="19" t="n">
        <v>-607.5500000000001</v>
      </c>
      <c r="BL16" s="19" t="n">
        <v>-610.5700000000001</v>
      </c>
      <c r="BM16" s="19" t="n">
        <v>-613.6</v>
      </c>
      <c r="BN16" s="19" t="n">
        <v>-616.65</v>
      </c>
      <c r="BO16" s="19" t="n">
        <v>-619.7099999999999</v>
      </c>
      <c r="BP16" s="19" t="n">
        <v>-622.78</v>
      </c>
      <c r="BQ16" s="19" t="n">
        <v>-625.87</v>
      </c>
      <c r="BR16" s="19" t="n">
        <v>-628.97</v>
      </c>
      <c r="BS16" s="19" t="n">
        <v>-632.0999999999999</v>
      </c>
      <c r="BT16" s="19" t="n">
        <v>-635.23</v>
      </c>
      <c r="BU16" s="19" t="n">
        <v>-638.39</v>
      </c>
      <c r="BV16" s="19" t="n">
        <v>-641.5600000000001</v>
      </c>
      <c r="BW16" s="19" t="n">
        <v>-644.74</v>
      </c>
      <c r="BX16" s="19" t="n">
        <v>-647.9400000000001</v>
      </c>
      <c r="BY16" s="19" t="n">
        <v>-651.15</v>
      </c>
      <c r="BZ16" s="19" t="n">
        <v>-654.39</v>
      </c>
      <c r="CA16" s="19" t="n">
        <v>-657.63</v>
      </c>
      <c r="CB16" s="19" t="n">
        <v>-660.9</v>
      </c>
      <c r="CC16" s="19" t="n">
        <v>-664.1799999999999</v>
      </c>
      <c r="CD16" s="19" t="n">
        <v>-667.47</v>
      </c>
      <c r="CE16" s="19" t="n">
        <v>-670.79</v>
      </c>
      <c r="CF16" s="19" t="n">
        <v>-674.12</v>
      </c>
      <c r="CG16" s="19" t="n">
        <v>-677.46</v>
      </c>
      <c r="CH16" s="19" t="n">
        <v>-680.8299999999999</v>
      </c>
      <c r="CI16" s="19" t="n">
        <v>-684.2</v>
      </c>
      <c r="CJ16" s="19" t="n">
        <v>-687.6</v>
      </c>
      <c r="CK16" s="19" t="n">
        <v>-691.02</v>
      </c>
      <c r="CL16" s="19" t="n">
        <v>-694.4400000000001</v>
      </c>
      <c r="CM16" s="19" t="n">
        <v>-697.89</v>
      </c>
      <c r="CN16" s="19" t="n">
        <v>-701.35</v>
      </c>
      <c r="CO16" s="19" t="n">
        <v>-704.83</v>
      </c>
      <c r="CP16" s="19" t="n">
        <v>-708.33</v>
      </c>
      <c r="CQ16" s="19" t="n">
        <v>-711.8399999999999</v>
      </c>
      <c r="CR16" s="19" t="n">
        <v>-715.38</v>
      </c>
      <c r="CS16" s="19" t="n">
        <v>-718.9299999999999</v>
      </c>
      <c r="CT16" s="19" t="n">
        <v>-722.49</v>
      </c>
      <c r="CU16" s="19" t="n">
        <v>-726.0899999999999</v>
      </c>
      <c r="CV16" s="19" t="n">
        <v>-729.6900000000001</v>
      </c>
      <c r="CW16" s="19" t="n">
        <v>-733.3100000000001</v>
      </c>
      <c r="CX16" s="19" t="n">
        <v>-736.9400000000001</v>
      </c>
      <c r="CY16" s="19" t="n">
        <v>-740.61</v>
      </c>
      <c r="CZ16" s="19" t="n">
        <v>-744.27</v>
      </c>
      <c r="DA16" s="19" t="n">
        <v>-747.97</v>
      </c>
      <c r="DB16" s="19" t="n">
        <v>-751.6900000000001</v>
      </c>
      <c r="DC16" s="19" t="n">
        <v>-755.42</v>
      </c>
      <c r="DD16" s="19" t="n">
        <v>0</v>
      </c>
      <c r="DE16" s="19" t="n">
        <v>0</v>
      </c>
    </row>
    <row r="17">
      <c r="B17" s="17" t="inlineStr">
        <is>
          <t>Seguros (del motor)</t>
        </is>
      </c>
      <c r="D17" s="19" t="n">
        <v>0</v>
      </c>
      <c r="E17" s="19" t="n">
        <v>0</v>
      </c>
      <c r="F17" s="19" t="n">
        <v>0</v>
      </c>
      <c r="G17" s="19" t="n">
        <v>0</v>
      </c>
      <c r="H17" s="19" t="n">
        <v>0</v>
      </c>
      <c r="I17" s="19" t="n">
        <v>0</v>
      </c>
      <c r="J17" s="19" t="n">
        <v>0</v>
      </c>
      <c r="K17" s="19" t="n">
        <v>0</v>
      </c>
      <c r="L17" s="19" t="n">
        <v>0</v>
      </c>
      <c r="M17" s="19" t="n">
        <v>0</v>
      </c>
      <c r="N17" s="19" t="n">
        <v>0</v>
      </c>
      <c r="O17" s="19" t="n">
        <v>0</v>
      </c>
      <c r="P17" s="19" t="n">
        <v>0</v>
      </c>
      <c r="Q17" s="19" t="n">
        <v>0</v>
      </c>
      <c r="R17" s="19" t="n">
        <v>0</v>
      </c>
      <c r="S17" s="19" t="n">
        <v>0</v>
      </c>
      <c r="T17" s="19" t="n">
        <v>-178.2047824626812</v>
      </c>
      <c r="U17" s="19" t="n">
        <v>-178.2047824626812</v>
      </c>
      <c r="V17" s="19" t="n">
        <v>-178.2047824626812</v>
      </c>
      <c r="W17" s="19" t="n">
        <v>-178.2047824626812</v>
      </c>
      <c r="X17" s="19" t="n">
        <v>-178.2047824626812</v>
      </c>
      <c r="Y17" s="19" t="n">
        <v>-178.2047824626812</v>
      </c>
      <c r="Z17" s="19" t="n">
        <v>-178.2047824626812</v>
      </c>
      <c r="AA17" s="19" t="n">
        <v>-178.2047824626812</v>
      </c>
      <c r="AB17" s="19" t="n">
        <v>-178.2047824626812</v>
      </c>
      <c r="AC17" s="19" t="n">
        <v>-178.2047824626812</v>
      </c>
      <c r="AD17" s="19" t="n">
        <v>-178.2047824626812</v>
      </c>
      <c r="AE17" s="19" t="n">
        <v>-178.2047824626812</v>
      </c>
      <c r="AF17" s="19" t="n">
        <v>-178.2047824626812</v>
      </c>
      <c r="AG17" s="19" t="n">
        <v>-178.2047824626812</v>
      </c>
      <c r="AH17" s="19" t="n">
        <v>-178.2047824626812</v>
      </c>
      <c r="AI17" s="19" t="n">
        <v>-178.2047824626812</v>
      </c>
      <c r="AJ17" s="19" t="n">
        <v>-178.2047824626812</v>
      </c>
      <c r="AK17" s="19" t="n">
        <v>-178.2047824626812</v>
      </c>
      <c r="AL17" s="19" t="n">
        <v>-178.2047824626812</v>
      </c>
      <c r="AM17" s="19" t="n">
        <v>-178.2047824626812</v>
      </c>
      <c r="AN17" s="19" t="n">
        <v>-178.2047824626812</v>
      </c>
      <c r="AO17" s="19" t="n">
        <v>-178.2047824626812</v>
      </c>
      <c r="AP17" s="19" t="n">
        <v>-178.2047824626812</v>
      </c>
      <c r="AQ17" s="19" t="n">
        <v>-178.2047824626812</v>
      </c>
      <c r="AR17" s="19" t="n">
        <v>-178.2047824626812</v>
      </c>
      <c r="AS17" s="19" t="n">
        <v>-178.2047824626812</v>
      </c>
      <c r="AT17" s="19" t="n">
        <v>-178.2047824626812</v>
      </c>
      <c r="AU17" s="19" t="n">
        <v>-178.2047824626812</v>
      </c>
      <c r="AV17" s="19" t="n">
        <v>-178.2047824626812</v>
      </c>
      <c r="AW17" s="19" t="n">
        <v>-178.2047824626812</v>
      </c>
      <c r="AX17" s="19" t="n">
        <v>-178.2047824626812</v>
      </c>
      <c r="AY17" s="19" t="n">
        <v>-178.2047824626812</v>
      </c>
      <c r="AZ17" s="19" t="n">
        <v>-178.2047824626812</v>
      </c>
      <c r="BA17" s="19" t="n">
        <v>-178.2047824626812</v>
      </c>
      <c r="BB17" s="19" t="n">
        <v>-178.2047824626812</v>
      </c>
      <c r="BC17" s="19" t="n">
        <v>-178.2047824626812</v>
      </c>
      <c r="BD17" s="19" t="n">
        <v>-178.2047824626812</v>
      </c>
      <c r="BE17" s="19" t="n">
        <v>-178.2047824626812</v>
      </c>
      <c r="BF17" s="19" t="n">
        <v>-178.2047824626812</v>
      </c>
      <c r="BG17" s="19" t="n">
        <v>-178.2047824626812</v>
      </c>
      <c r="BH17" s="19" t="n">
        <v>-178.2047824626812</v>
      </c>
      <c r="BI17" s="19" t="n">
        <v>-178.2047824626812</v>
      </c>
      <c r="BJ17" s="19" t="n">
        <v>-178.2047824626812</v>
      </c>
      <c r="BK17" s="19" t="n">
        <v>-178.2047824626812</v>
      </c>
      <c r="BL17" s="19" t="n">
        <v>-178.2047824626812</v>
      </c>
      <c r="BM17" s="19" t="n">
        <v>-178.2047824626812</v>
      </c>
      <c r="BN17" s="19" t="n">
        <v>-178.2047824626812</v>
      </c>
      <c r="BO17" s="19" t="n">
        <v>-178.2047824626812</v>
      </c>
      <c r="BP17" s="19" t="n">
        <v>-178.2047824626812</v>
      </c>
      <c r="BQ17" s="19" t="n">
        <v>-178.2047824626812</v>
      </c>
      <c r="BR17" s="19" t="n">
        <v>-178.2047824626812</v>
      </c>
      <c r="BS17" s="19" t="n">
        <v>-178.2047824626812</v>
      </c>
      <c r="BT17" s="19" t="n">
        <v>-178.2047824626812</v>
      </c>
      <c r="BU17" s="19" t="n">
        <v>-178.2047824626812</v>
      </c>
      <c r="BV17" s="19" t="n">
        <v>-178.2047824626812</v>
      </c>
      <c r="BW17" s="19" t="n">
        <v>-178.2047824626812</v>
      </c>
      <c r="BX17" s="19" t="n">
        <v>-178.2047824626812</v>
      </c>
      <c r="BY17" s="19" t="n">
        <v>-178.2047824626812</v>
      </c>
      <c r="BZ17" s="19" t="n">
        <v>-178.2047824626812</v>
      </c>
      <c r="CA17" s="19" t="n">
        <v>-178.2047824626812</v>
      </c>
      <c r="CB17" s="19" t="n">
        <v>-178.2047824626812</v>
      </c>
      <c r="CC17" s="19" t="n">
        <v>-178.2047824626812</v>
      </c>
      <c r="CD17" s="19" t="n">
        <v>-178.2047824626812</v>
      </c>
      <c r="CE17" s="19" t="n">
        <v>-178.2047824626812</v>
      </c>
      <c r="CF17" s="19" t="n">
        <v>-178.2047824626812</v>
      </c>
      <c r="CG17" s="19" t="n">
        <v>-178.2047824626812</v>
      </c>
      <c r="CH17" s="19" t="n">
        <v>-178.2047824626812</v>
      </c>
      <c r="CI17" s="19" t="n">
        <v>-178.2047824626812</v>
      </c>
      <c r="CJ17" s="19" t="n">
        <v>-178.2047824626812</v>
      </c>
      <c r="CK17" s="19" t="n">
        <v>-178.2047824626812</v>
      </c>
      <c r="CL17" s="19" t="n">
        <v>-178.2047824626812</v>
      </c>
      <c r="CM17" s="19" t="n">
        <v>-178.2047824626812</v>
      </c>
      <c r="CN17" s="19" t="n">
        <v>-178.2047824626812</v>
      </c>
      <c r="CO17" s="19" t="n">
        <v>-178.2047824626812</v>
      </c>
      <c r="CP17" s="19" t="n">
        <v>-178.2047824626812</v>
      </c>
      <c r="CQ17" s="19" t="n">
        <v>-178.2047824626812</v>
      </c>
      <c r="CR17" s="19" t="n">
        <v>-178.2047824626812</v>
      </c>
      <c r="CS17" s="19" t="n">
        <v>-178.2047824626812</v>
      </c>
      <c r="CT17" s="19" t="n">
        <v>-178.2047824626812</v>
      </c>
      <c r="CU17" s="19" t="n">
        <v>-178.2047824626812</v>
      </c>
      <c r="CV17" s="19" t="n">
        <v>-178.2047824626812</v>
      </c>
      <c r="CW17" s="19" t="n">
        <v>-178.2047824626812</v>
      </c>
      <c r="CX17" s="19" t="n">
        <v>-178.2047824626812</v>
      </c>
      <c r="CY17" s="19" t="n">
        <v>-178.2047824626812</v>
      </c>
      <c r="CZ17" s="19" t="n">
        <v>-178.2047824626812</v>
      </c>
      <c r="DA17" s="19" t="n">
        <v>-178.2047824626812</v>
      </c>
      <c r="DB17" s="19" t="n">
        <v>-178.2047824626812</v>
      </c>
      <c r="DC17" s="19" t="n">
        <v>-178.2047824626812</v>
      </c>
      <c r="DD17" s="19" t="n">
        <v>0</v>
      </c>
      <c r="DE17" s="19" t="n">
        <v>0</v>
      </c>
    </row>
    <row r="18">
      <c r="B18" s="17" t="inlineStr">
        <is>
          <t>Fianzas (del motor)</t>
        </is>
      </c>
      <c r="D18" s="19" t="n">
        <v>0</v>
      </c>
      <c r="E18" s="19" t="n">
        <v>0</v>
      </c>
      <c r="F18" s="19" t="n">
        <v>0</v>
      </c>
      <c r="G18" s="19" t="n">
        <v>0</v>
      </c>
      <c r="H18" s="19" t="n">
        <v>0</v>
      </c>
      <c r="I18" s="19" t="n">
        <v>0</v>
      </c>
      <c r="J18" s="19" t="n">
        <v>0</v>
      </c>
      <c r="K18" s="19" t="n">
        <v>0</v>
      </c>
      <c r="L18" s="19" t="n">
        <v>0</v>
      </c>
      <c r="M18" s="19" t="n">
        <v>0</v>
      </c>
      <c r="N18" s="19" t="n">
        <v>0</v>
      </c>
      <c r="O18" s="19" t="n">
        <v>0</v>
      </c>
      <c r="P18" s="19" t="n">
        <v>0</v>
      </c>
      <c r="Q18" s="19" t="n">
        <v>0</v>
      </c>
      <c r="R18" s="19" t="n">
        <v>0</v>
      </c>
      <c r="S18" s="19" t="n">
        <v>0</v>
      </c>
      <c r="T18" s="19" t="n">
        <v>-191.5790158397883</v>
      </c>
      <c r="U18" s="19" t="n">
        <v>-191.5790158397883</v>
      </c>
      <c r="V18" s="19" t="n">
        <v>-191.5790158397883</v>
      </c>
      <c r="W18" s="19" t="n">
        <v>-191.5790158397883</v>
      </c>
      <c r="X18" s="19" t="n">
        <v>-191.5790158397883</v>
      </c>
      <c r="Y18" s="19" t="n">
        <v>-191.5790158397883</v>
      </c>
      <c r="Z18" s="19" t="n">
        <v>-191.5790158397883</v>
      </c>
      <c r="AA18" s="19" t="n">
        <v>-191.5790158397883</v>
      </c>
      <c r="AB18" s="19" t="n">
        <v>-52.32349723880436</v>
      </c>
      <c r="AC18" s="19" t="n">
        <v>-52.32349723880436</v>
      </c>
      <c r="AD18" s="19" t="n">
        <v>-52.32349723880436</v>
      </c>
      <c r="AE18" s="19" t="n">
        <v>-52.32349723880436</v>
      </c>
      <c r="AF18" s="19" t="n">
        <v>-52.32349723880436</v>
      </c>
      <c r="AG18" s="19" t="n">
        <v>-52.32349723880436</v>
      </c>
      <c r="AH18" s="19" t="n">
        <v>-52.32349723880436</v>
      </c>
      <c r="AI18" s="19" t="n">
        <v>-52.32349723880436</v>
      </c>
      <c r="AJ18" s="19" t="n">
        <v>-52.32349723880436</v>
      </c>
      <c r="AK18" s="19" t="n">
        <v>-52.32349723880436</v>
      </c>
      <c r="AL18" s="19" t="n">
        <v>-52.32349723880436</v>
      </c>
      <c r="AM18" s="19" t="n">
        <v>-52.32349723880436</v>
      </c>
      <c r="AN18" s="19" t="n">
        <v>-52.32349723880436</v>
      </c>
      <c r="AO18" s="19" t="n">
        <v>-52.32349723880436</v>
      </c>
      <c r="AP18" s="19" t="n">
        <v>-52.32349723880436</v>
      </c>
      <c r="AQ18" s="19" t="n">
        <v>-52.32349723880436</v>
      </c>
      <c r="AR18" s="19" t="n">
        <v>-52.32349723880436</v>
      </c>
      <c r="AS18" s="19" t="n">
        <v>-52.32349723880436</v>
      </c>
      <c r="AT18" s="19" t="n">
        <v>-52.32349723880436</v>
      </c>
      <c r="AU18" s="19" t="n">
        <v>-52.32349723880436</v>
      </c>
      <c r="AV18" s="19" t="n">
        <v>-52.32349723880436</v>
      </c>
      <c r="AW18" s="19" t="n">
        <v>-52.32349723880436</v>
      </c>
      <c r="AX18" s="19" t="n">
        <v>-52.32349723880436</v>
      </c>
      <c r="AY18" s="19" t="n">
        <v>-52.32349723880436</v>
      </c>
      <c r="AZ18" s="19" t="n">
        <v>-52.32349723880436</v>
      </c>
      <c r="BA18" s="19" t="n">
        <v>-52.32349723880436</v>
      </c>
      <c r="BB18" s="19" t="n">
        <v>-52.32349723880436</v>
      </c>
      <c r="BC18" s="19" t="n">
        <v>-52.32349723880436</v>
      </c>
      <c r="BD18" s="19" t="n">
        <v>-52.32349723880436</v>
      </c>
      <c r="BE18" s="19" t="n">
        <v>-52.32349723880436</v>
      </c>
      <c r="BF18" s="19" t="n">
        <v>-52.32349723880436</v>
      </c>
      <c r="BG18" s="19" t="n">
        <v>-52.32349723880436</v>
      </c>
      <c r="BH18" s="19" t="n">
        <v>-52.32349723880436</v>
      </c>
      <c r="BI18" s="19" t="n">
        <v>-52.32349723880436</v>
      </c>
      <c r="BJ18" s="19" t="n">
        <v>-52.32349723880436</v>
      </c>
      <c r="BK18" s="19" t="n">
        <v>-52.32349723880436</v>
      </c>
      <c r="BL18" s="19" t="n">
        <v>-52.32349723880436</v>
      </c>
      <c r="BM18" s="19" t="n">
        <v>-52.32349723880436</v>
      </c>
      <c r="BN18" s="19" t="n">
        <v>-52.32349723880436</v>
      </c>
      <c r="BO18" s="19" t="n">
        <v>-52.32349723880436</v>
      </c>
      <c r="BP18" s="19" t="n">
        <v>-52.32349723880436</v>
      </c>
      <c r="BQ18" s="19" t="n">
        <v>-52.32349723880436</v>
      </c>
      <c r="BR18" s="19" t="n">
        <v>-52.32349723880436</v>
      </c>
      <c r="BS18" s="19" t="n">
        <v>-52.32349723880436</v>
      </c>
      <c r="BT18" s="19" t="n">
        <v>-52.32349723880436</v>
      </c>
      <c r="BU18" s="19" t="n">
        <v>-52.32349723880436</v>
      </c>
      <c r="BV18" s="19" t="n">
        <v>-52.32349723880436</v>
      </c>
      <c r="BW18" s="19" t="n">
        <v>-52.32349723880436</v>
      </c>
      <c r="BX18" s="19" t="n">
        <v>-52.32349723880436</v>
      </c>
      <c r="BY18" s="19" t="n">
        <v>-52.32349723880436</v>
      </c>
      <c r="BZ18" s="19" t="n">
        <v>-52.32349723880436</v>
      </c>
      <c r="CA18" s="19" t="n">
        <v>-52.32349723880436</v>
      </c>
      <c r="CB18" s="19" t="n">
        <v>-52.32349723880436</v>
      </c>
      <c r="CC18" s="19" t="n">
        <v>-52.32349723880436</v>
      </c>
      <c r="CD18" s="19" t="n">
        <v>-52.32349723880436</v>
      </c>
      <c r="CE18" s="19" t="n">
        <v>-52.32349723880436</v>
      </c>
      <c r="CF18" s="19" t="n">
        <v>-52.32349723880436</v>
      </c>
      <c r="CG18" s="19" t="n">
        <v>-52.32349723880436</v>
      </c>
      <c r="CH18" s="19" t="n">
        <v>-52.32349723880436</v>
      </c>
      <c r="CI18" s="19" t="n">
        <v>-52.32349723880436</v>
      </c>
      <c r="CJ18" s="19" t="n">
        <v>-52.32349723880436</v>
      </c>
      <c r="CK18" s="19" t="n">
        <v>-52.32349723880436</v>
      </c>
      <c r="CL18" s="19" t="n">
        <v>-52.32349723880436</v>
      </c>
      <c r="CM18" s="19" t="n">
        <v>-52.32349723880436</v>
      </c>
      <c r="CN18" s="19" t="n">
        <v>-52.32349723880436</v>
      </c>
      <c r="CO18" s="19" t="n">
        <v>-52.32349723880436</v>
      </c>
      <c r="CP18" s="19" t="n">
        <v>-52.32349723880436</v>
      </c>
      <c r="CQ18" s="19" t="n">
        <v>-52.32349723880436</v>
      </c>
      <c r="CR18" s="19" t="n">
        <v>-52.32349723880436</v>
      </c>
      <c r="CS18" s="19" t="n">
        <v>-52.32349723880436</v>
      </c>
      <c r="CT18" s="19" t="n">
        <v>-52.32349723880436</v>
      </c>
      <c r="CU18" s="19" t="n">
        <v>-52.32349723880436</v>
      </c>
      <c r="CV18" s="19" t="n">
        <v>-52.32349723880436</v>
      </c>
      <c r="CW18" s="19" t="n">
        <v>-52.32349723880436</v>
      </c>
      <c r="CX18" s="19" t="n">
        <v>-52.32349723880436</v>
      </c>
      <c r="CY18" s="19" t="n">
        <v>-52.32349723880436</v>
      </c>
      <c r="CZ18" s="19" t="n">
        <v>-52.32349723880436</v>
      </c>
      <c r="DA18" s="19" t="n">
        <v>-52.32349723880436</v>
      </c>
      <c r="DB18" s="19" t="n">
        <v>-52.32349723880436</v>
      </c>
      <c r="DC18" s="19" t="n">
        <v>-52.32349723880436</v>
      </c>
      <c r="DD18" s="19" t="n">
        <v>-418.5879779104347</v>
      </c>
      <c r="DE18" s="19" t="n">
        <v>0</v>
      </c>
    </row>
    <row r="19">
      <c r="B19" s="17" t="inlineStr">
        <is>
          <t>Gastos de promocion (del motor)</t>
        </is>
      </c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0</v>
      </c>
      <c r="I19" s="19" t="n">
        <v>0</v>
      </c>
      <c r="J19" s="19" t="n">
        <v>0</v>
      </c>
      <c r="K19" s="19" t="n">
        <v>0</v>
      </c>
      <c r="L19" s="19" t="n">
        <v>0</v>
      </c>
      <c r="M19" s="19" t="n">
        <v>0</v>
      </c>
      <c r="N19" s="19" t="n">
        <v>0</v>
      </c>
      <c r="O19" s="19" t="n">
        <v>0</v>
      </c>
      <c r="P19" s="19" t="n">
        <v>0</v>
      </c>
      <c r="Q19" s="19" t="n">
        <v>0</v>
      </c>
      <c r="R19" s="19" t="n">
        <v>0</v>
      </c>
      <c r="S19" s="19" t="n">
        <v>0</v>
      </c>
      <c r="T19" s="19" t="n">
        <v>0</v>
      </c>
      <c r="U19" s="19" t="n">
        <v>0</v>
      </c>
      <c r="V19" s="19" t="n">
        <v>0</v>
      </c>
      <c r="W19" s="19" t="n">
        <v>0</v>
      </c>
      <c r="X19" s="19" t="n">
        <v>0</v>
      </c>
      <c r="Y19" s="19" t="n">
        <v>0</v>
      </c>
      <c r="Z19" s="19" t="n">
        <v>0</v>
      </c>
      <c r="AA19" s="19" t="n">
        <v>0</v>
      </c>
      <c r="AB19" s="19" t="n">
        <v>0</v>
      </c>
      <c r="AC19" s="19" t="n">
        <v>0</v>
      </c>
      <c r="AD19" s="19" t="n">
        <v>0</v>
      </c>
      <c r="AE19" s="19" t="n">
        <v>0</v>
      </c>
      <c r="AF19" s="19" t="n">
        <v>0</v>
      </c>
      <c r="AG19" s="19" t="n">
        <v>0</v>
      </c>
      <c r="AH19" s="19" t="n">
        <v>0</v>
      </c>
      <c r="AI19" s="19" t="n">
        <v>0</v>
      </c>
      <c r="AJ19" s="19" t="n">
        <v>0</v>
      </c>
      <c r="AK19" s="19" t="n">
        <v>0</v>
      </c>
      <c r="AL19" s="19" t="n">
        <v>0</v>
      </c>
      <c r="AM19" s="19" t="n">
        <v>0</v>
      </c>
      <c r="AN19" s="19" t="n">
        <v>0</v>
      </c>
      <c r="AO19" s="19" t="n">
        <v>0</v>
      </c>
      <c r="AP19" s="19" t="n">
        <v>0</v>
      </c>
      <c r="AQ19" s="19" t="n">
        <v>0</v>
      </c>
      <c r="AR19" s="19" t="n">
        <v>0</v>
      </c>
      <c r="AS19" s="19" t="n">
        <v>0</v>
      </c>
      <c r="AT19" s="19" t="n">
        <v>0</v>
      </c>
      <c r="AU19" s="19" t="n">
        <v>0</v>
      </c>
      <c r="AV19" s="19" t="n">
        <v>0</v>
      </c>
      <c r="AW19" s="19" t="n">
        <v>0</v>
      </c>
      <c r="AX19" s="19" t="n">
        <v>0</v>
      </c>
      <c r="AY19" s="19" t="n">
        <v>0</v>
      </c>
      <c r="AZ19" s="19" t="n">
        <v>0</v>
      </c>
      <c r="BA19" s="19" t="n">
        <v>0</v>
      </c>
      <c r="BB19" s="19" t="n">
        <v>0</v>
      </c>
      <c r="BC19" s="19" t="n">
        <v>0</v>
      </c>
      <c r="BD19" s="19" t="n">
        <v>0</v>
      </c>
      <c r="BE19" s="19" t="n">
        <v>0</v>
      </c>
      <c r="BF19" s="19" t="n">
        <v>0</v>
      </c>
      <c r="BG19" s="19" t="n">
        <v>0</v>
      </c>
      <c r="BH19" s="19" t="n">
        <v>0</v>
      </c>
      <c r="BI19" s="19" t="n">
        <v>0</v>
      </c>
      <c r="BJ19" s="19" t="n">
        <v>0</v>
      </c>
      <c r="BK19" s="19" t="n">
        <v>0</v>
      </c>
      <c r="BL19" s="19" t="n">
        <v>0</v>
      </c>
      <c r="BM19" s="19" t="n">
        <v>0</v>
      </c>
      <c r="BN19" s="19" t="n">
        <v>0</v>
      </c>
      <c r="BO19" s="19" t="n">
        <v>0</v>
      </c>
      <c r="BP19" s="19" t="n">
        <v>0</v>
      </c>
      <c r="BQ19" s="19" t="n">
        <v>0</v>
      </c>
      <c r="BR19" s="19" t="n">
        <v>0</v>
      </c>
      <c r="BS19" s="19" t="n">
        <v>0</v>
      </c>
      <c r="BT19" s="19" t="n">
        <v>0</v>
      </c>
      <c r="BU19" s="19" t="n">
        <v>0</v>
      </c>
      <c r="BV19" s="19" t="n">
        <v>0</v>
      </c>
      <c r="BW19" s="19" t="n">
        <v>0</v>
      </c>
      <c r="BX19" s="19" t="n">
        <v>0</v>
      </c>
      <c r="BY19" s="19" t="n">
        <v>0</v>
      </c>
      <c r="BZ19" s="19" t="n">
        <v>0</v>
      </c>
      <c r="CA19" s="19" t="n">
        <v>0</v>
      </c>
      <c r="CB19" s="19" t="n">
        <v>0</v>
      </c>
      <c r="CC19" s="19" t="n">
        <v>0</v>
      </c>
      <c r="CD19" s="19" t="n">
        <v>0</v>
      </c>
      <c r="CE19" s="19" t="n">
        <v>0</v>
      </c>
      <c r="CF19" s="19" t="n">
        <v>0</v>
      </c>
      <c r="CG19" s="19" t="n">
        <v>0</v>
      </c>
      <c r="CH19" s="19" t="n">
        <v>0</v>
      </c>
      <c r="CI19" s="19" t="n">
        <v>0</v>
      </c>
      <c r="CJ19" s="19" t="n">
        <v>0</v>
      </c>
      <c r="CK19" s="19" t="n">
        <v>0</v>
      </c>
      <c r="CL19" s="19" t="n">
        <v>0</v>
      </c>
      <c r="CM19" s="19" t="n">
        <v>0</v>
      </c>
      <c r="CN19" s="19" t="n">
        <v>0</v>
      </c>
      <c r="CO19" s="19" t="n">
        <v>0</v>
      </c>
      <c r="CP19" s="19" t="n">
        <v>0</v>
      </c>
      <c r="CQ19" s="19" t="n">
        <v>0</v>
      </c>
      <c r="CR19" s="19" t="n">
        <v>0</v>
      </c>
      <c r="CS19" s="19" t="n">
        <v>0</v>
      </c>
      <c r="CT19" s="19" t="n">
        <v>0</v>
      </c>
      <c r="CU19" s="19" t="n">
        <v>0</v>
      </c>
      <c r="CV19" s="19" t="n">
        <v>0</v>
      </c>
      <c r="CW19" s="19" t="n">
        <v>0</v>
      </c>
      <c r="CX19" s="19" t="n">
        <v>0</v>
      </c>
      <c r="CY19" s="19" t="n">
        <v>0</v>
      </c>
      <c r="CZ19" s="19" t="n">
        <v>0</v>
      </c>
      <c r="DA19" s="19" t="n">
        <v>0</v>
      </c>
      <c r="DB19" s="19" t="n">
        <v>0</v>
      </c>
      <c r="DC19" s="19" t="n">
        <v>0</v>
      </c>
      <c r="DD19" s="19" t="n">
        <v>0</v>
      </c>
      <c r="DE19" s="19" t="n">
        <v>0</v>
      </c>
    </row>
    <row r="20">
      <c r="B20" s="17" t="inlineStr">
        <is>
          <t>Fideicomiso (del motor)</t>
        </is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0</v>
      </c>
      <c r="L20" s="19" t="n">
        <v>0</v>
      </c>
      <c r="M20" s="19" t="n">
        <v>0</v>
      </c>
      <c r="N20" s="19" t="n">
        <v>0</v>
      </c>
      <c r="O20" s="19" t="n">
        <v>0</v>
      </c>
      <c r="P20" s="19" t="n">
        <v>0</v>
      </c>
      <c r="Q20" s="19" t="n">
        <v>0</v>
      </c>
      <c r="R20" s="19" t="n">
        <v>0</v>
      </c>
      <c r="S20" s="19" t="n">
        <v>0</v>
      </c>
      <c r="T20" s="19" t="n">
        <v>-25</v>
      </c>
      <c r="U20" s="19" t="n">
        <v>-25</v>
      </c>
      <c r="V20" s="19" t="n">
        <v>-25</v>
      </c>
      <c r="W20" s="19" t="n">
        <v>-25</v>
      </c>
      <c r="X20" s="19" t="n">
        <v>-25</v>
      </c>
      <c r="Y20" s="19" t="n">
        <v>-25</v>
      </c>
      <c r="Z20" s="19" t="n">
        <v>-25</v>
      </c>
      <c r="AA20" s="19" t="n">
        <v>-25</v>
      </c>
      <c r="AB20" s="19" t="n">
        <v>-25</v>
      </c>
      <c r="AC20" s="19" t="n">
        <v>-25</v>
      </c>
      <c r="AD20" s="19" t="n">
        <v>-25</v>
      </c>
      <c r="AE20" s="19" t="n">
        <v>-25</v>
      </c>
      <c r="AF20" s="19" t="n">
        <v>-25</v>
      </c>
      <c r="AG20" s="19" t="n">
        <v>-25</v>
      </c>
      <c r="AH20" s="19" t="n">
        <v>-25</v>
      </c>
      <c r="AI20" s="19" t="n">
        <v>-25</v>
      </c>
      <c r="AJ20" s="19" t="n">
        <v>-25</v>
      </c>
      <c r="AK20" s="19" t="n">
        <v>-25</v>
      </c>
      <c r="AL20" s="19" t="n">
        <v>-25</v>
      </c>
      <c r="AM20" s="19" t="n">
        <v>-25</v>
      </c>
      <c r="AN20" s="19" t="n">
        <v>-25</v>
      </c>
      <c r="AO20" s="19" t="n">
        <v>-25</v>
      </c>
      <c r="AP20" s="19" t="n">
        <v>-25</v>
      </c>
      <c r="AQ20" s="19" t="n">
        <v>-25</v>
      </c>
      <c r="AR20" s="19" t="n">
        <v>-25</v>
      </c>
      <c r="AS20" s="19" t="n">
        <v>-25</v>
      </c>
      <c r="AT20" s="19" t="n">
        <v>-25</v>
      </c>
      <c r="AU20" s="19" t="n">
        <v>-25</v>
      </c>
      <c r="AV20" s="19" t="n">
        <v>-25</v>
      </c>
      <c r="AW20" s="19" t="n">
        <v>-25</v>
      </c>
      <c r="AX20" s="19" t="n">
        <v>-25</v>
      </c>
      <c r="AY20" s="19" t="n">
        <v>-25</v>
      </c>
      <c r="AZ20" s="19" t="n">
        <v>-25</v>
      </c>
      <c r="BA20" s="19" t="n">
        <v>-25</v>
      </c>
      <c r="BB20" s="19" t="n">
        <v>-25</v>
      </c>
      <c r="BC20" s="19" t="n">
        <v>-25</v>
      </c>
      <c r="BD20" s="19" t="n">
        <v>-25</v>
      </c>
      <c r="BE20" s="19" t="n">
        <v>-25</v>
      </c>
      <c r="BF20" s="19" t="n">
        <v>-25</v>
      </c>
      <c r="BG20" s="19" t="n">
        <v>-25</v>
      </c>
      <c r="BH20" s="19" t="n">
        <v>-25</v>
      </c>
      <c r="BI20" s="19" t="n">
        <v>-25</v>
      </c>
      <c r="BJ20" s="19" t="n">
        <v>-25</v>
      </c>
      <c r="BK20" s="19" t="n">
        <v>-25</v>
      </c>
      <c r="BL20" s="19" t="n">
        <v>-25</v>
      </c>
      <c r="BM20" s="19" t="n">
        <v>-25</v>
      </c>
      <c r="BN20" s="19" t="n">
        <v>-25</v>
      </c>
      <c r="BO20" s="19" t="n">
        <v>-25</v>
      </c>
      <c r="BP20" s="19" t="n">
        <v>-25</v>
      </c>
      <c r="BQ20" s="19" t="n">
        <v>-25</v>
      </c>
      <c r="BR20" s="19" t="n">
        <v>-25</v>
      </c>
      <c r="BS20" s="19" t="n">
        <v>-25</v>
      </c>
      <c r="BT20" s="19" t="n">
        <v>-25</v>
      </c>
      <c r="BU20" s="19" t="n">
        <v>-25</v>
      </c>
      <c r="BV20" s="19" t="n">
        <v>-25</v>
      </c>
      <c r="BW20" s="19" t="n">
        <v>-25</v>
      </c>
      <c r="BX20" s="19" t="n">
        <v>-25</v>
      </c>
      <c r="BY20" s="19" t="n">
        <v>-25</v>
      </c>
      <c r="BZ20" s="19" t="n">
        <v>-25</v>
      </c>
      <c r="CA20" s="19" t="n">
        <v>-25</v>
      </c>
      <c r="CB20" s="19" t="n">
        <v>-25</v>
      </c>
      <c r="CC20" s="19" t="n">
        <v>-25</v>
      </c>
      <c r="CD20" s="19" t="n">
        <v>-25</v>
      </c>
      <c r="CE20" s="19" t="n">
        <v>-25</v>
      </c>
      <c r="CF20" s="19" t="n">
        <v>-25</v>
      </c>
      <c r="CG20" s="19" t="n">
        <v>-25</v>
      </c>
      <c r="CH20" s="19" t="n">
        <v>-25</v>
      </c>
      <c r="CI20" s="19" t="n">
        <v>-25</v>
      </c>
      <c r="CJ20" s="19" t="n">
        <v>-25</v>
      </c>
      <c r="CK20" s="19" t="n">
        <v>-25</v>
      </c>
      <c r="CL20" s="19" t="n">
        <v>-25</v>
      </c>
      <c r="CM20" s="19" t="n">
        <v>-25</v>
      </c>
      <c r="CN20" s="19" t="n">
        <v>-25</v>
      </c>
      <c r="CO20" s="19" t="n">
        <v>-25</v>
      </c>
      <c r="CP20" s="19" t="n">
        <v>-25</v>
      </c>
      <c r="CQ20" s="19" t="n">
        <v>-25</v>
      </c>
      <c r="CR20" s="19" t="n">
        <v>-25</v>
      </c>
      <c r="CS20" s="19" t="n">
        <v>-25</v>
      </c>
      <c r="CT20" s="19" t="n">
        <v>-25</v>
      </c>
      <c r="CU20" s="19" t="n">
        <v>-25</v>
      </c>
      <c r="CV20" s="19" t="n">
        <v>-25</v>
      </c>
      <c r="CW20" s="19" t="n">
        <v>-25</v>
      </c>
      <c r="CX20" s="19" t="n">
        <v>-25</v>
      </c>
      <c r="CY20" s="19" t="n">
        <v>-25</v>
      </c>
      <c r="CZ20" s="19" t="n">
        <v>-25</v>
      </c>
      <c r="DA20" s="19" t="n">
        <v>-25</v>
      </c>
      <c r="DB20" s="19" t="n">
        <v>-25</v>
      </c>
      <c r="DC20" s="19" t="n">
        <v>-25</v>
      </c>
      <c r="DD20" s="19" t="n">
        <v>-200</v>
      </c>
      <c r="DE20" s="19" t="n">
        <v>0</v>
      </c>
    </row>
    <row r="21">
      <c r="B21" s="17" t="inlineStr">
        <is>
          <t>Efecto ITAN (del motor)</t>
        </is>
      </c>
      <c r="D21" s="19" t="n">
        <v>0</v>
      </c>
      <c r="E21" s="19" t="n">
        <v>0</v>
      </c>
      <c r="F21" s="19" t="n">
        <v>0</v>
      </c>
      <c r="G21" s="19" t="n">
        <v>0</v>
      </c>
      <c r="H21" s="19" t="n">
        <v>0</v>
      </c>
      <c r="I21" s="19" t="n">
        <v>0</v>
      </c>
      <c r="J21" s="19" t="n">
        <v>0</v>
      </c>
      <c r="K21" s="19" t="n">
        <v>0</v>
      </c>
      <c r="L21" s="19" t="n">
        <v>0</v>
      </c>
      <c r="M21" s="19" t="n">
        <v>0</v>
      </c>
      <c r="N21" s="19" t="n">
        <v>0</v>
      </c>
      <c r="O21" s="19" t="n">
        <v>0</v>
      </c>
      <c r="P21" s="19" t="n">
        <v>0</v>
      </c>
      <c r="Q21" s="19" t="n">
        <v>0</v>
      </c>
      <c r="R21" s="19" t="n">
        <v>0</v>
      </c>
      <c r="S21" s="19" t="n">
        <v>0</v>
      </c>
      <c r="T21" s="19" t="n">
        <v>0</v>
      </c>
      <c r="U21" s="19" t="n">
        <v>0</v>
      </c>
      <c r="V21" s="19" t="n">
        <v>0</v>
      </c>
      <c r="W21" s="19" t="n">
        <v>0</v>
      </c>
      <c r="X21" s="19" t="n">
        <v>0</v>
      </c>
      <c r="Y21" s="19" t="n">
        <v>0</v>
      </c>
      <c r="Z21" s="19" t="n">
        <v>0</v>
      </c>
      <c r="AA21" s="19" t="n">
        <v>0</v>
      </c>
      <c r="AB21" s="19" t="n">
        <v>0</v>
      </c>
      <c r="AC21" s="19" t="n">
        <v>0</v>
      </c>
      <c r="AD21" s="19" t="n">
        <v>0</v>
      </c>
      <c r="AE21" s="19" t="n">
        <v>0</v>
      </c>
      <c r="AF21" s="19" t="n">
        <v>0</v>
      </c>
      <c r="AG21" s="19" t="n">
        <v>0</v>
      </c>
      <c r="AH21" s="19" t="n">
        <v>0</v>
      </c>
      <c r="AI21" s="19" t="n">
        <v>0</v>
      </c>
      <c r="AJ21" s="19" t="n">
        <v>0</v>
      </c>
      <c r="AK21" s="19" t="n">
        <v>0</v>
      </c>
      <c r="AL21" s="19" t="n">
        <v>0</v>
      </c>
      <c r="AM21" s="19" t="n">
        <v>0</v>
      </c>
      <c r="AN21" s="19" t="n">
        <v>0</v>
      </c>
      <c r="AO21" s="19" t="n">
        <v>0</v>
      </c>
      <c r="AP21" s="19" t="n">
        <v>0</v>
      </c>
      <c r="AQ21" s="19" t="n">
        <v>0</v>
      </c>
      <c r="AR21" s="19" t="n">
        <v>0</v>
      </c>
      <c r="AS21" s="19" t="n">
        <v>0</v>
      </c>
      <c r="AT21" s="19" t="n">
        <v>0</v>
      </c>
      <c r="AU21" s="19" t="n">
        <v>0</v>
      </c>
      <c r="AV21" s="19" t="n">
        <v>0</v>
      </c>
      <c r="AW21" s="19" t="n">
        <v>0</v>
      </c>
      <c r="AX21" s="19" t="n">
        <v>0</v>
      </c>
      <c r="AY21" s="19" t="n">
        <v>0</v>
      </c>
      <c r="AZ21" s="19" t="n">
        <v>0</v>
      </c>
      <c r="BA21" s="19" t="n">
        <v>0</v>
      </c>
      <c r="BB21" s="19" t="n">
        <v>0</v>
      </c>
      <c r="BC21" s="19" t="n">
        <v>0</v>
      </c>
      <c r="BD21" s="19" t="n">
        <v>0</v>
      </c>
      <c r="BE21" s="19" t="n">
        <v>0</v>
      </c>
      <c r="BF21" s="19" t="n">
        <v>0</v>
      </c>
      <c r="BG21" s="19" t="n">
        <v>0</v>
      </c>
      <c r="BH21" s="19" t="n">
        <v>0</v>
      </c>
      <c r="BI21" s="19" t="n">
        <v>0</v>
      </c>
      <c r="BJ21" s="19" t="n">
        <v>0</v>
      </c>
      <c r="BK21" s="19" t="n">
        <v>0</v>
      </c>
      <c r="BL21" s="19" t="n">
        <v>0</v>
      </c>
      <c r="BM21" s="19" t="n">
        <v>0</v>
      </c>
      <c r="BN21" s="19" t="n">
        <v>0</v>
      </c>
      <c r="BO21" s="19" t="n">
        <v>0</v>
      </c>
      <c r="BP21" s="19" t="n">
        <v>0</v>
      </c>
      <c r="BQ21" s="19" t="n">
        <v>0</v>
      </c>
      <c r="BR21" s="19" t="n">
        <v>0</v>
      </c>
      <c r="BS21" s="19" t="n">
        <v>0</v>
      </c>
      <c r="BT21" s="19" t="n">
        <v>0</v>
      </c>
      <c r="BU21" s="19" t="n">
        <v>0</v>
      </c>
      <c r="BV21" s="19" t="n">
        <v>0</v>
      </c>
      <c r="BW21" s="19" t="n">
        <v>0</v>
      </c>
      <c r="BX21" s="19" t="n">
        <v>0</v>
      </c>
      <c r="BY21" s="19" t="n">
        <v>0</v>
      </c>
      <c r="BZ21" s="19" t="n">
        <v>0</v>
      </c>
      <c r="CA21" s="19" t="n">
        <v>0</v>
      </c>
      <c r="CB21" s="19" t="n">
        <v>0</v>
      </c>
      <c r="CC21" s="19" t="n">
        <v>0</v>
      </c>
      <c r="CD21" s="19" t="n">
        <v>0</v>
      </c>
      <c r="CE21" s="19" t="n">
        <v>0</v>
      </c>
      <c r="CF21" s="19" t="n">
        <v>0</v>
      </c>
      <c r="CG21" s="19" t="n">
        <v>0</v>
      </c>
      <c r="CH21" s="19" t="n">
        <v>0</v>
      </c>
      <c r="CI21" s="19" t="n">
        <v>0</v>
      </c>
      <c r="CJ21" s="19" t="n">
        <v>0</v>
      </c>
      <c r="CK21" s="19" t="n">
        <v>0</v>
      </c>
      <c r="CL21" s="19" t="n">
        <v>0</v>
      </c>
      <c r="CM21" s="19" t="n">
        <v>0</v>
      </c>
      <c r="CN21" s="19" t="n">
        <v>0</v>
      </c>
      <c r="CO21" s="19" t="n">
        <v>0</v>
      </c>
      <c r="CP21" s="19" t="n">
        <v>0</v>
      </c>
      <c r="CQ21" s="19" t="n">
        <v>0</v>
      </c>
      <c r="CR21" s="19" t="n">
        <v>0</v>
      </c>
      <c r="CS21" s="19" t="n">
        <v>0</v>
      </c>
      <c r="CT21" s="19" t="n">
        <v>0</v>
      </c>
      <c r="CU21" s="19" t="n">
        <v>0</v>
      </c>
      <c r="CV21" s="19" t="n">
        <v>0</v>
      </c>
      <c r="CW21" s="19" t="n">
        <v>0</v>
      </c>
      <c r="CX21" s="19" t="n">
        <v>0</v>
      </c>
      <c r="CY21" s="19" t="n">
        <v>0</v>
      </c>
      <c r="CZ21" s="19" t="n">
        <v>0</v>
      </c>
      <c r="DA21" s="19" t="n">
        <v>0</v>
      </c>
      <c r="DB21" s="19" t="n">
        <v>0</v>
      </c>
      <c r="DC21" s="19" t="n">
        <v>0</v>
      </c>
      <c r="DD21" s="19" t="n">
        <v>0</v>
      </c>
      <c r="DE21" s="19" t="n">
        <v>0</v>
      </c>
    </row>
    <row r="22">
      <c r="B22" s="17" t="inlineStr">
        <is>
          <t>CAPEX (del motor)</t>
        </is>
      </c>
      <c r="D22" s="19" t="n">
        <v>-12746.0713884692</v>
      </c>
      <c r="E22" s="19" t="n">
        <v>-4330.346195995984</v>
      </c>
      <c r="F22" s="19" t="n">
        <v>-4376.837407854996</v>
      </c>
      <c r="G22" s="19" t="n">
        <v>-4150.000120325954</v>
      </c>
      <c r="H22" s="19" t="n">
        <v>-149.8340627477239</v>
      </c>
      <c r="I22" s="19" t="n">
        <v>-150.2466367764323</v>
      </c>
      <c r="J22" s="19" t="n">
        <v>-25</v>
      </c>
      <c r="K22" s="19" t="n">
        <v>-60034.29272913586</v>
      </c>
      <c r="L22" s="19" t="n">
        <v>-19270.00544820331</v>
      </c>
      <c r="M22" s="19" t="n">
        <v>-47783.89739729257</v>
      </c>
      <c r="N22" s="19" t="n">
        <v>-47384.71948946886</v>
      </c>
      <c r="O22" s="19" t="n">
        <v>-40590.9042509488</v>
      </c>
      <c r="P22" s="19" t="n">
        <v>-42859.785337389</v>
      </c>
      <c r="Q22" s="19" t="n">
        <v>-6540.48857203736</v>
      </c>
      <c r="R22" s="19" t="n">
        <v>-2007.478865467268</v>
      </c>
      <c r="S22" s="19" t="n">
        <v>-595.1119298852834</v>
      </c>
      <c r="T22" s="19" t="n">
        <v>-0</v>
      </c>
      <c r="U22" s="19" t="n">
        <v>-0</v>
      </c>
      <c r="V22" s="19" t="n">
        <v>-0</v>
      </c>
      <c r="W22" s="19" t="n">
        <v>-0</v>
      </c>
      <c r="X22" s="19" t="n">
        <v>-0</v>
      </c>
      <c r="Y22" s="19" t="n">
        <v>-0</v>
      </c>
      <c r="Z22" s="19" t="n">
        <v>-0</v>
      </c>
      <c r="AA22" s="19" t="n">
        <v>-0</v>
      </c>
      <c r="AB22" s="19" t="n">
        <v>-0</v>
      </c>
      <c r="AC22" s="19" t="n">
        <v>-0</v>
      </c>
      <c r="AD22" s="19" t="n">
        <v>-0</v>
      </c>
      <c r="AE22" s="19" t="n">
        <v>-0</v>
      </c>
      <c r="AF22" s="19" t="n">
        <v>-0</v>
      </c>
      <c r="AG22" s="19" t="n">
        <v>-0</v>
      </c>
      <c r="AH22" s="19" t="n">
        <v>-0</v>
      </c>
      <c r="AI22" s="19" t="n">
        <v>-0</v>
      </c>
      <c r="AJ22" s="19" t="n">
        <v>-0</v>
      </c>
      <c r="AK22" s="19" t="n">
        <v>-0</v>
      </c>
      <c r="AL22" s="19" t="n">
        <v>-0</v>
      </c>
      <c r="AM22" s="19" t="n">
        <v>-0</v>
      </c>
      <c r="AN22" s="19" t="n">
        <v>-0</v>
      </c>
      <c r="AO22" s="19" t="n">
        <v>-0</v>
      </c>
      <c r="AP22" s="19" t="n">
        <v>-0</v>
      </c>
      <c r="AQ22" s="19" t="n">
        <v>-0</v>
      </c>
      <c r="AR22" s="19" t="n">
        <v>-0</v>
      </c>
      <c r="AS22" s="19" t="n">
        <v>-0</v>
      </c>
      <c r="AT22" s="19" t="n">
        <v>-0</v>
      </c>
      <c r="AU22" s="19" t="n">
        <v>-0</v>
      </c>
      <c r="AV22" s="19" t="n">
        <v>-0</v>
      </c>
      <c r="AW22" s="19" t="n">
        <v>-0</v>
      </c>
      <c r="AX22" s="19" t="n">
        <v>-0</v>
      </c>
      <c r="AY22" s="19" t="n">
        <v>-0</v>
      </c>
      <c r="AZ22" s="19" t="n">
        <v>-0</v>
      </c>
      <c r="BA22" s="19" t="n">
        <v>-0</v>
      </c>
      <c r="BB22" s="19" t="n">
        <v>-0</v>
      </c>
      <c r="BC22" s="19" t="n">
        <v>-0</v>
      </c>
      <c r="BD22" s="19" t="n">
        <v>-0</v>
      </c>
      <c r="BE22" s="19" t="n">
        <v>-0</v>
      </c>
      <c r="BF22" s="19" t="n">
        <v>-0</v>
      </c>
      <c r="BG22" s="19" t="n">
        <v>-0</v>
      </c>
      <c r="BH22" s="19" t="n">
        <v>-0</v>
      </c>
      <c r="BI22" s="19" t="n">
        <v>-0</v>
      </c>
      <c r="BJ22" s="19" t="n">
        <v>-0</v>
      </c>
      <c r="BK22" s="19" t="n">
        <v>-0</v>
      </c>
      <c r="BL22" s="19" t="n">
        <v>-0</v>
      </c>
      <c r="BM22" s="19" t="n">
        <v>-0</v>
      </c>
      <c r="BN22" s="19" t="n">
        <v>-0</v>
      </c>
      <c r="BO22" s="19" t="n">
        <v>-0</v>
      </c>
      <c r="BP22" s="19" t="n">
        <v>-0</v>
      </c>
      <c r="BQ22" s="19" t="n">
        <v>-0</v>
      </c>
      <c r="BR22" s="19" t="n">
        <v>-0</v>
      </c>
      <c r="BS22" s="19" t="n">
        <v>-0</v>
      </c>
      <c r="BT22" s="19" t="n">
        <v>-0</v>
      </c>
      <c r="BU22" s="19" t="n">
        <v>-0</v>
      </c>
      <c r="BV22" s="19" t="n">
        <v>-0</v>
      </c>
      <c r="BW22" s="19" t="n">
        <v>-0</v>
      </c>
      <c r="BX22" s="19" t="n">
        <v>-0</v>
      </c>
      <c r="BY22" s="19" t="n">
        <v>-0</v>
      </c>
      <c r="BZ22" s="19" t="n">
        <v>-0</v>
      </c>
      <c r="CA22" s="19" t="n">
        <v>-0</v>
      </c>
      <c r="CB22" s="19" t="n">
        <v>-0</v>
      </c>
      <c r="CC22" s="19" t="n">
        <v>-0</v>
      </c>
      <c r="CD22" s="19" t="n">
        <v>-0</v>
      </c>
      <c r="CE22" s="19" t="n">
        <v>-0</v>
      </c>
      <c r="CF22" s="19" t="n">
        <v>-0</v>
      </c>
      <c r="CG22" s="19" t="n">
        <v>-0</v>
      </c>
      <c r="CH22" s="19" t="n">
        <v>-0</v>
      </c>
      <c r="CI22" s="19" t="n">
        <v>-0</v>
      </c>
      <c r="CJ22" s="19" t="n">
        <v>-0</v>
      </c>
      <c r="CK22" s="19" t="n">
        <v>-0</v>
      </c>
      <c r="CL22" s="19" t="n">
        <v>-0</v>
      </c>
      <c r="CM22" s="19" t="n">
        <v>-0</v>
      </c>
      <c r="CN22" s="19" t="n">
        <v>-0</v>
      </c>
      <c r="CO22" s="19" t="n">
        <v>-0</v>
      </c>
      <c r="CP22" s="19" t="n">
        <v>-0</v>
      </c>
      <c r="CQ22" s="19" t="n">
        <v>-0</v>
      </c>
      <c r="CR22" s="19" t="n">
        <v>-0</v>
      </c>
      <c r="CS22" s="19" t="n">
        <v>-0</v>
      </c>
      <c r="CT22" s="19" t="n">
        <v>-0</v>
      </c>
      <c r="CU22" s="19" t="n">
        <v>-0</v>
      </c>
      <c r="CV22" s="19" t="n">
        <v>-0</v>
      </c>
      <c r="CW22" s="19" t="n">
        <v>-0</v>
      </c>
      <c r="CX22" s="19" t="n">
        <v>-0</v>
      </c>
      <c r="CY22" s="19" t="n">
        <v>-0</v>
      </c>
      <c r="CZ22" s="19" t="n">
        <v>-0</v>
      </c>
      <c r="DA22" s="19" t="n">
        <v>-0</v>
      </c>
      <c r="DB22" s="19" t="n">
        <v>-0</v>
      </c>
      <c r="DC22" s="19" t="n">
        <v>-0</v>
      </c>
      <c r="DD22" s="19" t="n">
        <v>-0</v>
      </c>
      <c r="DE22" s="19" t="n">
        <v>-0</v>
      </c>
    </row>
    <row r="23">
      <c r="B23" s="17" t="inlineStr">
        <is>
          <t>Flujo de caja de IGV (del motor)</t>
        </is>
      </c>
      <c r="D23" s="19" t="n">
        <v>-258.9644279133272</v>
      </c>
      <c r="E23" s="19" t="n">
        <v>-1.285222735627769</v>
      </c>
      <c r="F23" s="19" t="n">
        <v>-2.791601208121051</v>
      </c>
      <c r="G23" s="19" t="n">
        <v>13.63270329013781</v>
      </c>
      <c r="H23" s="19" t="n">
        <v>240.4061411960853</v>
      </c>
      <c r="I23" s="19" t="n">
        <v>7.502407370852843</v>
      </c>
      <c r="J23" s="19" t="n">
        <v>0</v>
      </c>
      <c r="K23" s="19" t="n">
        <v>-1127.89586475199</v>
      </c>
      <c r="L23" s="19" t="n">
        <v>-5.597669998464653</v>
      </c>
      <c r="M23" s="19" t="n">
        <v>-1718.193441329857</v>
      </c>
      <c r="N23" s="19" t="n">
        <v>37.71246727366679</v>
      </c>
      <c r="O23" s="19" t="n">
        <v>457.4320777343723</v>
      </c>
      <c r="P23" s="19" t="n">
        <v>-313.0740543882598</v>
      </c>
      <c r="Q23" s="19" t="n">
        <v>2381.604427493971</v>
      </c>
      <c r="R23" s="19" t="n">
        <v>253.9407198164108</v>
      </c>
      <c r="S23" s="19" t="n">
        <v>-0.1690937198466855</v>
      </c>
      <c r="T23" s="19" t="n">
        <v>35.74043186999667</v>
      </c>
      <c r="U23" s="19" t="n">
        <v>0</v>
      </c>
      <c r="V23" s="19" t="n">
        <v>0</v>
      </c>
      <c r="W23" s="19" t="n">
        <v>0</v>
      </c>
      <c r="X23" s="19" t="n">
        <v>0</v>
      </c>
      <c r="Y23" s="19" t="n">
        <v>0</v>
      </c>
      <c r="Z23" s="19" t="n">
        <v>0</v>
      </c>
      <c r="AA23" s="19" t="n">
        <v>0</v>
      </c>
      <c r="AB23" s="19" t="n">
        <v>0</v>
      </c>
      <c r="AC23" s="19" t="n">
        <v>0</v>
      </c>
      <c r="AD23" s="19" t="n">
        <v>0</v>
      </c>
      <c r="AE23" s="19" t="n">
        <v>0</v>
      </c>
      <c r="AF23" s="19" t="n">
        <v>0</v>
      </c>
      <c r="AG23" s="19" t="n">
        <v>0</v>
      </c>
      <c r="AH23" s="19" t="n">
        <v>0</v>
      </c>
      <c r="AI23" s="19" t="n">
        <v>0</v>
      </c>
      <c r="AJ23" s="19" t="n">
        <v>0</v>
      </c>
      <c r="AK23" s="19" t="n">
        <v>0</v>
      </c>
      <c r="AL23" s="19" t="n">
        <v>0</v>
      </c>
      <c r="AM23" s="19" t="n">
        <v>0</v>
      </c>
      <c r="AN23" s="19" t="n">
        <v>0</v>
      </c>
      <c r="AO23" s="19" t="n">
        <v>0</v>
      </c>
      <c r="AP23" s="19" t="n">
        <v>0</v>
      </c>
      <c r="AQ23" s="19" t="n">
        <v>0</v>
      </c>
      <c r="AR23" s="19" t="n">
        <v>0</v>
      </c>
      <c r="AS23" s="19" t="n">
        <v>0</v>
      </c>
      <c r="AT23" s="19" t="n">
        <v>0</v>
      </c>
      <c r="AU23" s="19" t="n">
        <v>0</v>
      </c>
      <c r="AV23" s="19" t="n">
        <v>0</v>
      </c>
      <c r="AW23" s="19" t="n">
        <v>0</v>
      </c>
      <c r="AX23" s="19" t="n">
        <v>0</v>
      </c>
      <c r="AY23" s="19" t="n">
        <v>0</v>
      </c>
      <c r="AZ23" s="19" t="n">
        <v>0</v>
      </c>
      <c r="BA23" s="19" t="n">
        <v>0</v>
      </c>
      <c r="BB23" s="19" t="n">
        <v>0</v>
      </c>
      <c r="BC23" s="19" t="n">
        <v>0</v>
      </c>
      <c r="BD23" s="19" t="n">
        <v>0</v>
      </c>
      <c r="BE23" s="19" t="n">
        <v>0</v>
      </c>
      <c r="BF23" s="19" t="n">
        <v>0</v>
      </c>
      <c r="BG23" s="19" t="n">
        <v>0</v>
      </c>
      <c r="BH23" s="19" t="n">
        <v>0</v>
      </c>
      <c r="BI23" s="19" t="n">
        <v>0</v>
      </c>
      <c r="BJ23" s="19" t="n">
        <v>0</v>
      </c>
      <c r="BK23" s="19" t="n">
        <v>0</v>
      </c>
      <c r="BL23" s="19" t="n">
        <v>0</v>
      </c>
      <c r="BM23" s="19" t="n">
        <v>0</v>
      </c>
      <c r="BN23" s="19" t="n">
        <v>0</v>
      </c>
      <c r="BO23" s="19" t="n">
        <v>0</v>
      </c>
      <c r="BP23" s="19" t="n">
        <v>0</v>
      </c>
      <c r="BQ23" s="19" t="n">
        <v>0</v>
      </c>
      <c r="BR23" s="19" t="n">
        <v>0</v>
      </c>
      <c r="BS23" s="19" t="n">
        <v>0</v>
      </c>
      <c r="BT23" s="19" t="n">
        <v>0</v>
      </c>
      <c r="BU23" s="19" t="n">
        <v>0</v>
      </c>
      <c r="BV23" s="19" t="n">
        <v>0</v>
      </c>
      <c r="BW23" s="19" t="n">
        <v>0</v>
      </c>
      <c r="BX23" s="19" t="n">
        <v>0</v>
      </c>
      <c r="BY23" s="19" t="n">
        <v>0</v>
      </c>
      <c r="BZ23" s="19" t="n">
        <v>0</v>
      </c>
      <c r="CA23" s="19" t="n">
        <v>0</v>
      </c>
      <c r="CB23" s="19" t="n">
        <v>0</v>
      </c>
      <c r="CC23" s="19" t="n">
        <v>0</v>
      </c>
      <c r="CD23" s="19" t="n">
        <v>0</v>
      </c>
      <c r="CE23" s="19" t="n">
        <v>0</v>
      </c>
      <c r="CF23" s="19" t="n">
        <v>0</v>
      </c>
      <c r="CG23" s="19" t="n">
        <v>0</v>
      </c>
      <c r="CH23" s="19" t="n">
        <v>0</v>
      </c>
      <c r="CI23" s="19" t="n">
        <v>0</v>
      </c>
      <c r="CJ23" s="19" t="n">
        <v>0</v>
      </c>
      <c r="CK23" s="19" t="n">
        <v>0</v>
      </c>
      <c r="CL23" s="19" t="n">
        <v>0</v>
      </c>
      <c r="CM23" s="19" t="n">
        <v>0</v>
      </c>
      <c r="CN23" s="19" t="n">
        <v>0</v>
      </c>
      <c r="CO23" s="19" t="n">
        <v>0</v>
      </c>
      <c r="CP23" s="19" t="n">
        <v>0</v>
      </c>
      <c r="CQ23" s="19" t="n">
        <v>0</v>
      </c>
      <c r="CR23" s="19" t="n">
        <v>0</v>
      </c>
      <c r="CS23" s="19" t="n">
        <v>0</v>
      </c>
      <c r="CT23" s="19" t="n">
        <v>0</v>
      </c>
      <c r="CU23" s="19" t="n">
        <v>0</v>
      </c>
      <c r="CV23" s="19" t="n">
        <v>0</v>
      </c>
      <c r="CW23" s="19" t="n">
        <v>0</v>
      </c>
      <c r="CX23" s="19" t="n">
        <v>0</v>
      </c>
      <c r="CY23" s="19" t="n">
        <v>0</v>
      </c>
      <c r="CZ23" s="19" t="n">
        <v>0</v>
      </c>
      <c r="DA23" s="19" t="n">
        <v>0</v>
      </c>
      <c r="DB23" s="19" t="n">
        <v>0</v>
      </c>
      <c r="DC23" s="19" t="n">
        <v>0</v>
      </c>
      <c r="DD23" s="19" t="n">
        <v>0</v>
      </c>
      <c r="DE23" s="19" t="n">
        <v>0</v>
      </c>
    </row>
    <row r="24">
      <c r="B24" s="17" t="inlineStr">
        <is>
          <t>Intereses de la deuda</t>
        </is>
      </c>
      <c r="D24" s="19" t="n">
        <v>-0</v>
      </c>
      <c r="E24" s="19" t="n">
        <v>-0</v>
      </c>
      <c r="F24" s="19" t="n">
        <v>-0</v>
      </c>
      <c r="G24" s="19" t="n">
        <v>-0</v>
      </c>
      <c r="H24" s="19" t="n">
        <v>-0</v>
      </c>
      <c r="I24" s="19" t="n">
        <v>-0</v>
      </c>
      <c r="J24" s="19" t="n">
        <v>-0</v>
      </c>
      <c r="K24" s="19" t="n">
        <v>-594.5320878416269</v>
      </c>
      <c r="L24" s="19" t="n">
        <v>-1214.521707612437</v>
      </c>
      <c r="M24" s="19" t="n">
        <v>-1795.463602528844</v>
      </c>
      <c r="N24" s="19" t="n">
        <v>-2762.603577044804</v>
      </c>
      <c r="O24" s="19" t="n">
        <v>-3706.377179353624</v>
      </c>
      <c r="P24" s="19" t="n">
        <v>-4583.910241500537</v>
      </c>
      <c r="Q24" s="19" t="n">
        <v>-5310.723391951184</v>
      </c>
      <c r="R24" s="19" t="n">
        <v>-5541.025535435212</v>
      </c>
      <c r="S24" s="19" t="n">
        <v>-5696.139181611194</v>
      </c>
      <c r="T24" s="19" t="n">
        <v>-5773.853692980937</v>
      </c>
      <c r="U24" s="19" t="n">
        <v>-5708.363902212073</v>
      </c>
      <c r="V24" s="19" t="n">
        <v>-5641.280746113046</v>
      </c>
      <c r="W24" s="19" t="n">
        <v>-5572.565458136498</v>
      </c>
      <c r="X24" s="19" t="n">
        <v>-5502.178328545729</v>
      </c>
      <c r="Y24" s="19" t="n">
        <v>-5430.078681466923</v>
      </c>
      <c r="Z24" s="19" t="n">
        <v>-5356.224851383045</v>
      </c>
      <c r="AA24" s="19" t="n">
        <v>-5280.57415905585</v>
      </c>
      <c r="AB24" s="19" t="n">
        <v>-5203.082886862056</v>
      </c>
      <c r="AC24" s="19" t="n">
        <v>-5123.706253529461</v>
      </c>
      <c r="AD24" s="19" t="n">
        <v>-5042.398388258384</v>
      </c>
      <c r="AE24" s="19" t="n">
        <v>-4959.11230421349</v>
      </c>
      <c r="AF24" s="19" t="n">
        <v>-4873.799871370649</v>
      </c>
      <c r="AG24" s="19" t="n">
        <v>-4786.411788703192</v>
      </c>
      <c r="AH24" s="19" t="n">
        <v>-4696.897555691428</v>
      </c>
      <c r="AI24" s="19" t="n">
        <v>-4605.205443139013</v>
      </c>
      <c r="AJ24" s="19" t="n">
        <v>-4511.282463279264</v>
      </c>
      <c r="AK24" s="19" t="n">
        <v>-4415.074339154169</v>
      </c>
      <c r="AL24" s="19" t="n">
        <v>-4316.525473248392</v>
      </c>
      <c r="AM24" s="19" t="n">
        <v>-4215.578915360128</v>
      </c>
      <c r="AN24" s="19" t="n">
        <v>-4112.176329690281</v>
      </c>
      <c r="AO24" s="19" t="n">
        <v>-4006.2579611309</v>
      </c>
      <c r="AP24" s="19" t="n">
        <v>-3897.762600733422</v>
      </c>
      <c r="AQ24" s="19" t="n">
        <v>-3786.627550336766</v>
      </c>
      <c r="AR24" s="19" t="n">
        <v>-3672.788586334815</v>
      </c>
      <c r="AS24" s="19" t="n">
        <v>-3556.179922562366</v>
      </c>
      <c r="AT24" s="19" t="n">
        <v>-3436.734172278106</v>
      </c>
      <c r="AU24" s="19" t="n">
        <v>-3314.382309222622</v>
      </c>
      <c r="AV24" s="19" t="n">
        <v>-3189.053627728957</v>
      </c>
      <c r="AW24" s="19" t="n">
        <v>-3060.675701862655</v>
      </c>
      <c r="AX24" s="19" t="n">
        <v>-2929.174343567694</v>
      </c>
      <c r="AY24" s="19" t="n">
        <v>-2794.473559794096</v>
      </c>
      <c r="AZ24" s="19" t="n">
        <v>-2656.495508582462</v>
      </c>
      <c r="BA24" s="19" t="n">
        <v>-2515.16045408004</v>
      </c>
      <c r="BB24" s="19" t="n">
        <v>-2370.38672046234</v>
      </c>
      <c r="BC24" s="19" t="n">
        <v>-2222.090644733657</v>
      </c>
      <c r="BD24" s="19" t="n">
        <v>-2070.186528379232</v>
      </c>
      <c r="BE24" s="19" t="n">
        <v>-1914.586587841121</v>
      </c>
      <c r="BF24" s="19" t="n">
        <v>-1755.200903789126</v>
      </c>
      <c r="BG24" s="19" t="n">
        <v>-1591.937369157503</v>
      </c>
      <c r="BH24" s="19" t="n">
        <v>-1424.701635917399</v>
      </c>
      <c r="BI24" s="19" t="n">
        <v>-1253.397060554258</v>
      </c>
      <c r="BJ24" s="19" t="n">
        <v>-1077.924648218706</v>
      </c>
      <c r="BK24" s="19" t="n">
        <v>-898.1829955186181</v>
      </c>
      <c r="BL24" s="19" t="n">
        <v>-714.0682319193171</v>
      </c>
      <c r="BM24" s="19" t="n">
        <v>-525.4739597180471</v>
      </c>
      <c r="BN24" s="19" t="n">
        <v>-332.2911925580229</v>
      </c>
      <c r="BO24" s="19" t="n">
        <v>-134.4082924465271</v>
      </c>
      <c r="BP24" s="19" t="n">
        <v>6.793292416861148e-12</v>
      </c>
      <c r="BQ24" s="19" t="n">
        <v>6.958573088666732e-12</v>
      </c>
      <c r="BR24" s="19" t="n">
        <v>7.127875035988838e-12</v>
      </c>
      <c r="BS24" s="19" t="n">
        <v>7.301296096382237e-12</v>
      </c>
      <c r="BT24" s="19" t="n">
        <v>7.478936487787487e-12</v>
      </c>
      <c r="BU24" s="19" t="n">
        <v>7.660898866445694e-12</v>
      </c>
      <c r="BV24" s="19" t="n">
        <v>7.847288386222298e-12</v>
      </c>
      <c r="BW24" s="19" t="n">
        <v>8.038212759374227e-12</v>
      </c>
      <c r="BX24" s="19" t="n">
        <v>8.233782318795525e-12</v>
      </c>
      <c r="BY24" s="19" t="n">
        <v>8.43411008177739e-12</v>
      </c>
      <c r="BZ24" s="19" t="n">
        <v>8.639311815319508e-12</v>
      </c>
      <c r="CA24" s="19" t="n">
        <v>8.8495061030304e-12</v>
      </c>
      <c r="CB24" s="19" t="n">
        <v>9.064814413655472e-12</v>
      </c>
      <c r="CC24" s="19" t="n">
        <v>9.285361171272331e-12</v>
      </c>
      <c r="CD24" s="19" t="n">
        <v>9.511273827193962e-12</v>
      </c>
      <c r="CE24" s="19" t="n">
        <v>9.742682933621305e-12</v>
      </c>
      <c r="CF24" s="19" t="n">
        <v>9.979722219087799e-12</v>
      </c>
      <c r="CG24" s="19" t="n">
        <v>1.022252866573949e-11</v>
      </c>
      <c r="CH24" s="19" t="n">
        <v>1.047124258849536e-11</v>
      </c>
      <c r="CI24" s="19" t="n">
        <v>1.072600771613364e-11</v>
      </c>
      <c r="CJ24" s="19" t="n">
        <v>1.098697127435091e-11</v>
      </c>
      <c r="CK24" s="19" t="n">
        <v>1.125428407084207e-11</v>
      </c>
      <c r="CL24" s="19" t="n">
        <v>1.152810058245031e-11</v>
      </c>
      <c r="CM24" s="19" t="n">
        <v>1.18085790444374e-11</v>
      </c>
      <c r="CN24" s="19" t="n">
        <v>1.209588154192591e-11</v>
      </c>
      <c r="CO24" s="19" t="n">
        <v>1.239017410356629e-11</v>
      </c>
      <c r="CP24" s="19" t="n">
        <v>1.269162679748283e-11</v>
      </c>
      <c r="CQ24" s="19" t="n">
        <v>1.300041382955394e-11</v>
      </c>
      <c r="CR24" s="19" t="n">
        <v>1.331671364408365e-11</v>
      </c>
      <c r="CS24" s="19" t="n">
        <v>1.364070902692243e-11</v>
      </c>
      <c r="CT24" s="19" t="n">
        <v>1.397258721109693e-11</v>
      </c>
      <c r="CU24" s="19" t="n">
        <v>1.431253998500965e-11</v>
      </c>
      <c r="CV24" s="19" t="n">
        <v>1.466076380327121e-11</v>
      </c>
      <c r="CW24" s="19" t="n">
        <v>1.501745990022905e-11</v>
      </c>
      <c r="CX24" s="19" t="n">
        <v>1.538283440625835e-11</v>
      </c>
      <c r="CY24" s="19" t="n">
        <v>1.575709846688232e-11</v>
      </c>
      <c r="CZ24" s="19" t="n">
        <v>1.614046836479058e-11</v>
      </c>
      <c r="DA24" s="19" t="n">
        <v>1.65331656448264e-11</v>
      </c>
      <c r="DB24" s="19" t="n">
        <v>1.693541724201475e-11</v>
      </c>
      <c r="DC24" s="19" t="n">
        <v>1.734745561270532e-11</v>
      </c>
      <c r="DD24" s="19" t="n">
        <v>1.776951886890625e-11</v>
      </c>
      <c r="DE24" s="19" t="n">
        <v>1.820185091588618e-11</v>
      </c>
    </row>
    <row r="25">
      <c r="B25" s="21" t="inlineStr">
        <is>
          <t>Utilidad antes de impuestos</t>
        </is>
      </c>
      <c r="D25" s="19">
        <f>SUM(D9:D11)+D13+SUM(D14:D20)-D24</f>
        <v/>
      </c>
      <c r="E25" s="19">
        <f>SUM(E9:E11)+E13+SUM(E14:E20)-E24</f>
        <v/>
      </c>
      <c r="F25" s="19">
        <f>SUM(F9:F11)+F13+SUM(F14:F20)-F24</f>
        <v/>
      </c>
      <c r="G25" s="19">
        <f>SUM(G9:G11)+G13+SUM(G14:G20)-G24</f>
        <v/>
      </c>
      <c r="H25" s="19">
        <f>SUM(H9:H11)+H13+SUM(H14:H20)-H24</f>
        <v/>
      </c>
      <c r="I25" s="19">
        <f>SUM(I9:I11)+I13+SUM(I14:I20)-I24</f>
        <v/>
      </c>
      <c r="J25" s="19">
        <f>SUM(J9:J11)+J13+SUM(J14:J20)-J24</f>
        <v/>
      </c>
      <c r="K25" s="19">
        <f>SUM(K9:K11)+K13+SUM(K14:K20)-K24</f>
        <v/>
      </c>
      <c r="L25" s="19">
        <f>SUM(L9:L11)+L13+SUM(L14:L20)-L24</f>
        <v/>
      </c>
      <c r="M25" s="19">
        <f>SUM(M9:M11)+M13+SUM(M14:M20)-M24</f>
        <v/>
      </c>
      <c r="N25" s="19">
        <f>SUM(N9:N11)+N13+SUM(N14:N20)-N24</f>
        <v/>
      </c>
      <c r="O25" s="19">
        <f>SUM(O9:O11)+O13+SUM(O14:O20)-O24</f>
        <v/>
      </c>
      <c r="P25" s="19">
        <f>SUM(P9:P11)+P13+SUM(P14:P20)-P24</f>
        <v/>
      </c>
      <c r="Q25" s="19">
        <f>SUM(Q9:Q11)+Q13+SUM(Q14:Q20)-Q24</f>
        <v/>
      </c>
      <c r="R25" s="19">
        <f>SUM(R9:R11)+R13+SUM(R14:R20)-R24</f>
        <v/>
      </c>
      <c r="S25" s="19">
        <f>SUM(S9:S11)+S13+SUM(S14:S20)-S24</f>
        <v/>
      </c>
      <c r="T25" s="19">
        <f>SUM(T9:T11)+T13+SUM(T14:T20)-T24</f>
        <v/>
      </c>
      <c r="U25" s="19">
        <f>SUM(U9:U11)+U13+SUM(U14:U20)-U24</f>
        <v/>
      </c>
      <c r="V25" s="19">
        <f>SUM(V9:V11)+V13+SUM(V14:V20)-V24</f>
        <v/>
      </c>
      <c r="W25" s="19">
        <f>SUM(W9:W11)+W13+SUM(W14:W20)-W24</f>
        <v/>
      </c>
      <c r="X25" s="19">
        <f>SUM(X9:X11)+X13+SUM(X14:X20)-X24</f>
        <v/>
      </c>
      <c r="Y25" s="19">
        <f>SUM(Y9:Y11)+Y13+SUM(Y14:Y20)-Y24</f>
        <v/>
      </c>
      <c r="Z25" s="19">
        <f>SUM(Z9:Z11)+Z13+SUM(Z14:Z20)-Z24</f>
        <v/>
      </c>
      <c r="AA25" s="19">
        <f>SUM(AA9:AA11)+AA13+SUM(AA14:AA20)-AA24</f>
        <v/>
      </c>
      <c r="AB25" s="19">
        <f>SUM(AB9:AB11)+AB13+SUM(AB14:AB20)-AB24</f>
        <v/>
      </c>
      <c r="AC25" s="19">
        <f>SUM(AC9:AC11)+AC13+SUM(AC14:AC20)-AC24</f>
        <v/>
      </c>
      <c r="AD25" s="19">
        <f>SUM(AD9:AD11)+AD13+SUM(AD14:AD20)-AD24</f>
        <v/>
      </c>
      <c r="AE25" s="19">
        <f>SUM(AE9:AE11)+AE13+SUM(AE14:AE20)-AE24</f>
        <v/>
      </c>
      <c r="AF25" s="19">
        <f>SUM(AF9:AF11)+AF13+SUM(AF14:AF20)-AF24</f>
        <v/>
      </c>
      <c r="AG25" s="19">
        <f>SUM(AG9:AG11)+AG13+SUM(AG14:AG20)-AG24</f>
        <v/>
      </c>
      <c r="AH25" s="19">
        <f>SUM(AH9:AH11)+AH13+SUM(AH14:AH20)-AH24</f>
        <v/>
      </c>
      <c r="AI25" s="19">
        <f>SUM(AI9:AI11)+AI13+SUM(AI14:AI20)-AI24</f>
        <v/>
      </c>
      <c r="AJ25" s="19">
        <f>SUM(AJ9:AJ11)+AJ13+SUM(AJ14:AJ20)-AJ24</f>
        <v/>
      </c>
      <c r="AK25" s="19">
        <f>SUM(AK9:AK11)+AK13+SUM(AK14:AK20)-AK24</f>
        <v/>
      </c>
      <c r="AL25" s="19">
        <f>SUM(AL9:AL11)+AL13+SUM(AL14:AL20)-AL24</f>
        <v/>
      </c>
      <c r="AM25" s="19">
        <f>SUM(AM9:AM11)+AM13+SUM(AM14:AM20)-AM24</f>
        <v/>
      </c>
      <c r="AN25" s="19">
        <f>SUM(AN9:AN11)+AN13+SUM(AN14:AN20)-AN24</f>
        <v/>
      </c>
      <c r="AO25" s="19">
        <f>SUM(AO9:AO11)+AO13+SUM(AO14:AO20)-AO24</f>
        <v/>
      </c>
      <c r="AP25" s="19">
        <f>SUM(AP9:AP11)+AP13+SUM(AP14:AP20)-AP24</f>
        <v/>
      </c>
      <c r="AQ25" s="19">
        <f>SUM(AQ9:AQ11)+AQ13+SUM(AQ14:AQ20)-AQ24</f>
        <v/>
      </c>
      <c r="AR25" s="19">
        <f>SUM(AR9:AR11)+AR13+SUM(AR14:AR20)-AR24</f>
        <v/>
      </c>
      <c r="AS25" s="19">
        <f>SUM(AS9:AS11)+AS13+SUM(AS14:AS20)-AS24</f>
        <v/>
      </c>
      <c r="AT25" s="19">
        <f>SUM(AT9:AT11)+AT13+SUM(AT14:AT20)-AT24</f>
        <v/>
      </c>
      <c r="AU25" s="19">
        <f>SUM(AU9:AU11)+AU13+SUM(AU14:AU20)-AU24</f>
        <v/>
      </c>
      <c r="AV25" s="19">
        <f>SUM(AV9:AV11)+AV13+SUM(AV14:AV20)-AV24</f>
        <v/>
      </c>
      <c r="AW25" s="19">
        <f>SUM(AW9:AW11)+AW13+SUM(AW14:AW20)-AW24</f>
        <v/>
      </c>
      <c r="AX25" s="19">
        <f>SUM(AX9:AX11)+AX13+SUM(AX14:AX20)-AX24</f>
        <v/>
      </c>
      <c r="AY25" s="19">
        <f>SUM(AY9:AY11)+AY13+SUM(AY14:AY20)-AY24</f>
        <v/>
      </c>
      <c r="AZ25" s="19">
        <f>SUM(AZ9:AZ11)+AZ13+SUM(AZ14:AZ20)-AZ24</f>
        <v/>
      </c>
      <c r="BA25" s="19">
        <f>SUM(BA9:BA11)+BA13+SUM(BA14:BA20)-BA24</f>
        <v/>
      </c>
      <c r="BB25" s="19">
        <f>SUM(BB9:BB11)+BB13+SUM(BB14:BB20)-BB24</f>
        <v/>
      </c>
      <c r="BC25" s="19">
        <f>SUM(BC9:BC11)+BC13+SUM(BC14:BC20)-BC24</f>
        <v/>
      </c>
      <c r="BD25" s="19">
        <f>SUM(BD9:BD11)+BD13+SUM(BD14:BD20)-BD24</f>
        <v/>
      </c>
      <c r="BE25" s="19">
        <f>SUM(BE9:BE11)+BE13+SUM(BE14:BE20)-BE24</f>
        <v/>
      </c>
      <c r="BF25" s="19">
        <f>SUM(BF9:BF11)+BF13+SUM(BF14:BF20)-BF24</f>
        <v/>
      </c>
      <c r="BG25" s="19">
        <f>SUM(BG9:BG11)+BG13+SUM(BG14:BG20)-BG24</f>
        <v/>
      </c>
      <c r="BH25" s="19">
        <f>SUM(BH9:BH11)+BH13+SUM(BH14:BH20)-BH24</f>
        <v/>
      </c>
      <c r="BI25" s="19">
        <f>SUM(BI9:BI11)+BI13+SUM(BI14:BI20)-BI24</f>
        <v/>
      </c>
      <c r="BJ25" s="19">
        <f>SUM(BJ9:BJ11)+BJ13+SUM(BJ14:BJ20)-BJ24</f>
        <v/>
      </c>
      <c r="BK25" s="19">
        <f>SUM(BK9:BK11)+BK13+SUM(BK14:BK20)-BK24</f>
        <v/>
      </c>
      <c r="BL25" s="19">
        <f>SUM(BL9:BL11)+BL13+SUM(BL14:BL20)-BL24</f>
        <v/>
      </c>
      <c r="BM25" s="19">
        <f>SUM(BM9:BM11)+BM13+SUM(BM14:BM20)-BM24</f>
        <v/>
      </c>
      <c r="BN25" s="19">
        <f>SUM(BN9:BN11)+BN13+SUM(BN14:BN20)-BN24</f>
        <v/>
      </c>
      <c r="BO25" s="19">
        <f>SUM(BO9:BO11)+BO13+SUM(BO14:BO20)-BO24</f>
        <v/>
      </c>
      <c r="BP25" s="19">
        <f>SUM(BP9:BP11)+BP13+SUM(BP14:BP20)-BP24</f>
        <v/>
      </c>
      <c r="BQ25" s="19">
        <f>SUM(BQ9:BQ11)+BQ13+SUM(BQ14:BQ20)-BQ24</f>
        <v/>
      </c>
      <c r="BR25" s="19">
        <f>SUM(BR9:BR11)+BR13+SUM(BR14:BR20)-BR24</f>
        <v/>
      </c>
      <c r="BS25" s="19">
        <f>SUM(BS9:BS11)+BS13+SUM(BS14:BS20)-BS24</f>
        <v/>
      </c>
      <c r="BT25" s="19">
        <f>SUM(BT9:BT11)+BT13+SUM(BT14:BT20)-BT24</f>
        <v/>
      </c>
      <c r="BU25" s="19">
        <f>SUM(BU9:BU11)+BU13+SUM(BU14:BU20)-BU24</f>
        <v/>
      </c>
      <c r="BV25" s="19">
        <f>SUM(BV9:BV11)+BV13+SUM(BV14:BV20)-BV24</f>
        <v/>
      </c>
      <c r="BW25" s="19">
        <f>SUM(BW9:BW11)+BW13+SUM(BW14:BW20)-BW24</f>
        <v/>
      </c>
      <c r="BX25" s="19">
        <f>SUM(BX9:BX11)+BX13+SUM(BX14:BX20)-BX24</f>
        <v/>
      </c>
      <c r="BY25" s="19">
        <f>SUM(BY9:BY11)+BY13+SUM(BY14:BY20)-BY24</f>
        <v/>
      </c>
      <c r="BZ25" s="19">
        <f>SUM(BZ9:BZ11)+BZ13+SUM(BZ14:BZ20)-BZ24</f>
        <v/>
      </c>
      <c r="CA25" s="19">
        <f>SUM(CA9:CA11)+CA13+SUM(CA14:CA20)-CA24</f>
        <v/>
      </c>
      <c r="CB25" s="19">
        <f>SUM(CB9:CB11)+CB13+SUM(CB14:CB20)-CB24</f>
        <v/>
      </c>
      <c r="CC25" s="19">
        <f>SUM(CC9:CC11)+CC13+SUM(CC14:CC20)-CC24</f>
        <v/>
      </c>
      <c r="CD25" s="19">
        <f>SUM(CD9:CD11)+CD13+SUM(CD14:CD20)-CD24</f>
        <v/>
      </c>
      <c r="CE25" s="19">
        <f>SUM(CE9:CE11)+CE13+SUM(CE14:CE20)-CE24</f>
        <v/>
      </c>
      <c r="CF25" s="19">
        <f>SUM(CF9:CF11)+CF13+SUM(CF14:CF20)-CF24</f>
        <v/>
      </c>
      <c r="CG25" s="19">
        <f>SUM(CG9:CG11)+CG13+SUM(CG14:CG20)-CG24</f>
        <v/>
      </c>
      <c r="CH25" s="19">
        <f>SUM(CH9:CH11)+CH13+SUM(CH14:CH20)-CH24</f>
        <v/>
      </c>
      <c r="CI25" s="19">
        <f>SUM(CI9:CI11)+CI13+SUM(CI14:CI20)-CI24</f>
        <v/>
      </c>
      <c r="CJ25" s="19">
        <f>SUM(CJ9:CJ11)+CJ13+SUM(CJ14:CJ20)-CJ24</f>
        <v/>
      </c>
      <c r="CK25" s="19">
        <f>SUM(CK9:CK11)+CK13+SUM(CK14:CK20)-CK24</f>
        <v/>
      </c>
      <c r="CL25" s="19">
        <f>SUM(CL9:CL11)+CL13+SUM(CL14:CL20)-CL24</f>
        <v/>
      </c>
      <c r="CM25" s="19">
        <f>SUM(CM9:CM11)+CM13+SUM(CM14:CM20)-CM24</f>
        <v/>
      </c>
      <c r="CN25" s="19">
        <f>SUM(CN9:CN11)+CN13+SUM(CN14:CN20)-CN24</f>
        <v/>
      </c>
      <c r="CO25" s="19">
        <f>SUM(CO9:CO11)+CO13+SUM(CO14:CO20)-CO24</f>
        <v/>
      </c>
      <c r="CP25" s="19">
        <f>SUM(CP9:CP11)+CP13+SUM(CP14:CP20)-CP24</f>
        <v/>
      </c>
      <c r="CQ25" s="19">
        <f>SUM(CQ9:CQ11)+CQ13+SUM(CQ14:CQ20)-CQ24</f>
        <v/>
      </c>
      <c r="CR25" s="19">
        <f>SUM(CR9:CR11)+CR13+SUM(CR14:CR20)-CR24</f>
        <v/>
      </c>
      <c r="CS25" s="19">
        <f>SUM(CS9:CS11)+CS13+SUM(CS14:CS20)-CS24</f>
        <v/>
      </c>
      <c r="CT25" s="19">
        <f>SUM(CT9:CT11)+CT13+SUM(CT14:CT20)-CT24</f>
        <v/>
      </c>
      <c r="CU25" s="19">
        <f>SUM(CU9:CU11)+CU13+SUM(CU14:CU20)-CU24</f>
        <v/>
      </c>
      <c r="CV25" s="19">
        <f>SUM(CV9:CV11)+CV13+SUM(CV14:CV20)-CV24</f>
        <v/>
      </c>
      <c r="CW25" s="19">
        <f>SUM(CW9:CW11)+CW13+SUM(CW14:CW20)-CW24</f>
        <v/>
      </c>
      <c r="CX25" s="19">
        <f>SUM(CX9:CX11)+CX13+SUM(CX14:CX20)-CX24</f>
        <v/>
      </c>
      <c r="CY25" s="19">
        <f>SUM(CY9:CY11)+CY13+SUM(CY14:CY20)-CY24</f>
        <v/>
      </c>
      <c r="CZ25" s="19">
        <f>SUM(CZ9:CZ11)+CZ13+SUM(CZ14:CZ20)-CZ24</f>
        <v/>
      </c>
      <c r="DA25" s="19">
        <f>SUM(DA9:DA11)+DA13+SUM(DA14:DA20)-DA24</f>
        <v/>
      </c>
      <c r="DB25" s="19">
        <f>SUM(DB9:DB11)+DB13+SUM(DB14:DB20)-DB24</f>
        <v/>
      </c>
      <c r="DC25" s="19">
        <f>SUM(DC9:DC11)+DC13+SUM(DC14:DC20)-DC24</f>
        <v/>
      </c>
      <c r="DD25" s="19">
        <f>SUM(DD9:DD11)+DD13+SUM(DD14:DD20)-DD24</f>
        <v/>
      </c>
      <c r="DE25" s="19">
        <f>SUM(DE9:DE11)+DE13+SUM(DE14:DE20)-DE24</f>
        <v/>
      </c>
    </row>
    <row r="26">
      <c r="B26" s="17" t="inlineStr">
        <is>
          <t>Participacion e Impuesto a la Renta (del motor)</t>
        </is>
      </c>
      <c r="D26" s="19" t="n">
        <v>-0</v>
      </c>
      <c r="E26" s="19" t="n">
        <v>0</v>
      </c>
      <c r="F26" s="19" t="n">
        <v>0</v>
      </c>
      <c r="G26" s="19" t="n">
        <v>0</v>
      </c>
      <c r="H26" s="19" t="n">
        <v>-0</v>
      </c>
      <c r="I26" s="19" t="n">
        <v>0</v>
      </c>
      <c r="J26" s="19" t="n">
        <v>0</v>
      </c>
      <c r="K26" s="19" t="n">
        <v>0</v>
      </c>
      <c r="L26" s="19" t="n">
        <v>-0</v>
      </c>
      <c r="M26" s="19" t="n">
        <v>0</v>
      </c>
      <c r="N26" s="19" t="n">
        <v>0</v>
      </c>
      <c r="O26" s="19" t="n">
        <v>0</v>
      </c>
      <c r="P26" s="19" t="n">
        <v>-0</v>
      </c>
      <c r="Q26" s="19" t="n">
        <v>0</v>
      </c>
      <c r="R26" s="19" t="n">
        <v>0</v>
      </c>
      <c r="S26" s="19" t="n">
        <v>0</v>
      </c>
      <c r="T26" s="19" t="n">
        <v>-0</v>
      </c>
      <c r="U26" s="19" t="n">
        <v>0</v>
      </c>
      <c r="V26" s="19" t="n">
        <v>0</v>
      </c>
      <c r="W26" s="19" t="n">
        <v>0</v>
      </c>
      <c r="X26" s="19" t="n">
        <v>-0</v>
      </c>
      <c r="Y26" s="19" t="n">
        <v>0</v>
      </c>
      <c r="Z26" s="19" t="n">
        <v>0</v>
      </c>
      <c r="AA26" s="19" t="n">
        <v>0</v>
      </c>
      <c r="AB26" s="19" t="n">
        <v>-1704.210547081077</v>
      </c>
      <c r="AC26" s="19" t="n">
        <v>0</v>
      </c>
      <c r="AD26" s="19" t="n">
        <v>0</v>
      </c>
      <c r="AE26" s="19" t="n">
        <v>0</v>
      </c>
      <c r="AF26" s="19" t="n">
        <v>-7353.139865112765</v>
      </c>
      <c r="AG26" s="19" t="n">
        <v>0</v>
      </c>
      <c r="AH26" s="19" t="n">
        <v>0</v>
      </c>
      <c r="AI26" s="19" t="n">
        <v>0</v>
      </c>
      <c r="AJ26" s="19" t="n">
        <v>-7492.899036407647</v>
      </c>
      <c r="AK26" s="19" t="n">
        <v>0</v>
      </c>
      <c r="AL26" s="19" t="n">
        <v>0</v>
      </c>
      <c r="AM26" s="19" t="n">
        <v>0</v>
      </c>
      <c r="AN26" s="19" t="n">
        <v>-7634.525350477485</v>
      </c>
      <c r="AO26" s="19" t="n">
        <v>0</v>
      </c>
      <c r="AP26" s="19" t="n">
        <v>0</v>
      </c>
      <c r="AQ26" s="19" t="n">
        <v>0</v>
      </c>
      <c r="AR26" s="19" t="n">
        <v>-7777.412930999511</v>
      </c>
      <c r="AS26" s="19" t="n">
        <v>0</v>
      </c>
      <c r="AT26" s="19" t="n">
        <v>0</v>
      </c>
      <c r="AU26" s="19" t="n">
        <v>0</v>
      </c>
      <c r="AV26" s="19" t="n">
        <v>-8124.481891895686</v>
      </c>
      <c r="AW26" s="19" t="n">
        <v>0</v>
      </c>
      <c r="AX26" s="19" t="n">
        <v>0</v>
      </c>
      <c r="AY26" s="19" t="n">
        <v>0</v>
      </c>
      <c r="AZ26" s="19" t="n">
        <v>-8282.938708929982</v>
      </c>
      <c r="BA26" s="19" t="n">
        <v>0</v>
      </c>
      <c r="BB26" s="19" t="n">
        <v>0</v>
      </c>
      <c r="BC26" s="19" t="n">
        <v>0</v>
      </c>
      <c r="BD26" s="19" t="n">
        <v>-8441.753850128272</v>
      </c>
      <c r="BE26" s="19" t="n">
        <v>0</v>
      </c>
      <c r="BF26" s="19" t="n">
        <v>0</v>
      </c>
      <c r="BG26" s="19" t="n">
        <v>0</v>
      </c>
      <c r="BH26" s="19" t="n">
        <v>-8688.571125670282</v>
      </c>
      <c r="BI26" s="19" t="n">
        <v>0</v>
      </c>
      <c r="BJ26" s="19" t="n">
        <v>0</v>
      </c>
      <c r="BK26" s="19" t="n">
        <v>0</v>
      </c>
      <c r="BL26" s="19" t="n">
        <v>-8848.345814487877</v>
      </c>
      <c r="BM26" s="19" t="n">
        <v>0</v>
      </c>
      <c r="BN26" s="19" t="n">
        <v>0</v>
      </c>
      <c r="BO26" s="19" t="n">
        <v>0</v>
      </c>
      <c r="BP26" s="19" t="n">
        <v>-8993.096464820548</v>
      </c>
      <c r="BQ26" s="19" t="n">
        <v>0</v>
      </c>
      <c r="BR26" s="19" t="n">
        <v>0</v>
      </c>
      <c r="BS26" s="19" t="n">
        <v>0</v>
      </c>
      <c r="BT26" s="19" t="n">
        <v>-8371.952293789505</v>
      </c>
      <c r="BU26" s="19" t="n">
        <v>0</v>
      </c>
      <c r="BV26" s="19" t="n">
        <v>0</v>
      </c>
      <c r="BW26" s="19" t="n">
        <v>0</v>
      </c>
      <c r="BX26" s="19" t="n">
        <v>-7316.48977913994</v>
      </c>
      <c r="BY26" s="19" t="n">
        <v>0</v>
      </c>
      <c r="BZ26" s="19" t="n">
        <v>0</v>
      </c>
      <c r="CA26" s="19" t="n">
        <v>0</v>
      </c>
      <c r="CB26" s="19" t="n">
        <v>-6166.398875377616</v>
      </c>
      <c r="CC26" s="19" t="n">
        <v>0</v>
      </c>
      <c r="CD26" s="19" t="n">
        <v>0</v>
      </c>
      <c r="CE26" s="19" t="n">
        <v>0</v>
      </c>
      <c r="CF26" s="19" t="n">
        <v>-4555.252033893918</v>
      </c>
      <c r="CG26" s="19" t="n">
        <v>0</v>
      </c>
      <c r="CH26" s="19" t="n">
        <v>0</v>
      </c>
      <c r="CI26" s="19" t="n">
        <v>0</v>
      </c>
      <c r="CJ26" s="19" t="n">
        <v>-4938.338814897515</v>
      </c>
      <c r="CK26" s="19" t="n">
        <v>0</v>
      </c>
      <c r="CL26" s="19" t="n">
        <v>0</v>
      </c>
      <c r="CM26" s="19" t="n">
        <v>0</v>
      </c>
      <c r="CN26" s="19" t="n">
        <v>-5239.994405784921</v>
      </c>
      <c r="CO26" s="19" t="n">
        <v>0</v>
      </c>
      <c r="CP26" s="19" t="n">
        <v>0</v>
      </c>
      <c r="CQ26" s="19" t="n">
        <v>0</v>
      </c>
      <c r="CR26" s="19" t="n">
        <v>-5553.592540887252</v>
      </c>
      <c r="CS26" s="19" t="n">
        <v>0</v>
      </c>
      <c r="CT26" s="19" t="n">
        <v>0</v>
      </c>
      <c r="CU26" s="19" t="n">
        <v>0</v>
      </c>
      <c r="CV26" s="19" t="n">
        <v>-5895.151950640855</v>
      </c>
      <c r="CW26" s="19" t="n">
        <v>0</v>
      </c>
      <c r="CX26" s="19" t="n">
        <v>0</v>
      </c>
      <c r="CY26" s="19" t="n">
        <v>0</v>
      </c>
      <c r="CZ26" s="19" t="n">
        <v>-6250.422856906607</v>
      </c>
      <c r="DA26" s="19" t="n">
        <v>0</v>
      </c>
      <c r="DB26" s="19" t="n">
        <v>0</v>
      </c>
      <c r="DC26" s="19" t="n">
        <v>0</v>
      </c>
      <c r="DD26" s="19" t="n">
        <v>-4615.187371842474</v>
      </c>
      <c r="DE26" s="19" t="n">
        <v>0</v>
      </c>
    </row>
    <row r="27">
      <c r="B27" s="17" t="inlineStr">
        <is>
          <t>Desembolsos de deuda</t>
        </is>
      </c>
      <c r="D27" s="19" t="n">
        <v>0</v>
      </c>
      <c r="E27" s="19" t="n">
        <v>0</v>
      </c>
      <c r="F27" s="19" t="n">
        <v>0</v>
      </c>
      <c r="G27" s="19" t="n">
        <v>0</v>
      </c>
      <c r="H27" s="19" t="n">
        <v>0</v>
      </c>
      <c r="I27" s="19" t="n">
        <v>0</v>
      </c>
      <c r="J27" s="19" t="n">
        <v>0</v>
      </c>
      <c r="K27" s="19" t="n">
        <v>44327.12771547907</v>
      </c>
      <c r="L27" s="19" t="n">
        <v>15088.34122667402</v>
      </c>
      <c r="M27" s="19" t="n">
        <v>37959.8337772916</v>
      </c>
      <c r="N27" s="19" t="n">
        <v>37715.89442652093</v>
      </c>
      <c r="O27" s="19" t="n">
        <v>32348.99061954396</v>
      </c>
      <c r="P27" s="19" t="n">
        <v>34229.7746504811</v>
      </c>
      <c r="Q27" s="19" t="n">
        <v>5205.325816908577</v>
      </c>
      <c r="R27" s="19" t="n">
        <v>1584.774359090497</v>
      </c>
      <c r="S27" s="19" t="n">
        <v>455.7867371664599</v>
      </c>
      <c r="T27" s="19" t="n">
        <v>0</v>
      </c>
      <c r="U27" s="19" t="n">
        <v>0</v>
      </c>
      <c r="V27" s="19" t="n">
        <v>0</v>
      </c>
      <c r="W27" s="19" t="n">
        <v>0</v>
      </c>
      <c r="X27" s="19" t="n">
        <v>0</v>
      </c>
      <c r="Y27" s="19" t="n">
        <v>0</v>
      </c>
      <c r="Z27" s="19" t="n">
        <v>0</v>
      </c>
      <c r="AA27" s="19" t="n">
        <v>0</v>
      </c>
      <c r="AB27" s="19" t="n">
        <v>0</v>
      </c>
      <c r="AC27" s="19" t="n">
        <v>0</v>
      </c>
      <c r="AD27" s="19" t="n">
        <v>0</v>
      </c>
      <c r="AE27" s="19" t="n">
        <v>0</v>
      </c>
      <c r="AF27" s="19" t="n">
        <v>0</v>
      </c>
      <c r="AG27" s="19" t="n">
        <v>0</v>
      </c>
      <c r="AH27" s="19" t="n">
        <v>0</v>
      </c>
      <c r="AI27" s="19" t="n">
        <v>0</v>
      </c>
      <c r="AJ27" s="19" t="n">
        <v>0</v>
      </c>
      <c r="AK27" s="19" t="n">
        <v>0</v>
      </c>
      <c r="AL27" s="19" t="n">
        <v>0</v>
      </c>
      <c r="AM27" s="19" t="n">
        <v>0</v>
      </c>
      <c r="AN27" s="19" t="n">
        <v>0</v>
      </c>
      <c r="AO27" s="19" t="n">
        <v>0</v>
      </c>
      <c r="AP27" s="19" t="n">
        <v>0</v>
      </c>
      <c r="AQ27" s="19" t="n">
        <v>0</v>
      </c>
      <c r="AR27" s="19" t="n">
        <v>0</v>
      </c>
      <c r="AS27" s="19" t="n">
        <v>0</v>
      </c>
      <c r="AT27" s="19" t="n">
        <v>0</v>
      </c>
      <c r="AU27" s="19" t="n">
        <v>0</v>
      </c>
      <c r="AV27" s="19" t="n">
        <v>0</v>
      </c>
      <c r="AW27" s="19" t="n">
        <v>0</v>
      </c>
      <c r="AX27" s="19" t="n">
        <v>0</v>
      </c>
      <c r="AY27" s="19" t="n">
        <v>0</v>
      </c>
      <c r="AZ27" s="19" t="n">
        <v>0</v>
      </c>
      <c r="BA27" s="19" t="n">
        <v>0</v>
      </c>
      <c r="BB27" s="19" t="n">
        <v>0</v>
      </c>
      <c r="BC27" s="19" t="n">
        <v>0</v>
      </c>
      <c r="BD27" s="19" t="n">
        <v>0</v>
      </c>
      <c r="BE27" s="19" t="n">
        <v>0</v>
      </c>
      <c r="BF27" s="19" t="n">
        <v>0</v>
      </c>
      <c r="BG27" s="19" t="n">
        <v>0</v>
      </c>
      <c r="BH27" s="19" t="n">
        <v>0</v>
      </c>
      <c r="BI27" s="19" t="n">
        <v>0</v>
      </c>
      <c r="BJ27" s="19" t="n">
        <v>0</v>
      </c>
      <c r="BK27" s="19" t="n">
        <v>0</v>
      </c>
      <c r="BL27" s="19" t="n">
        <v>0</v>
      </c>
      <c r="BM27" s="19" t="n">
        <v>0</v>
      </c>
      <c r="BN27" s="19" t="n">
        <v>0</v>
      </c>
      <c r="BO27" s="19" t="n">
        <v>0</v>
      </c>
      <c r="BP27" s="19" t="n">
        <v>0</v>
      </c>
      <c r="BQ27" s="19" t="n">
        <v>0</v>
      </c>
      <c r="BR27" s="19" t="n">
        <v>0</v>
      </c>
      <c r="BS27" s="19" t="n">
        <v>0</v>
      </c>
      <c r="BT27" s="19" t="n">
        <v>0</v>
      </c>
      <c r="BU27" s="19" t="n">
        <v>0</v>
      </c>
      <c r="BV27" s="19" t="n">
        <v>0</v>
      </c>
      <c r="BW27" s="19" t="n">
        <v>0</v>
      </c>
      <c r="BX27" s="19" t="n">
        <v>0</v>
      </c>
      <c r="BY27" s="19" t="n">
        <v>0</v>
      </c>
      <c r="BZ27" s="19" t="n">
        <v>0</v>
      </c>
      <c r="CA27" s="19" t="n">
        <v>0</v>
      </c>
      <c r="CB27" s="19" t="n">
        <v>0</v>
      </c>
      <c r="CC27" s="19" t="n">
        <v>0</v>
      </c>
      <c r="CD27" s="19" t="n">
        <v>0</v>
      </c>
      <c r="CE27" s="19" t="n">
        <v>0</v>
      </c>
      <c r="CF27" s="19" t="n">
        <v>0</v>
      </c>
      <c r="CG27" s="19" t="n">
        <v>0</v>
      </c>
      <c r="CH27" s="19" t="n">
        <v>0</v>
      </c>
      <c r="CI27" s="19" t="n">
        <v>0</v>
      </c>
      <c r="CJ27" s="19" t="n">
        <v>0</v>
      </c>
      <c r="CK27" s="19" t="n">
        <v>0</v>
      </c>
      <c r="CL27" s="19" t="n">
        <v>0</v>
      </c>
      <c r="CM27" s="19" t="n">
        <v>0</v>
      </c>
      <c r="CN27" s="19" t="n">
        <v>0</v>
      </c>
      <c r="CO27" s="19" t="n">
        <v>0</v>
      </c>
      <c r="CP27" s="19" t="n">
        <v>0</v>
      </c>
      <c r="CQ27" s="19" t="n">
        <v>0</v>
      </c>
      <c r="CR27" s="19" t="n">
        <v>0</v>
      </c>
      <c r="CS27" s="19" t="n">
        <v>0</v>
      </c>
      <c r="CT27" s="19" t="n">
        <v>0</v>
      </c>
      <c r="CU27" s="19" t="n">
        <v>0</v>
      </c>
      <c r="CV27" s="19" t="n">
        <v>0</v>
      </c>
      <c r="CW27" s="19" t="n">
        <v>0</v>
      </c>
      <c r="CX27" s="19" t="n">
        <v>0</v>
      </c>
      <c r="CY27" s="19" t="n">
        <v>0</v>
      </c>
      <c r="CZ27" s="19" t="n">
        <v>0</v>
      </c>
      <c r="DA27" s="19" t="n">
        <v>0</v>
      </c>
      <c r="DB27" s="19" t="n">
        <v>0</v>
      </c>
      <c r="DC27" s="19" t="n">
        <v>0</v>
      </c>
      <c r="DD27" s="19" t="n">
        <v>0</v>
      </c>
      <c r="DE27" s="19" t="n">
        <v>0</v>
      </c>
    </row>
    <row r="28">
      <c r="B28" s="17" t="inlineStr">
        <is>
          <t>Servicio de deuda</t>
        </is>
      </c>
      <c r="D28" s="19" t="n">
        <v>-0</v>
      </c>
      <c r="E28" s="19" t="n">
        <v>-0</v>
      </c>
      <c r="F28" s="19" t="n">
        <v>-0</v>
      </c>
      <c r="G28" s="19" t="n">
        <v>-0</v>
      </c>
      <c r="H28" s="19" t="n">
        <v>-0</v>
      </c>
      <c r="I28" s="19" t="n">
        <v>-0</v>
      </c>
      <c r="J28" s="19" t="n">
        <v>-0</v>
      </c>
      <c r="K28" s="19" t="n">
        <v>-0</v>
      </c>
      <c r="L28" s="19" t="n">
        <v>-0</v>
      </c>
      <c r="M28" s="19" t="n">
        <v>-0</v>
      </c>
      <c r="N28" s="19" t="n">
        <v>-0</v>
      </c>
      <c r="O28" s="19" t="n">
        <v>-0</v>
      </c>
      <c r="P28" s="19" t="n">
        <v>-0</v>
      </c>
      <c r="Q28" s="19" t="n">
        <v>-0</v>
      </c>
      <c r="R28" s="19" t="n">
        <v>-0</v>
      </c>
      <c r="S28" s="19" t="n">
        <v>-0</v>
      </c>
      <c r="T28" s="19" t="n">
        <v>-8465.585848663723</v>
      </c>
      <c r="U28" s="19" t="n">
        <v>-8465.585848663723</v>
      </c>
      <c r="V28" s="19" t="n">
        <v>-8465.585848663723</v>
      </c>
      <c r="W28" s="19" t="n">
        <v>-8465.585848663723</v>
      </c>
      <c r="X28" s="19" t="n">
        <v>-8465.585848663723</v>
      </c>
      <c r="Y28" s="19" t="n">
        <v>-8465.585848663723</v>
      </c>
      <c r="Z28" s="19" t="n">
        <v>-8465.585848663723</v>
      </c>
      <c r="AA28" s="19" t="n">
        <v>-8465.585848663723</v>
      </c>
      <c r="AB28" s="19" t="n">
        <v>-8465.585848663723</v>
      </c>
      <c r="AC28" s="19" t="n">
        <v>-8465.585848663723</v>
      </c>
      <c r="AD28" s="19" t="n">
        <v>-8465.585848663723</v>
      </c>
      <c r="AE28" s="19" t="n">
        <v>-8465.585848663723</v>
      </c>
      <c r="AF28" s="19" t="n">
        <v>-8465.585848663723</v>
      </c>
      <c r="AG28" s="19" t="n">
        <v>-8465.585848663723</v>
      </c>
      <c r="AH28" s="19" t="n">
        <v>-8465.585848663723</v>
      </c>
      <c r="AI28" s="19" t="n">
        <v>-8465.585848663723</v>
      </c>
      <c r="AJ28" s="19" t="n">
        <v>-8465.585848663723</v>
      </c>
      <c r="AK28" s="19" t="n">
        <v>-8465.585848663723</v>
      </c>
      <c r="AL28" s="19" t="n">
        <v>-8465.585848663723</v>
      </c>
      <c r="AM28" s="19" t="n">
        <v>-8465.585848663723</v>
      </c>
      <c r="AN28" s="19" t="n">
        <v>-8465.585848663723</v>
      </c>
      <c r="AO28" s="19" t="n">
        <v>-8465.585848663723</v>
      </c>
      <c r="AP28" s="19" t="n">
        <v>-8465.585848663723</v>
      </c>
      <c r="AQ28" s="19" t="n">
        <v>-8465.585848663723</v>
      </c>
      <c r="AR28" s="19" t="n">
        <v>-8465.585848663723</v>
      </c>
      <c r="AS28" s="19" t="n">
        <v>-8465.585848663723</v>
      </c>
      <c r="AT28" s="19" t="n">
        <v>-8465.585848663723</v>
      </c>
      <c r="AU28" s="19" t="n">
        <v>-8465.585848663723</v>
      </c>
      <c r="AV28" s="19" t="n">
        <v>-8465.585848663723</v>
      </c>
      <c r="AW28" s="19" t="n">
        <v>-8465.585848663723</v>
      </c>
      <c r="AX28" s="19" t="n">
        <v>-8465.585848663723</v>
      </c>
      <c r="AY28" s="19" t="n">
        <v>-8465.585848663723</v>
      </c>
      <c r="AZ28" s="19" t="n">
        <v>-8465.585848663723</v>
      </c>
      <c r="BA28" s="19" t="n">
        <v>-8465.585848663723</v>
      </c>
      <c r="BB28" s="19" t="n">
        <v>-8465.585848663723</v>
      </c>
      <c r="BC28" s="19" t="n">
        <v>-8465.585848663723</v>
      </c>
      <c r="BD28" s="19" t="n">
        <v>-8465.585848663723</v>
      </c>
      <c r="BE28" s="19" t="n">
        <v>-8465.585848663723</v>
      </c>
      <c r="BF28" s="19" t="n">
        <v>-8465.585848663723</v>
      </c>
      <c r="BG28" s="19" t="n">
        <v>-8465.585848663723</v>
      </c>
      <c r="BH28" s="19" t="n">
        <v>-8465.585848663723</v>
      </c>
      <c r="BI28" s="19" t="n">
        <v>-8465.585848663723</v>
      </c>
      <c r="BJ28" s="19" t="n">
        <v>-8465.585848663723</v>
      </c>
      <c r="BK28" s="19" t="n">
        <v>-8465.585848663723</v>
      </c>
      <c r="BL28" s="19" t="n">
        <v>-8465.585848663723</v>
      </c>
      <c r="BM28" s="19" t="n">
        <v>-8465.585848663723</v>
      </c>
      <c r="BN28" s="19" t="n">
        <v>-8465.585848663723</v>
      </c>
      <c r="BO28" s="19" t="n">
        <v>-8465.585848663723</v>
      </c>
      <c r="BP28" s="19" t="n">
        <v>-0</v>
      </c>
      <c r="BQ28" s="19" t="n">
        <v>-0</v>
      </c>
      <c r="BR28" s="19" t="n">
        <v>-0</v>
      </c>
      <c r="BS28" s="19" t="n">
        <v>-0</v>
      </c>
      <c r="BT28" s="19" t="n">
        <v>-0</v>
      </c>
      <c r="BU28" s="19" t="n">
        <v>-0</v>
      </c>
      <c r="BV28" s="19" t="n">
        <v>-0</v>
      </c>
      <c r="BW28" s="19" t="n">
        <v>-0</v>
      </c>
      <c r="BX28" s="19" t="n">
        <v>-0</v>
      </c>
      <c r="BY28" s="19" t="n">
        <v>-0</v>
      </c>
      <c r="BZ28" s="19" t="n">
        <v>-0</v>
      </c>
      <c r="CA28" s="19" t="n">
        <v>-0</v>
      </c>
      <c r="CB28" s="19" t="n">
        <v>-0</v>
      </c>
      <c r="CC28" s="19" t="n">
        <v>-0</v>
      </c>
      <c r="CD28" s="19" t="n">
        <v>-0</v>
      </c>
      <c r="CE28" s="19" t="n">
        <v>-0</v>
      </c>
      <c r="CF28" s="19" t="n">
        <v>-0</v>
      </c>
      <c r="CG28" s="19" t="n">
        <v>-0</v>
      </c>
      <c r="CH28" s="19" t="n">
        <v>-0</v>
      </c>
      <c r="CI28" s="19" t="n">
        <v>-0</v>
      </c>
      <c r="CJ28" s="19" t="n">
        <v>-0</v>
      </c>
      <c r="CK28" s="19" t="n">
        <v>-0</v>
      </c>
      <c r="CL28" s="19" t="n">
        <v>-0</v>
      </c>
      <c r="CM28" s="19" t="n">
        <v>-0</v>
      </c>
      <c r="CN28" s="19" t="n">
        <v>-0</v>
      </c>
      <c r="CO28" s="19" t="n">
        <v>-0</v>
      </c>
      <c r="CP28" s="19" t="n">
        <v>-0</v>
      </c>
      <c r="CQ28" s="19" t="n">
        <v>-0</v>
      </c>
      <c r="CR28" s="19" t="n">
        <v>-0</v>
      </c>
      <c r="CS28" s="19" t="n">
        <v>-0</v>
      </c>
      <c r="CT28" s="19" t="n">
        <v>-0</v>
      </c>
      <c r="CU28" s="19" t="n">
        <v>-0</v>
      </c>
      <c r="CV28" s="19" t="n">
        <v>-0</v>
      </c>
      <c r="CW28" s="19" t="n">
        <v>-0</v>
      </c>
      <c r="CX28" s="19" t="n">
        <v>-0</v>
      </c>
      <c r="CY28" s="19" t="n">
        <v>-0</v>
      </c>
      <c r="CZ28" s="19" t="n">
        <v>-0</v>
      </c>
      <c r="DA28" s="19" t="n">
        <v>-0</v>
      </c>
      <c r="DB28" s="19" t="n">
        <v>-0</v>
      </c>
      <c r="DC28" s="19" t="n">
        <v>-0</v>
      </c>
      <c r="DD28" s="19" t="n">
        <v>-0</v>
      </c>
      <c r="DE28" s="19" t="n">
        <v>-0</v>
      </c>
    </row>
    <row r="29">
      <c r="B29" s="17" t="inlineStr">
        <is>
          <t>Deuda complementaria, desembolsos (del motor)</t>
        </is>
      </c>
      <c r="D29" s="19" t="n">
        <v>0</v>
      </c>
      <c r="E29" s="19" t="n">
        <v>0</v>
      </c>
      <c r="F29" s="19" t="n">
        <v>0</v>
      </c>
      <c r="G29" s="19" t="n">
        <v>0</v>
      </c>
      <c r="H29" s="19" t="n">
        <v>0</v>
      </c>
      <c r="I29" s="19" t="n">
        <v>0</v>
      </c>
      <c r="J29" s="19" t="n">
        <v>0</v>
      </c>
      <c r="K29" s="19" t="n">
        <v>0</v>
      </c>
      <c r="L29" s="19" t="n">
        <v>0</v>
      </c>
      <c r="M29" s="19" t="n">
        <v>0</v>
      </c>
      <c r="N29" s="19" t="n">
        <v>0</v>
      </c>
      <c r="O29" s="19" t="n">
        <v>0</v>
      </c>
      <c r="P29" s="19" t="n">
        <v>0</v>
      </c>
      <c r="Q29" s="19" t="n">
        <v>0</v>
      </c>
      <c r="R29" s="19" t="n">
        <v>0</v>
      </c>
      <c r="S29" s="19" t="n">
        <v>0</v>
      </c>
      <c r="T29" s="19" t="n">
        <v>0</v>
      </c>
      <c r="U29" s="19" t="n">
        <v>0</v>
      </c>
      <c r="V29" s="19" t="n">
        <v>0</v>
      </c>
      <c r="W29" s="19" t="n">
        <v>0</v>
      </c>
      <c r="X29" s="19" t="n">
        <v>0</v>
      </c>
      <c r="Y29" s="19" t="n">
        <v>0</v>
      </c>
      <c r="Z29" s="19" t="n">
        <v>0</v>
      </c>
      <c r="AA29" s="19" t="n">
        <v>0</v>
      </c>
      <c r="AB29" s="19" t="n">
        <v>0</v>
      </c>
      <c r="AC29" s="19" t="n">
        <v>0</v>
      </c>
      <c r="AD29" s="19" t="n">
        <v>0</v>
      </c>
      <c r="AE29" s="19" t="n">
        <v>0</v>
      </c>
      <c r="AF29" s="19" t="n">
        <v>0</v>
      </c>
      <c r="AG29" s="19" t="n">
        <v>0</v>
      </c>
      <c r="AH29" s="19" t="n">
        <v>0</v>
      </c>
      <c r="AI29" s="19" t="n">
        <v>0</v>
      </c>
      <c r="AJ29" s="19" t="n">
        <v>0</v>
      </c>
      <c r="AK29" s="19" t="n">
        <v>0</v>
      </c>
      <c r="AL29" s="19" t="n">
        <v>0</v>
      </c>
      <c r="AM29" s="19" t="n">
        <v>0</v>
      </c>
      <c r="AN29" s="19" t="n">
        <v>0</v>
      </c>
      <c r="AO29" s="19" t="n">
        <v>0</v>
      </c>
      <c r="AP29" s="19" t="n">
        <v>0</v>
      </c>
      <c r="AQ29" s="19" t="n">
        <v>0</v>
      </c>
      <c r="AR29" s="19" t="n">
        <v>0</v>
      </c>
      <c r="AS29" s="19" t="n">
        <v>0</v>
      </c>
      <c r="AT29" s="19" t="n">
        <v>0</v>
      </c>
      <c r="AU29" s="19" t="n">
        <v>0</v>
      </c>
      <c r="AV29" s="19" t="n">
        <v>0</v>
      </c>
      <c r="AW29" s="19" t="n">
        <v>0</v>
      </c>
      <c r="AX29" s="19" t="n">
        <v>0</v>
      </c>
      <c r="AY29" s="19" t="n">
        <v>0</v>
      </c>
      <c r="AZ29" s="19" t="n">
        <v>0</v>
      </c>
      <c r="BA29" s="19" t="n">
        <v>0</v>
      </c>
      <c r="BB29" s="19" t="n">
        <v>0</v>
      </c>
      <c r="BC29" s="19" t="n">
        <v>0</v>
      </c>
      <c r="BD29" s="19" t="n">
        <v>0</v>
      </c>
      <c r="BE29" s="19" t="n">
        <v>0</v>
      </c>
      <c r="BF29" s="19" t="n">
        <v>0</v>
      </c>
      <c r="BG29" s="19" t="n">
        <v>0</v>
      </c>
      <c r="BH29" s="19" t="n">
        <v>0</v>
      </c>
      <c r="BI29" s="19" t="n">
        <v>0</v>
      </c>
      <c r="BJ29" s="19" t="n">
        <v>0</v>
      </c>
      <c r="BK29" s="19" t="n">
        <v>0</v>
      </c>
      <c r="BL29" s="19" t="n">
        <v>0</v>
      </c>
      <c r="BM29" s="19" t="n">
        <v>0</v>
      </c>
      <c r="BN29" s="19" t="n">
        <v>0</v>
      </c>
      <c r="BO29" s="19" t="n">
        <v>0</v>
      </c>
      <c r="BP29" s="19" t="n">
        <v>0</v>
      </c>
      <c r="BQ29" s="19" t="n">
        <v>0</v>
      </c>
      <c r="BR29" s="19" t="n">
        <v>0</v>
      </c>
      <c r="BS29" s="19" t="n">
        <v>0</v>
      </c>
      <c r="BT29" s="19" t="n">
        <v>0</v>
      </c>
      <c r="BU29" s="19" t="n">
        <v>0</v>
      </c>
      <c r="BV29" s="19" t="n">
        <v>0</v>
      </c>
      <c r="BW29" s="19" t="n">
        <v>0</v>
      </c>
      <c r="BX29" s="19" t="n">
        <v>0</v>
      </c>
      <c r="BY29" s="19" t="n">
        <v>0</v>
      </c>
      <c r="BZ29" s="19" t="n">
        <v>0</v>
      </c>
      <c r="CA29" s="19" t="n">
        <v>0</v>
      </c>
      <c r="CB29" s="19" t="n">
        <v>0</v>
      </c>
      <c r="CC29" s="19" t="n">
        <v>0</v>
      </c>
      <c r="CD29" s="19" t="n">
        <v>0</v>
      </c>
      <c r="CE29" s="19" t="n">
        <v>0</v>
      </c>
      <c r="CF29" s="19" t="n">
        <v>0</v>
      </c>
      <c r="CG29" s="19" t="n">
        <v>0</v>
      </c>
      <c r="CH29" s="19" t="n">
        <v>0</v>
      </c>
      <c r="CI29" s="19" t="n">
        <v>0</v>
      </c>
      <c r="CJ29" s="19" t="n">
        <v>0</v>
      </c>
      <c r="CK29" s="19" t="n">
        <v>0</v>
      </c>
      <c r="CL29" s="19" t="n">
        <v>0</v>
      </c>
      <c r="CM29" s="19" t="n">
        <v>0</v>
      </c>
      <c r="CN29" s="19" t="n">
        <v>0</v>
      </c>
      <c r="CO29" s="19" t="n">
        <v>0</v>
      </c>
      <c r="CP29" s="19" t="n">
        <v>0</v>
      </c>
      <c r="CQ29" s="19" t="n">
        <v>0</v>
      </c>
      <c r="CR29" s="19" t="n">
        <v>0</v>
      </c>
      <c r="CS29" s="19" t="n">
        <v>0</v>
      </c>
      <c r="CT29" s="19" t="n">
        <v>0</v>
      </c>
      <c r="CU29" s="19" t="n">
        <v>0</v>
      </c>
      <c r="CV29" s="19" t="n">
        <v>0</v>
      </c>
      <c r="CW29" s="19" t="n">
        <v>0</v>
      </c>
      <c r="CX29" s="19" t="n">
        <v>0</v>
      </c>
      <c r="CY29" s="19" t="n">
        <v>0</v>
      </c>
      <c r="CZ29" s="19" t="n">
        <v>0</v>
      </c>
      <c r="DA29" s="19" t="n">
        <v>0</v>
      </c>
      <c r="DB29" s="19" t="n">
        <v>0</v>
      </c>
      <c r="DC29" s="19" t="n">
        <v>0</v>
      </c>
      <c r="DD29" s="19" t="n">
        <v>0</v>
      </c>
      <c r="DE29" s="19" t="n">
        <v>0</v>
      </c>
    </row>
    <row r="30">
      <c r="B30" s="17" t="inlineStr">
        <is>
          <t>Deuda complementaria, servicio (del motor)</t>
        </is>
      </c>
      <c r="D30" s="19" t="n">
        <v>-0</v>
      </c>
      <c r="E30" s="19" t="n">
        <v>-0</v>
      </c>
      <c r="F30" s="19" t="n">
        <v>-0</v>
      </c>
      <c r="G30" s="19" t="n">
        <v>-0</v>
      </c>
      <c r="H30" s="19" t="n">
        <v>-0</v>
      </c>
      <c r="I30" s="19" t="n">
        <v>-0</v>
      </c>
      <c r="J30" s="19" t="n">
        <v>-0</v>
      </c>
      <c r="K30" s="19" t="n">
        <v>-0</v>
      </c>
      <c r="L30" s="19" t="n">
        <v>-0</v>
      </c>
      <c r="M30" s="19" t="n">
        <v>-0</v>
      </c>
      <c r="N30" s="19" t="n">
        <v>-0</v>
      </c>
      <c r="O30" s="19" t="n">
        <v>-0</v>
      </c>
      <c r="P30" s="19" t="n">
        <v>-0</v>
      </c>
      <c r="Q30" s="19" t="n">
        <v>-0</v>
      </c>
      <c r="R30" s="19" t="n">
        <v>-0</v>
      </c>
      <c r="S30" s="19" t="n">
        <v>-0</v>
      </c>
      <c r="T30" s="19" t="n">
        <v>-0</v>
      </c>
      <c r="U30" s="19" t="n">
        <v>-0</v>
      </c>
      <c r="V30" s="19" t="n">
        <v>-0</v>
      </c>
      <c r="W30" s="19" t="n">
        <v>-0</v>
      </c>
      <c r="X30" s="19" t="n">
        <v>-0</v>
      </c>
      <c r="Y30" s="19" t="n">
        <v>-0</v>
      </c>
      <c r="Z30" s="19" t="n">
        <v>-0</v>
      </c>
      <c r="AA30" s="19" t="n">
        <v>-0</v>
      </c>
      <c r="AB30" s="19" t="n">
        <v>-0</v>
      </c>
      <c r="AC30" s="19" t="n">
        <v>-0</v>
      </c>
      <c r="AD30" s="19" t="n">
        <v>-0</v>
      </c>
      <c r="AE30" s="19" t="n">
        <v>-0</v>
      </c>
      <c r="AF30" s="19" t="n">
        <v>-0</v>
      </c>
      <c r="AG30" s="19" t="n">
        <v>-0</v>
      </c>
      <c r="AH30" s="19" t="n">
        <v>-0</v>
      </c>
      <c r="AI30" s="19" t="n">
        <v>-0</v>
      </c>
      <c r="AJ30" s="19" t="n">
        <v>-0</v>
      </c>
      <c r="AK30" s="19" t="n">
        <v>-0</v>
      </c>
      <c r="AL30" s="19" t="n">
        <v>-0</v>
      </c>
      <c r="AM30" s="19" t="n">
        <v>-0</v>
      </c>
      <c r="AN30" s="19" t="n">
        <v>-0</v>
      </c>
      <c r="AO30" s="19" t="n">
        <v>-0</v>
      </c>
      <c r="AP30" s="19" t="n">
        <v>-0</v>
      </c>
      <c r="AQ30" s="19" t="n">
        <v>-0</v>
      </c>
      <c r="AR30" s="19" t="n">
        <v>-0</v>
      </c>
      <c r="AS30" s="19" t="n">
        <v>-0</v>
      </c>
      <c r="AT30" s="19" t="n">
        <v>-0</v>
      </c>
      <c r="AU30" s="19" t="n">
        <v>-0</v>
      </c>
      <c r="AV30" s="19" t="n">
        <v>-0</v>
      </c>
      <c r="AW30" s="19" t="n">
        <v>-0</v>
      </c>
      <c r="AX30" s="19" t="n">
        <v>-0</v>
      </c>
      <c r="AY30" s="19" t="n">
        <v>-0</v>
      </c>
      <c r="AZ30" s="19" t="n">
        <v>-0</v>
      </c>
      <c r="BA30" s="19" t="n">
        <v>-0</v>
      </c>
      <c r="BB30" s="19" t="n">
        <v>-0</v>
      </c>
      <c r="BC30" s="19" t="n">
        <v>-0</v>
      </c>
      <c r="BD30" s="19" t="n">
        <v>-0</v>
      </c>
      <c r="BE30" s="19" t="n">
        <v>-0</v>
      </c>
      <c r="BF30" s="19" t="n">
        <v>-0</v>
      </c>
      <c r="BG30" s="19" t="n">
        <v>-0</v>
      </c>
      <c r="BH30" s="19" t="n">
        <v>-0</v>
      </c>
      <c r="BI30" s="19" t="n">
        <v>-0</v>
      </c>
      <c r="BJ30" s="19" t="n">
        <v>-0</v>
      </c>
      <c r="BK30" s="19" t="n">
        <v>-0</v>
      </c>
      <c r="BL30" s="19" t="n">
        <v>-0</v>
      </c>
      <c r="BM30" s="19" t="n">
        <v>-0</v>
      </c>
      <c r="BN30" s="19" t="n">
        <v>-0</v>
      </c>
      <c r="BO30" s="19" t="n">
        <v>-0</v>
      </c>
      <c r="BP30" s="19" t="n">
        <v>-0</v>
      </c>
      <c r="BQ30" s="19" t="n">
        <v>-0</v>
      </c>
      <c r="BR30" s="19" t="n">
        <v>-0</v>
      </c>
      <c r="BS30" s="19" t="n">
        <v>-0</v>
      </c>
      <c r="BT30" s="19" t="n">
        <v>-0</v>
      </c>
      <c r="BU30" s="19" t="n">
        <v>-0</v>
      </c>
      <c r="BV30" s="19" t="n">
        <v>-0</v>
      </c>
      <c r="BW30" s="19" t="n">
        <v>-0</v>
      </c>
      <c r="BX30" s="19" t="n">
        <v>-0</v>
      </c>
      <c r="BY30" s="19" t="n">
        <v>-0</v>
      </c>
      <c r="BZ30" s="19" t="n">
        <v>-0</v>
      </c>
      <c r="CA30" s="19" t="n">
        <v>-0</v>
      </c>
      <c r="CB30" s="19" t="n">
        <v>-0</v>
      </c>
      <c r="CC30" s="19" t="n">
        <v>-0</v>
      </c>
      <c r="CD30" s="19" t="n">
        <v>-0</v>
      </c>
      <c r="CE30" s="19" t="n">
        <v>-0</v>
      </c>
      <c r="CF30" s="19" t="n">
        <v>-0</v>
      </c>
      <c r="CG30" s="19" t="n">
        <v>-0</v>
      </c>
      <c r="CH30" s="19" t="n">
        <v>-0</v>
      </c>
      <c r="CI30" s="19" t="n">
        <v>-0</v>
      </c>
      <c r="CJ30" s="19" t="n">
        <v>-0</v>
      </c>
      <c r="CK30" s="19" t="n">
        <v>-0</v>
      </c>
      <c r="CL30" s="19" t="n">
        <v>-0</v>
      </c>
      <c r="CM30" s="19" t="n">
        <v>-0</v>
      </c>
      <c r="CN30" s="19" t="n">
        <v>-0</v>
      </c>
      <c r="CO30" s="19" t="n">
        <v>-0</v>
      </c>
      <c r="CP30" s="19" t="n">
        <v>-0</v>
      </c>
      <c r="CQ30" s="19" t="n">
        <v>-0</v>
      </c>
      <c r="CR30" s="19" t="n">
        <v>-0</v>
      </c>
      <c r="CS30" s="19" t="n">
        <v>-0</v>
      </c>
      <c r="CT30" s="19" t="n">
        <v>-0</v>
      </c>
      <c r="CU30" s="19" t="n">
        <v>-0</v>
      </c>
      <c r="CV30" s="19" t="n">
        <v>-0</v>
      </c>
      <c r="CW30" s="19" t="n">
        <v>-0</v>
      </c>
      <c r="CX30" s="19" t="n">
        <v>-0</v>
      </c>
      <c r="CY30" s="19" t="n">
        <v>-0</v>
      </c>
      <c r="CZ30" s="19" t="n">
        <v>-0</v>
      </c>
      <c r="DA30" s="19" t="n">
        <v>-0</v>
      </c>
      <c r="DB30" s="19" t="n">
        <v>-0</v>
      </c>
      <c r="DC30" s="19" t="n">
        <v>-0</v>
      </c>
      <c r="DD30" s="19" t="n">
        <v>-0</v>
      </c>
      <c r="DE30" s="19" t="n">
        <v>-0</v>
      </c>
    </row>
    <row r="31">
      <c r="B31" s="21" t="inlineStr">
        <is>
          <t>Flujo de caja financiero</t>
        </is>
      </c>
      <c r="D31" s="19">
        <f>SUM(D9:D11)+D13+SUM(D14:D23)+D26+SUM(D27:D30)</f>
        <v/>
      </c>
      <c r="E31" s="19">
        <f>SUM(E9:E11)+E13+SUM(E14:E23)+E26+SUM(E27:E30)</f>
        <v/>
      </c>
      <c r="F31" s="19">
        <f>SUM(F9:F11)+F13+SUM(F14:F23)+F26+SUM(F27:F30)</f>
        <v/>
      </c>
      <c r="G31" s="19">
        <f>SUM(G9:G11)+G13+SUM(G14:G23)+G26+SUM(G27:G30)</f>
        <v/>
      </c>
      <c r="H31" s="19">
        <f>SUM(H9:H11)+H13+SUM(H14:H23)+H26+SUM(H27:H30)</f>
        <v/>
      </c>
      <c r="I31" s="19">
        <f>SUM(I9:I11)+I13+SUM(I14:I23)+I26+SUM(I27:I30)</f>
        <v/>
      </c>
      <c r="J31" s="19">
        <f>SUM(J9:J11)+J13+SUM(J14:J23)+J26+SUM(J27:J30)</f>
        <v/>
      </c>
      <c r="K31" s="19">
        <f>SUM(K9:K11)+K13+SUM(K14:K23)+K26+SUM(K27:K30)</f>
        <v/>
      </c>
      <c r="L31" s="19">
        <f>SUM(L9:L11)+L13+SUM(L14:L23)+L26+SUM(L27:L30)</f>
        <v/>
      </c>
      <c r="M31" s="19">
        <f>SUM(M9:M11)+M13+SUM(M14:M23)+M26+SUM(M27:M30)</f>
        <v/>
      </c>
      <c r="N31" s="19">
        <f>SUM(N9:N11)+N13+SUM(N14:N23)+N26+SUM(N27:N30)</f>
        <v/>
      </c>
      <c r="O31" s="19">
        <f>SUM(O9:O11)+O13+SUM(O14:O23)+O26+SUM(O27:O30)</f>
        <v/>
      </c>
      <c r="P31" s="19">
        <f>SUM(P9:P11)+P13+SUM(P14:P23)+P26+SUM(P27:P30)</f>
        <v/>
      </c>
      <c r="Q31" s="19">
        <f>SUM(Q9:Q11)+Q13+SUM(Q14:Q23)+Q26+SUM(Q27:Q30)</f>
        <v/>
      </c>
      <c r="R31" s="19">
        <f>SUM(R9:R11)+R13+SUM(R14:R23)+R26+SUM(R27:R30)</f>
        <v/>
      </c>
      <c r="S31" s="19">
        <f>SUM(S9:S11)+S13+SUM(S14:S23)+S26+SUM(S27:S30)</f>
        <v/>
      </c>
      <c r="T31" s="19">
        <f>SUM(T9:T11)+T13+SUM(T14:T23)+T26+SUM(T27:T30)</f>
        <v/>
      </c>
      <c r="U31" s="19">
        <f>SUM(U9:U11)+U13+SUM(U14:U23)+U26+SUM(U27:U30)</f>
        <v/>
      </c>
      <c r="V31" s="19">
        <f>SUM(V9:V11)+V13+SUM(V14:V23)+V26+SUM(V27:V30)</f>
        <v/>
      </c>
      <c r="W31" s="19">
        <f>SUM(W9:W11)+W13+SUM(W14:W23)+W26+SUM(W27:W30)</f>
        <v/>
      </c>
      <c r="X31" s="19">
        <f>SUM(X9:X11)+X13+SUM(X14:X23)+X26+SUM(X27:X30)</f>
        <v/>
      </c>
      <c r="Y31" s="19">
        <f>SUM(Y9:Y11)+Y13+SUM(Y14:Y23)+Y26+SUM(Y27:Y30)</f>
        <v/>
      </c>
      <c r="Z31" s="19">
        <f>SUM(Z9:Z11)+Z13+SUM(Z14:Z23)+Z26+SUM(Z27:Z30)</f>
        <v/>
      </c>
      <c r="AA31" s="19">
        <f>SUM(AA9:AA11)+AA13+SUM(AA14:AA23)+AA26+SUM(AA27:AA30)</f>
        <v/>
      </c>
      <c r="AB31" s="19">
        <f>SUM(AB9:AB11)+AB13+SUM(AB14:AB23)+AB26+SUM(AB27:AB30)</f>
        <v/>
      </c>
      <c r="AC31" s="19">
        <f>SUM(AC9:AC11)+AC13+SUM(AC14:AC23)+AC26+SUM(AC27:AC30)</f>
        <v/>
      </c>
      <c r="AD31" s="19">
        <f>SUM(AD9:AD11)+AD13+SUM(AD14:AD23)+AD26+SUM(AD27:AD30)</f>
        <v/>
      </c>
      <c r="AE31" s="19">
        <f>SUM(AE9:AE11)+AE13+SUM(AE14:AE23)+AE26+SUM(AE27:AE30)</f>
        <v/>
      </c>
      <c r="AF31" s="19">
        <f>SUM(AF9:AF11)+AF13+SUM(AF14:AF23)+AF26+SUM(AF27:AF30)</f>
        <v/>
      </c>
      <c r="AG31" s="19">
        <f>SUM(AG9:AG11)+AG13+SUM(AG14:AG23)+AG26+SUM(AG27:AG30)</f>
        <v/>
      </c>
      <c r="AH31" s="19">
        <f>SUM(AH9:AH11)+AH13+SUM(AH14:AH23)+AH26+SUM(AH27:AH30)</f>
        <v/>
      </c>
      <c r="AI31" s="19">
        <f>SUM(AI9:AI11)+AI13+SUM(AI14:AI23)+AI26+SUM(AI27:AI30)</f>
        <v/>
      </c>
      <c r="AJ31" s="19">
        <f>SUM(AJ9:AJ11)+AJ13+SUM(AJ14:AJ23)+AJ26+SUM(AJ27:AJ30)</f>
        <v/>
      </c>
      <c r="AK31" s="19">
        <f>SUM(AK9:AK11)+AK13+SUM(AK14:AK23)+AK26+SUM(AK27:AK30)</f>
        <v/>
      </c>
      <c r="AL31" s="19">
        <f>SUM(AL9:AL11)+AL13+SUM(AL14:AL23)+AL26+SUM(AL27:AL30)</f>
        <v/>
      </c>
      <c r="AM31" s="19">
        <f>SUM(AM9:AM11)+AM13+SUM(AM14:AM23)+AM26+SUM(AM27:AM30)</f>
        <v/>
      </c>
      <c r="AN31" s="19">
        <f>SUM(AN9:AN11)+AN13+SUM(AN14:AN23)+AN26+SUM(AN27:AN30)</f>
        <v/>
      </c>
      <c r="AO31" s="19">
        <f>SUM(AO9:AO11)+AO13+SUM(AO14:AO23)+AO26+SUM(AO27:AO30)</f>
        <v/>
      </c>
      <c r="AP31" s="19">
        <f>SUM(AP9:AP11)+AP13+SUM(AP14:AP23)+AP26+SUM(AP27:AP30)</f>
        <v/>
      </c>
      <c r="AQ31" s="19">
        <f>SUM(AQ9:AQ11)+AQ13+SUM(AQ14:AQ23)+AQ26+SUM(AQ27:AQ30)</f>
        <v/>
      </c>
      <c r="AR31" s="19">
        <f>SUM(AR9:AR11)+AR13+SUM(AR14:AR23)+AR26+SUM(AR27:AR30)</f>
        <v/>
      </c>
      <c r="AS31" s="19">
        <f>SUM(AS9:AS11)+AS13+SUM(AS14:AS23)+AS26+SUM(AS27:AS30)</f>
        <v/>
      </c>
      <c r="AT31" s="19">
        <f>SUM(AT9:AT11)+AT13+SUM(AT14:AT23)+AT26+SUM(AT27:AT30)</f>
        <v/>
      </c>
      <c r="AU31" s="19">
        <f>SUM(AU9:AU11)+AU13+SUM(AU14:AU23)+AU26+SUM(AU27:AU30)</f>
        <v/>
      </c>
      <c r="AV31" s="19">
        <f>SUM(AV9:AV11)+AV13+SUM(AV14:AV23)+AV26+SUM(AV27:AV30)</f>
        <v/>
      </c>
      <c r="AW31" s="19">
        <f>SUM(AW9:AW11)+AW13+SUM(AW14:AW23)+AW26+SUM(AW27:AW30)</f>
        <v/>
      </c>
      <c r="AX31" s="19">
        <f>SUM(AX9:AX11)+AX13+SUM(AX14:AX23)+AX26+SUM(AX27:AX30)</f>
        <v/>
      </c>
      <c r="AY31" s="19">
        <f>SUM(AY9:AY11)+AY13+SUM(AY14:AY23)+AY26+SUM(AY27:AY30)</f>
        <v/>
      </c>
      <c r="AZ31" s="19">
        <f>SUM(AZ9:AZ11)+AZ13+SUM(AZ14:AZ23)+AZ26+SUM(AZ27:AZ30)</f>
        <v/>
      </c>
      <c r="BA31" s="19">
        <f>SUM(BA9:BA11)+BA13+SUM(BA14:BA23)+BA26+SUM(BA27:BA30)</f>
        <v/>
      </c>
      <c r="BB31" s="19">
        <f>SUM(BB9:BB11)+BB13+SUM(BB14:BB23)+BB26+SUM(BB27:BB30)</f>
        <v/>
      </c>
      <c r="BC31" s="19">
        <f>SUM(BC9:BC11)+BC13+SUM(BC14:BC23)+BC26+SUM(BC27:BC30)</f>
        <v/>
      </c>
      <c r="BD31" s="19">
        <f>SUM(BD9:BD11)+BD13+SUM(BD14:BD23)+BD26+SUM(BD27:BD30)</f>
        <v/>
      </c>
      <c r="BE31" s="19">
        <f>SUM(BE9:BE11)+BE13+SUM(BE14:BE23)+BE26+SUM(BE27:BE30)</f>
        <v/>
      </c>
      <c r="BF31" s="19">
        <f>SUM(BF9:BF11)+BF13+SUM(BF14:BF23)+BF26+SUM(BF27:BF30)</f>
        <v/>
      </c>
      <c r="BG31" s="19">
        <f>SUM(BG9:BG11)+BG13+SUM(BG14:BG23)+BG26+SUM(BG27:BG30)</f>
        <v/>
      </c>
      <c r="BH31" s="19">
        <f>SUM(BH9:BH11)+BH13+SUM(BH14:BH23)+BH26+SUM(BH27:BH30)</f>
        <v/>
      </c>
      <c r="BI31" s="19">
        <f>SUM(BI9:BI11)+BI13+SUM(BI14:BI23)+BI26+SUM(BI27:BI30)</f>
        <v/>
      </c>
      <c r="BJ31" s="19">
        <f>SUM(BJ9:BJ11)+BJ13+SUM(BJ14:BJ23)+BJ26+SUM(BJ27:BJ30)</f>
        <v/>
      </c>
      <c r="BK31" s="19">
        <f>SUM(BK9:BK11)+BK13+SUM(BK14:BK23)+BK26+SUM(BK27:BK30)</f>
        <v/>
      </c>
      <c r="BL31" s="19">
        <f>SUM(BL9:BL11)+BL13+SUM(BL14:BL23)+BL26+SUM(BL27:BL30)</f>
        <v/>
      </c>
      <c r="BM31" s="19">
        <f>SUM(BM9:BM11)+BM13+SUM(BM14:BM23)+BM26+SUM(BM27:BM30)</f>
        <v/>
      </c>
      <c r="BN31" s="19">
        <f>SUM(BN9:BN11)+BN13+SUM(BN14:BN23)+BN26+SUM(BN27:BN30)</f>
        <v/>
      </c>
      <c r="BO31" s="19">
        <f>SUM(BO9:BO11)+BO13+SUM(BO14:BO23)+BO26+SUM(BO27:BO30)</f>
        <v/>
      </c>
      <c r="BP31" s="19">
        <f>SUM(BP9:BP11)+BP13+SUM(BP14:BP23)+BP26+SUM(BP27:BP30)</f>
        <v/>
      </c>
      <c r="BQ31" s="19">
        <f>SUM(BQ9:BQ11)+BQ13+SUM(BQ14:BQ23)+BQ26+SUM(BQ27:BQ30)</f>
        <v/>
      </c>
      <c r="BR31" s="19">
        <f>SUM(BR9:BR11)+BR13+SUM(BR14:BR23)+BR26+SUM(BR27:BR30)</f>
        <v/>
      </c>
      <c r="BS31" s="19">
        <f>SUM(BS9:BS11)+BS13+SUM(BS14:BS23)+BS26+SUM(BS27:BS30)</f>
        <v/>
      </c>
      <c r="BT31" s="19">
        <f>SUM(BT9:BT11)+BT13+SUM(BT14:BT23)+BT26+SUM(BT27:BT30)</f>
        <v/>
      </c>
      <c r="BU31" s="19">
        <f>SUM(BU9:BU11)+BU13+SUM(BU14:BU23)+BU26+SUM(BU27:BU30)</f>
        <v/>
      </c>
      <c r="BV31" s="19">
        <f>SUM(BV9:BV11)+BV13+SUM(BV14:BV23)+BV26+SUM(BV27:BV30)</f>
        <v/>
      </c>
      <c r="BW31" s="19">
        <f>SUM(BW9:BW11)+BW13+SUM(BW14:BW23)+BW26+SUM(BW27:BW30)</f>
        <v/>
      </c>
      <c r="BX31" s="19">
        <f>SUM(BX9:BX11)+BX13+SUM(BX14:BX23)+BX26+SUM(BX27:BX30)</f>
        <v/>
      </c>
      <c r="BY31" s="19">
        <f>SUM(BY9:BY11)+BY13+SUM(BY14:BY23)+BY26+SUM(BY27:BY30)</f>
        <v/>
      </c>
      <c r="BZ31" s="19">
        <f>SUM(BZ9:BZ11)+BZ13+SUM(BZ14:BZ23)+BZ26+SUM(BZ27:BZ30)</f>
        <v/>
      </c>
      <c r="CA31" s="19">
        <f>SUM(CA9:CA11)+CA13+SUM(CA14:CA23)+CA26+SUM(CA27:CA30)</f>
        <v/>
      </c>
      <c r="CB31" s="19">
        <f>SUM(CB9:CB11)+CB13+SUM(CB14:CB23)+CB26+SUM(CB27:CB30)</f>
        <v/>
      </c>
      <c r="CC31" s="19">
        <f>SUM(CC9:CC11)+CC13+SUM(CC14:CC23)+CC26+SUM(CC27:CC30)</f>
        <v/>
      </c>
      <c r="CD31" s="19">
        <f>SUM(CD9:CD11)+CD13+SUM(CD14:CD23)+CD26+SUM(CD27:CD30)</f>
        <v/>
      </c>
      <c r="CE31" s="19">
        <f>SUM(CE9:CE11)+CE13+SUM(CE14:CE23)+CE26+SUM(CE27:CE30)</f>
        <v/>
      </c>
      <c r="CF31" s="19">
        <f>SUM(CF9:CF11)+CF13+SUM(CF14:CF23)+CF26+SUM(CF27:CF30)</f>
        <v/>
      </c>
      <c r="CG31" s="19">
        <f>SUM(CG9:CG11)+CG13+SUM(CG14:CG23)+CG26+SUM(CG27:CG30)</f>
        <v/>
      </c>
      <c r="CH31" s="19">
        <f>SUM(CH9:CH11)+CH13+SUM(CH14:CH23)+CH26+SUM(CH27:CH30)</f>
        <v/>
      </c>
      <c r="CI31" s="19">
        <f>SUM(CI9:CI11)+CI13+SUM(CI14:CI23)+CI26+SUM(CI27:CI30)</f>
        <v/>
      </c>
      <c r="CJ31" s="19">
        <f>SUM(CJ9:CJ11)+CJ13+SUM(CJ14:CJ23)+CJ26+SUM(CJ27:CJ30)</f>
        <v/>
      </c>
      <c r="CK31" s="19">
        <f>SUM(CK9:CK11)+CK13+SUM(CK14:CK23)+CK26+SUM(CK27:CK30)</f>
        <v/>
      </c>
      <c r="CL31" s="19">
        <f>SUM(CL9:CL11)+CL13+SUM(CL14:CL23)+CL26+SUM(CL27:CL30)</f>
        <v/>
      </c>
      <c r="CM31" s="19">
        <f>SUM(CM9:CM11)+CM13+SUM(CM14:CM23)+CM26+SUM(CM27:CM30)</f>
        <v/>
      </c>
      <c r="CN31" s="19">
        <f>SUM(CN9:CN11)+CN13+SUM(CN14:CN23)+CN26+SUM(CN27:CN30)</f>
        <v/>
      </c>
      <c r="CO31" s="19">
        <f>SUM(CO9:CO11)+CO13+SUM(CO14:CO23)+CO26+SUM(CO27:CO30)</f>
        <v/>
      </c>
      <c r="CP31" s="19">
        <f>SUM(CP9:CP11)+CP13+SUM(CP14:CP23)+CP26+SUM(CP27:CP30)</f>
        <v/>
      </c>
      <c r="CQ31" s="19">
        <f>SUM(CQ9:CQ11)+CQ13+SUM(CQ14:CQ23)+CQ26+SUM(CQ27:CQ30)</f>
        <v/>
      </c>
      <c r="CR31" s="19">
        <f>SUM(CR9:CR11)+CR13+SUM(CR14:CR23)+CR26+SUM(CR27:CR30)</f>
        <v/>
      </c>
      <c r="CS31" s="19">
        <f>SUM(CS9:CS11)+CS13+SUM(CS14:CS23)+CS26+SUM(CS27:CS30)</f>
        <v/>
      </c>
      <c r="CT31" s="19">
        <f>SUM(CT9:CT11)+CT13+SUM(CT14:CT23)+CT26+SUM(CT27:CT30)</f>
        <v/>
      </c>
      <c r="CU31" s="19">
        <f>SUM(CU9:CU11)+CU13+SUM(CU14:CU23)+CU26+SUM(CU27:CU30)</f>
        <v/>
      </c>
      <c r="CV31" s="19">
        <f>SUM(CV9:CV11)+CV13+SUM(CV14:CV23)+CV26+SUM(CV27:CV30)</f>
        <v/>
      </c>
      <c r="CW31" s="19">
        <f>SUM(CW9:CW11)+CW13+SUM(CW14:CW23)+CW26+SUM(CW27:CW30)</f>
        <v/>
      </c>
      <c r="CX31" s="19">
        <f>SUM(CX9:CX11)+CX13+SUM(CX14:CX23)+CX26+SUM(CX27:CX30)</f>
        <v/>
      </c>
      <c r="CY31" s="19">
        <f>SUM(CY9:CY11)+CY13+SUM(CY14:CY23)+CY26+SUM(CY27:CY30)</f>
        <v/>
      </c>
      <c r="CZ31" s="19">
        <f>SUM(CZ9:CZ11)+CZ13+SUM(CZ14:CZ23)+CZ26+SUM(CZ27:CZ30)</f>
        <v/>
      </c>
      <c r="DA31" s="19">
        <f>SUM(DA9:DA11)+DA13+SUM(DA14:DA23)+DA26+SUM(DA27:DA30)</f>
        <v/>
      </c>
      <c r="DB31" s="19">
        <f>SUM(DB9:DB11)+DB13+SUM(DB14:DB23)+DB26+SUM(DB27:DB30)</f>
        <v/>
      </c>
      <c r="DC31" s="19">
        <f>SUM(DC9:DC11)+DC13+SUM(DC14:DC23)+DC26+SUM(DC27:DC30)</f>
        <v/>
      </c>
      <c r="DD31" s="19">
        <f>SUM(DD9:DD11)+DD13+SUM(DD14:DD23)+DD26+SUM(DD27:DD30)</f>
        <v/>
      </c>
      <c r="DE31" s="19">
        <f>SUM(DE9:DE11)+DE13+SUM(DE14:DE23)+DE26+SUM(DE27:DE30)</f>
        <v/>
      </c>
    </row>
    <row r="32">
      <c r="B32" s="17" t="inlineStr">
        <is>
          <t>Factor de actualizacion</t>
        </is>
      </c>
      <c r="D32" s="28">
        <f>IF(D8=0,0,1/(1+(1+p_ke)^(1/12)-1)^SUM($D8:D8))</f>
        <v/>
      </c>
      <c r="E32" s="28">
        <f>IF(E8=0,0,1/(1+(1+p_ke)^(1/12)-1)^SUM($D8:E8))</f>
        <v/>
      </c>
      <c r="F32" s="28">
        <f>IF(F8=0,0,1/(1+(1+p_ke)^(1/12)-1)^SUM($D8:F8))</f>
        <v/>
      </c>
      <c r="G32" s="28">
        <f>IF(G8=0,0,1/(1+(1+p_ke)^(1/12)-1)^SUM($D8:G8))</f>
        <v/>
      </c>
      <c r="H32" s="28">
        <f>IF(H8=0,0,1/(1+(1+p_ke)^(1/12)-1)^SUM($D8:H8))</f>
        <v/>
      </c>
      <c r="I32" s="28">
        <f>IF(I8=0,0,1/(1+(1+p_ke)^(1/12)-1)^SUM($D8:I8))</f>
        <v/>
      </c>
      <c r="J32" s="28">
        <f>IF(J8=0,0,1/(1+(1+p_ke)^(1/12)-1)^SUM($D8:J8))</f>
        <v/>
      </c>
      <c r="K32" s="28">
        <f>IF(K8=0,0,1/(1+(1+p_ke)^(1/12)-1)^SUM($D8:K8))</f>
        <v/>
      </c>
      <c r="L32" s="28">
        <f>IF(L8=0,0,1/(1+(1+p_ke)^(1/12)-1)^SUM($D8:L8))</f>
        <v/>
      </c>
      <c r="M32" s="28">
        <f>IF(M8=0,0,1/(1+(1+p_ke)^(1/12)-1)^SUM($D8:M8))</f>
        <v/>
      </c>
      <c r="N32" s="28">
        <f>IF(N8=0,0,1/(1+(1+p_ke)^(1/12)-1)^SUM($D8:N8))</f>
        <v/>
      </c>
      <c r="O32" s="28">
        <f>IF(O8=0,0,1/(1+(1+p_ke)^(1/12)-1)^SUM($D8:O8))</f>
        <v/>
      </c>
      <c r="P32" s="28">
        <f>IF(P8=0,0,1/(1+(1+p_ke)^(1/12)-1)^SUM($D8:P8))</f>
        <v/>
      </c>
      <c r="Q32" s="28">
        <f>IF(Q8=0,0,1/(1+(1+p_ke)^(1/12)-1)^SUM($D8:Q8))</f>
        <v/>
      </c>
      <c r="R32" s="28">
        <f>IF(R8=0,0,1/(1+(1+p_ke)^(1/12)-1)^SUM($D8:R8))</f>
        <v/>
      </c>
      <c r="S32" s="28">
        <f>IF(S8=0,0,1/(1+(1+p_ke)^(1/12)-1)^SUM($D8:S8))</f>
        <v/>
      </c>
      <c r="T32" s="28">
        <f>IF(T8=0,0,1/(1+(1+p_ke)^(1/12)-1)^SUM($D8:T8))</f>
        <v/>
      </c>
      <c r="U32" s="28">
        <f>IF(U8=0,0,1/(1+(1+p_ke)^(1/12)-1)^SUM($D8:U8))</f>
        <v/>
      </c>
      <c r="V32" s="28">
        <f>IF(V8=0,0,1/(1+(1+p_ke)^(1/12)-1)^SUM($D8:V8))</f>
        <v/>
      </c>
      <c r="W32" s="28">
        <f>IF(W8=0,0,1/(1+(1+p_ke)^(1/12)-1)^SUM($D8:W8))</f>
        <v/>
      </c>
      <c r="X32" s="28">
        <f>IF(X8=0,0,1/(1+(1+p_ke)^(1/12)-1)^SUM($D8:X8))</f>
        <v/>
      </c>
      <c r="Y32" s="28">
        <f>IF(Y8=0,0,1/(1+(1+p_ke)^(1/12)-1)^SUM($D8:Y8))</f>
        <v/>
      </c>
      <c r="Z32" s="28">
        <f>IF(Z8=0,0,1/(1+(1+p_ke)^(1/12)-1)^SUM($D8:Z8))</f>
        <v/>
      </c>
      <c r="AA32" s="28">
        <f>IF(AA8=0,0,1/(1+(1+p_ke)^(1/12)-1)^SUM($D8:AA8))</f>
        <v/>
      </c>
      <c r="AB32" s="28">
        <f>IF(AB8=0,0,1/(1+(1+p_ke)^(1/12)-1)^SUM($D8:AB8))</f>
        <v/>
      </c>
      <c r="AC32" s="28">
        <f>IF(AC8=0,0,1/(1+(1+p_ke)^(1/12)-1)^SUM($D8:AC8))</f>
        <v/>
      </c>
      <c r="AD32" s="28">
        <f>IF(AD8=0,0,1/(1+(1+p_ke)^(1/12)-1)^SUM($D8:AD8))</f>
        <v/>
      </c>
      <c r="AE32" s="28">
        <f>IF(AE8=0,0,1/(1+(1+p_ke)^(1/12)-1)^SUM($D8:AE8))</f>
        <v/>
      </c>
      <c r="AF32" s="28">
        <f>IF(AF8=0,0,1/(1+(1+p_ke)^(1/12)-1)^SUM($D8:AF8))</f>
        <v/>
      </c>
      <c r="AG32" s="28">
        <f>IF(AG8=0,0,1/(1+(1+p_ke)^(1/12)-1)^SUM($D8:AG8))</f>
        <v/>
      </c>
      <c r="AH32" s="28">
        <f>IF(AH8=0,0,1/(1+(1+p_ke)^(1/12)-1)^SUM($D8:AH8))</f>
        <v/>
      </c>
      <c r="AI32" s="28">
        <f>IF(AI8=0,0,1/(1+(1+p_ke)^(1/12)-1)^SUM($D8:AI8))</f>
        <v/>
      </c>
      <c r="AJ32" s="28">
        <f>IF(AJ8=0,0,1/(1+(1+p_ke)^(1/12)-1)^SUM($D8:AJ8))</f>
        <v/>
      </c>
      <c r="AK32" s="28">
        <f>IF(AK8=0,0,1/(1+(1+p_ke)^(1/12)-1)^SUM($D8:AK8))</f>
        <v/>
      </c>
      <c r="AL32" s="28">
        <f>IF(AL8=0,0,1/(1+(1+p_ke)^(1/12)-1)^SUM($D8:AL8))</f>
        <v/>
      </c>
      <c r="AM32" s="28">
        <f>IF(AM8=0,0,1/(1+(1+p_ke)^(1/12)-1)^SUM($D8:AM8))</f>
        <v/>
      </c>
      <c r="AN32" s="28">
        <f>IF(AN8=0,0,1/(1+(1+p_ke)^(1/12)-1)^SUM($D8:AN8))</f>
        <v/>
      </c>
      <c r="AO32" s="28">
        <f>IF(AO8=0,0,1/(1+(1+p_ke)^(1/12)-1)^SUM($D8:AO8))</f>
        <v/>
      </c>
      <c r="AP32" s="28">
        <f>IF(AP8=0,0,1/(1+(1+p_ke)^(1/12)-1)^SUM($D8:AP8))</f>
        <v/>
      </c>
      <c r="AQ32" s="28">
        <f>IF(AQ8=0,0,1/(1+(1+p_ke)^(1/12)-1)^SUM($D8:AQ8))</f>
        <v/>
      </c>
      <c r="AR32" s="28">
        <f>IF(AR8=0,0,1/(1+(1+p_ke)^(1/12)-1)^SUM($D8:AR8))</f>
        <v/>
      </c>
      <c r="AS32" s="28">
        <f>IF(AS8=0,0,1/(1+(1+p_ke)^(1/12)-1)^SUM($D8:AS8))</f>
        <v/>
      </c>
      <c r="AT32" s="28">
        <f>IF(AT8=0,0,1/(1+(1+p_ke)^(1/12)-1)^SUM($D8:AT8))</f>
        <v/>
      </c>
      <c r="AU32" s="28">
        <f>IF(AU8=0,0,1/(1+(1+p_ke)^(1/12)-1)^SUM($D8:AU8))</f>
        <v/>
      </c>
      <c r="AV32" s="28">
        <f>IF(AV8=0,0,1/(1+(1+p_ke)^(1/12)-1)^SUM($D8:AV8))</f>
        <v/>
      </c>
      <c r="AW32" s="28">
        <f>IF(AW8=0,0,1/(1+(1+p_ke)^(1/12)-1)^SUM($D8:AW8))</f>
        <v/>
      </c>
      <c r="AX32" s="28">
        <f>IF(AX8=0,0,1/(1+(1+p_ke)^(1/12)-1)^SUM($D8:AX8))</f>
        <v/>
      </c>
      <c r="AY32" s="28">
        <f>IF(AY8=0,0,1/(1+(1+p_ke)^(1/12)-1)^SUM($D8:AY8))</f>
        <v/>
      </c>
      <c r="AZ32" s="28">
        <f>IF(AZ8=0,0,1/(1+(1+p_ke)^(1/12)-1)^SUM($D8:AZ8))</f>
        <v/>
      </c>
      <c r="BA32" s="28">
        <f>IF(BA8=0,0,1/(1+(1+p_ke)^(1/12)-1)^SUM($D8:BA8))</f>
        <v/>
      </c>
      <c r="BB32" s="28">
        <f>IF(BB8=0,0,1/(1+(1+p_ke)^(1/12)-1)^SUM($D8:BB8))</f>
        <v/>
      </c>
      <c r="BC32" s="28">
        <f>IF(BC8=0,0,1/(1+(1+p_ke)^(1/12)-1)^SUM($D8:BC8))</f>
        <v/>
      </c>
      <c r="BD32" s="28">
        <f>IF(BD8=0,0,1/(1+(1+p_ke)^(1/12)-1)^SUM($D8:BD8))</f>
        <v/>
      </c>
      <c r="BE32" s="28">
        <f>IF(BE8=0,0,1/(1+(1+p_ke)^(1/12)-1)^SUM($D8:BE8))</f>
        <v/>
      </c>
      <c r="BF32" s="28">
        <f>IF(BF8=0,0,1/(1+(1+p_ke)^(1/12)-1)^SUM($D8:BF8))</f>
        <v/>
      </c>
      <c r="BG32" s="28">
        <f>IF(BG8=0,0,1/(1+(1+p_ke)^(1/12)-1)^SUM($D8:BG8))</f>
        <v/>
      </c>
      <c r="BH32" s="28">
        <f>IF(BH8=0,0,1/(1+(1+p_ke)^(1/12)-1)^SUM($D8:BH8))</f>
        <v/>
      </c>
      <c r="BI32" s="28">
        <f>IF(BI8=0,0,1/(1+(1+p_ke)^(1/12)-1)^SUM($D8:BI8))</f>
        <v/>
      </c>
      <c r="BJ32" s="28">
        <f>IF(BJ8=0,0,1/(1+(1+p_ke)^(1/12)-1)^SUM($D8:BJ8))</f>
        <v/>
      </c>
      <c r="BK32" s="28">
        <f>IF(BK8=0,0,1/(1+(1+p_ke)^(1/12)-1)^SUM($D8:BK8))</f>
        <v/>
      </c>
      <c r="BL32" s="28">
        <f>IF(BL8=0,0,1/(1+(1+p_ke)^(1/12)-1)^SUM($D8:BL8))</f>
        <v/>
      </c>
      <c r="BM32" s="28">
        <f>IF(BM8=0,0,1/(1+(1+p_ke)^(1/12)-1)^SUM($D8:BM8))</f>
        <v/>
      </c>
      <c r="BN32" s="28">
        <f>IF(BN8=0,0,1/(1+(1+p_ke)^(1/12)-1)^SUM($D8:BN8))</f>
        <v/>
      </c>
      <c r="BO32" s="28">
        <f>IF(BO8=0,0,1/(1+(1+p_ke)^(1/12)-1)^SUM($D8:BO8))</f>
        <v/>
      </c>
      <c r="BP32" s="28">
        <f>IF(BP8=0,0,1/(1+(1+p_ke)^(1/12)-1)^SUM($D8:BP8))</f>
        <v/>
      </c>
      <c r="BQ32" s="28">
        <f>IF(BQ8=0,0,1/(1+(1+p_ke)^(1/12)-1)^SUM($D8:BQ8))</f>
        <v/>
      </c>
      <c r="BR32" s="28">
        <f>IF(BR8=0,0,1/(1+(1+p_ke)^(1/12)-1)^SUM($D8:BR8))</f>
        <v/>
      </c>
      <c r="BS32" s="28">
        <f>IF(BS8=0,0,1/(1+(1+p_ke)^(1/12)-1)^SUM($D8:BS8))</f>
        <v/>
      </c>
      <c r="BT32" s="28">
        <f>IF(BT8=0,0,1/(1+(1+p_ke)^(1/12)-1)^SUM($D8:BT8))</f>
        <v/>
      </c>
      <c r="BU32" s="28">
        <f>IF(BU8=0,0,1/(1+(1+p_ke)^(1/12)-1)^SUM($D8:BU8))</f>
        <v/>
      </c>
      <c r="BV32" s="28">
        <f>IF(BV8=0,0,1/(1+(1+p_ke)^(1/12)-1)^SUM($D8:BV8))</f>
        <v/>
      </c>
      <c r="BW32" s="28">
        <f>IF(BW8=0,0,1/(1+(1+p_ke)^(1/12)-1)^SUM($D8:BW8))</f>
        <v/>
      </c>
      <c r="BX32" s="28">
        <f>IF(BX8=0,0,1/(1+(1+p_ke)^(1/12)-1)^SUM($D8:BX8))</f>
        <v/>
      </c>
      <c r="BY32" s="28">
        <f>IF(BY8=0,0,1/(1+(1+p_ke)^(1/12)-1)^SUM($D8:BY8))</f>
        <v/>
      </c>
      <c r="BZ32" s="28">
        <f>IF(BZ8=0,0,1/(1+(1+p_ke)^(1/12)-1)^SUM($D8:BZ8))</f>
        <v/>
      </c>
      <c r="CA32" s="28">
        <f>IF(CA8=0,0,1/(1+(1+p_ke)^(1/12)-1)^SUM($D8:CA8))</f>
        <v/>
      </c>
      <c r="CB32" s="28">
        <f>IF(CB8=0,0,1/(1+(1+p_ke)^(1/12)-1)^SUM($D8:CB8))</f>
        <v/>
      </c>
      <c r="CC32" s="28">
        <f>IF(CC8=0,0,1/(1+(1+p_ke)^(1/12)-1)^SUM($D8:CC8))</f>
        <v/>
      </c>
      <c r="CD32" s="28">
        <f>IF(CD8=0,0,1/(1+(1+p_ke)^(1/12)-1)^SUM($D8:CD8))</f>
        <v/>
      </c>
      <c r="CE32" s="28">
        <f>IF(CE8=0,0,1/(1+(1+p_ke)^(1/12)-1)^SUM($D8:CE8))</f>
        <v/>
      </c>
      <c r="CF32" s="28">
        <f>IF(CF8=0,0,1/(1+(1+p_ke)^(1/12)-1)^SUM($D8:CF8))</f>
        <v/>
      </c>
      <c r="CG32" s="28">
        <f>IF(CG8=0,0,1/(1+(1+p_ke)^(1/12)-1)^SUM($D8:CG8))</f>
        <v/>
      </c>
      <c r="CH32" s="28">
        <f>IF(CH8=0,0,1/(1+(1+p_ke)^(1/12)-1)^SUM($D8:CH8))</f>
        <v/>
      </c>
      <c r="CI32" s="28">
        <f>IF(CI8=0,0,1/(1+(1+p_ke)^(1/12)-1)^SUM($D8:CI8))</f>
        <v/>
      </c>
      <c r="CJ32" s="28">
        <f>IF(CJ8=0,0,1/(1+(1+p_ke)^(1/12)-1)^SUM($D8:CJ8))</f>
        <v/>
      </c>
      <c r="CK32" s="28">
        <f>IF(CK8=0,0,1/(1+(1+p_ke)^(1/12)-1)^SUM($D8:CK8))</f>
        <v/>
      </c>
      <c r="CL32" s="28">
        <f>IF(CL8=0,0,1/(1+(1+p_ke)^(1/12)-1)^SUM($D8:CL8))</f>
        <v/>
      </c>
      <c r="CM32" s="28">
        <f>IF(CM8=0,0,1/(1+(1+p_ke)^(1/12)-1)^SUM($D8:CM8))</f>
        <v/>
      </c>
      <c r="CN32" s="28">
        <f>IF(CN8=0,0,1/(1+(1+p_ke)^(1/12)-1)^SUM($D8:CN8))</f>
        <v/>
      </c>
      <c r="CO32" s="28">
        <f>IF(CO8=0,0,1/(1+(1+p_ke)^(1/12)-1)^SUM($D8:CO8))</f>
        <v/>
      </c>
      <c r="CP32" s="28">
        <f>IF(CP8=0,0,1/(1+(1+p_ke)^(1/12)-1)^SUM($D8:CP8))</f>
        <v/>
      </c>
      <c r="CQ32" s="28">
        <f>IF(CQ8=0,0,1/(1+(1+p_ke)^(1/12)-1)^SUM($D8:CQ8))</f>
        <v/>
      </c>
      <c r="CR32" s="28">
        <f>IF(CR8=0,0,1/(1+(1+p_ke)^(1/12)-1)^SUM($D8:CR8))</f>
        <v/>
      </c>
      <c r="CS32" s="28">
        <f>IF(CS8=0,0,1/(1+(1+p_ke)^(1/12)-1)^SUM($D8:CS8))</f>
        <v/>
      </c>
      <c r="CT32" s="28">
        <f>IF(CT8=0,0,1/(1+(1+p_ke)^(1/12)-1)^SUM($D8:CT8))</f>
        <v/>
      </c>
      <c r="CU32" s="28">
        <f>IF(CU8=0,0,1/(1+(1+p_ke)^(1/12)-1)^SUM($D8:CU8))</f>
        <v/>
      </c>
      <c r="CV32" s="28">
        <f>IF(CV8=0,0,1/(1+(1+p_ke)^(1/12)-1)^SUM($D8:CV8))</f>
        <v/>
      </c>
      <c r="CW32" s="28">
        <f>IF(CW8=0,0,1/(1+(1+p_ke)^(1/12)-1)^SUM($D8:CW8))</f>
        <v/>
      </c>
      <c r="CX32" s="28">
        <f>IF(CX8=0,0,1/(1+(1+p_ke)^(1/12)-1)^SUM($D8:CX8))</f>
        <v/>
      </c>
      <c r="CY32" s="28">
        <f>IF(CY8=0,0,1/(1+(1+p_ke)^(1/12)-1)^SUM($D8:CY8))</f>
        <v/>
      </c>
      <c r="CZ32" s="28">
        <f>IF(CZ8=0,0,1/(1+(1+p_ke)^(1/12)-1)^SUM($D8:CZ8))</f>
        <v/>
      </c>
      <c r="DA32" s="28">
        <f>IF(DA8=0,0,1/(1+(1+p_ke)^(1/12)-1)^SUM($D8:DA8))</f>
        <v/>
      </c>
      <c r="DB32" s="28">
        <f>IF(DB8=0,0,1/(1+(1+p_ke)^(1/12)-1)^SUM($D8:DB8))</f>
        <v/>
      </c>
      <c r="DC32" s="28">
        <f>IF(DC8=0,0,1/(1+(1+p_ke)^(1/12)-1)^SUM($D8:DC8))</f>
        <v/>
      </c>
      <c r="DD32" s="28">
        <f>IF(DD8=0,0,1/(1+(1+p_ke)^(1/12)-1)^SUM($D8:DD8))</f>
        <v/>
      </c>
      <c r="DE32" s="28">
        <f>IF(DE8=0,0,1/(1+(1+p_ke)^(1/12)-1)^SUM($D8:DE8))</f>
        <v/>
      </c>
    </row>
    <row r="34">
      <c r="B34" s="21" t="inlineStr">
        <is>
          <t>VAN financiero</t>
        </is>
      </c>
      <c r="D34" s="29">
        <f>SUMPRODUCT(D31:DE31,D32:DE32)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2026-09-18T04:49:35Z</dcterms:created>
  <dcterms:modified xsi:type="dcterms:W3CDTF">2026-09-18T04:49:35Z</dcterms:modified>
</cp:coreProperties>
</file>