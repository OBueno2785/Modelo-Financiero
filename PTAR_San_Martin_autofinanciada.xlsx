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nputs" sheetId="2" state="visible" r:id="rId2"/>
    <sheet name="Hitos" sheetId="3" state="visible" r:id="rId3"/>
    <sheet name="Activo intangible" sheetId="4" state="visible" r:id="rId4"/>
    <sheet name="Flujo" sheetId="5" state="visible" r:id="rId5"/>
    <sheet name="Reparto de la tarifa" sheetId="6" state="visible" r:id="rId6"/>
  </sheets>
  <definedNames>
    <definedName name="p_ke">Inputs!$D$6</definedName>
    <definedName name="p_kd">Inputs!$D$7</definedName>
    <definedName name="p_wacc">Inputs!$D$8</definedName>
    <definedName name="p_tir">Inputs!$D$9</definedName>
    <definedName name="p_rcsd">Inputs!$D$10</definedName>
    <definedName name="p_crsd">Inputs!$D$11</definedName>
    <definedName name="p_ir">Inputs!$D$12</definedName>
    <definedName name="p_pt">Inputs!$D$13</definedName>
    <definedName name="p_arr">Inputs!$D$14</definedName>
    <definedName name="p_ipm">Inputs!$D$15</definedName>
    <definedName name="p_fx">Inputs!$D$16</definedName>
    <definedName name="p_ref">Inputs!$D$17</definedName>
    <definedName name="p_precio">Inputs!$D$18</definedName>
    <definedName name="p_margen_om">Inputs!$D$19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%"/>
    <numFmt numFmtId="165" formatCode="0.0000"/>
    <numFmt numFmtId="166" formatCode="#,##0.000000"/>
    <numFmt numFmtId="167" formatCode="0.0000%"/>
  </numFmts>
  <fonts count="7">
    <font>
      <name val="Calibri"/>
      <family val="2"/>
      <color theme="1"/>
      <sz val="11"/>
      <scheme val="minor"/>
    </font>
    <font>
      <b val="1"/>
      <color rgb="001A4B4B"/>
      <sz val="13"/>
    </font>
    <font>
      <i val="1"/>
      <color rgb="006B7B7B"/>
      <sz val="9"/>
    </font>
    <font>
      <sz val="9"/>
    </font>
    <font>
      <b val="1"/>
      <sz val="9"/>
    </font>
    <font>
      <i val="1"/>
      <color rgb="006B7B7B"/>
      <sz val="8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FFF3D6"/>
      </patternFill>
    </fill>
    <fill>
      <patternFill patternType="solid">
        <fgColor rgb="001A4B4B"/>
      </patternFill>
    </fill>
    <fill>
      <patternFill patternType="solid">
        <fgColor rgb="00F2F7F7"/>
      </patternFill>
    </fill>
  </fills>
  <borders count="2">
    <border>
      <left/>
      <right/>
      <top/>
      <bottom/>
      <diagonal/>
    </border>
    <border>
      <bottom style="thin">
        <color rgb="00D5DEDE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166" fontId="4" fillId="4" borderId="1" pivotButton="0" quotePrefix="0" xfId="0"/>
    <xf numFmtId="4" fontId="4" fillId="4" borderId="1" pivotButton="0" quotePrefix="0" xfId="0"/>
    <xf numFmtId="0" fontId="3" fillId="0" borderId="1" pivotButton="0" quotePrefix="0" xfId="0"/>
    <xf numFmtId="164" fontId="4" fillId="4" borderId="1" pivotButton="0" quotePrefix="0" xfId="0"/>
    <xf numFmtId="164" fontId="4" fillId="2" borderId="1" pivotButton="0" quotePrefix="0" xfId="0"/>
    <xf numFmtId="0" fontId="5" fillId="0" borderId="1" pivotButton="0" quotePrefix="0" xfId="0"/>
    <xf numFmtId="2" fontId="4" fillId="2" borderId="1" pivotButton="0" quotePrefix="0" xfId="0"/>
    <xf numFmtId="10" fontId="4" fillId="2" borderId="1" pivotButton="0" quotePrefix="0" xfId="0"/>
    <xf numFmtId="165" fontId="4" fillId="2" borderId="1" pivotButton="0" quotePrefix="0" xfId="0"/>
    <xf numFmtId="4" fontId="4" fillId="2" borderId="1" pivotButton="0" quotePrefix="0" xfId="0"/>
    <xf numFmtId="166" fontId="4" fillId="2" borderId="1" pivotButton="0" quotePrefix="0" xfId="0"/>
    <xf numFmtId="0" fontId="6" fillId="3" borderId="0" applyAlignment="1" pivotButton="0" quotePrefix="0" xfId="0">
      <alignment horizontal="center"/>
    </xf>
    <xf numFmtId="167" fontId="0" fillId="2" borderId="1" pivotButton="0" quotePrefix="0" xfId="0"/>
    <xf numFmtId="4" fontId="0" fillId="0" borderId="1" pivotButton="0" quotePrefix="0" xfId="0"/>
    <xf numFmtId="0" fontId="4" fillId="0" borderId="0" pivotButton="0" quotePrefix="0" xfId="0"/>
    <xf numFmtId="167" fontId="0" fillId="0" borderId="0" pivotButton="0" quotePrefix="0" xfId="0"/>
    <xf numFmtId="4" fontId="0" fillId="0" borderId="0" pivotButton="0" quotePrefix="0" xfId="0"/>
    <xf numFmtId="1" fontId="4" fillId="2" borderId="1" pivotButton="0" quotePrefix="0" xfId="0"/>
    <xf numFmtId="0" fontId="6" fillId="0" borderId="0" pivotButton="0" quotePrefix="0" xfId="0"/>
    <xf numFmtId="0" fontId="3" fillId="0" borderId="0" pivotButton="0" quotePrefix="0" xfId="0"/>
    <xf numFmtId="2" fontId="0" fillId="0" borderId="0" pivotButton="0" quotePrefix="0" xfId="0"/>
    <xf numFmtId="4" fontId="4" fillId="0" borderId="0" pivotButton="0" quotePrefix="0" xfId="0"/>
    <xf numFmtId="4" fontId="4" fillId="4" borderId="0" pivotButton="0" quotePrefix="0" xfId="0"/>
    <xf numFmtId="0" fontId="0" fillId="3" borderId="0" pivotButton="0" quotePrefix="0" xfId="0"/>
    <xf numFmtId="4" fontId="3" fillId="0" borderId="0" pivotButton="0" quotePrefix="0" xfId="0"/>
    <xf numFmtId="4" fontId="0" fillId="2" borderId="0" pivotButton="0" quotePrefix="0" xfId="0"/>
    <xf numFmtId="4" fontId="4" fillId="2" borderId="0" pivotButton="0" quotePrefix="0" xfId="0"/>
    <xf numFmtId="10" fontId="4" fillId="2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5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4" max="4"/>
    <col width="40" customWidth="1" min="5" max="5"/>
  </cols>
  <sheetData>
    <row r="2">
      <c r="B2" s="1" t="inlineStr">
        <is>
          <t>Resumen del modelo, APP autofinanciada por hitos</t>
        </is>
      </c>
    </row>
    <row r="3">
      <c r="B3" s="2" t="inlineStr">
        <is>
          <t>No hay PPDI ni PPDMO: el proyecto se paga con la tarifa al usuario.</t>
        </is>
      </c>
    </row>
    <row r="6">
      <c r="B6" s="3" t="inlineStr">
        <is>
          <t>Tarifa al usuario, S/ por kg DBO5</t>
        </is>
      </c>
      <c r="C6" s="4" t="n"/>
      <c r="D6" s="5">
        <f>p_precio</f>
        <v/>
      </c>
      <c r="E6" s="4" t="n"/>
    </row>
    <row r="7">
      <c r="B7" s="3" t="inlineStr">
        <is>
          <t>Referencia mensual de ingreso</t>
        </is>
      </c>
      <c r="C7" s="4" t="n"/>
      <c r="D7" s="6">
        <f>p_ref</f>
        <v/>
      </c>
      <c r="E7" s="4" t="n"/>
    </row>
    <row r="8">
      <c r="B8" s="3" t="inlineStr">
        <is>
          <t>Ingreso tarifario, primer ano de operacion</t>
        </is>
      </c>
      <c r="C8" s="4" t="n"/>
      <c r="D8" s="6" t="n">
        <v>123415514.0624658</v>
      </c>
      <c r="E8" s="4" t="n"/>
    </row>
    <row r="9">
      <c r="B9" s="3" t="inlineStr">
        <is>
          <t>Activo intangible al termino de obra</t>
        </is>
      </c>
      <c r="C9" s="4" t="n"/>
      <c r="D9" s="6">
        <f>'Activo intangible'!$D$8</f>
        <v/>
      </c>
      <c r="E9" s="4" t="n"/>
    </row>
    <row r="10">
      <c r="B10" s="3" t="inlineStr">
        <is>
          <t>Amortizacion lineal mensual</t>
        </is>
      </c>
      <c r="C10" s="4" t="n"/>
      <c r="D10" s="6">
        <f>'Activo intangible'!$D$10</f>
        <v/>
      </c>
      <c r="E10" s="4" t="n"/>
    </row>
    <row r="11">
      <c r="B11" s="3" t="inlineStr">
        <is>
          <t>Saldo final del intangible, debe ser cero</t>
        </is>
      </c>
      <c r="C11" s="4" t="n"/>
      <c r="D11" s="6">
        <f>'Activo intangible'!$AE$16</f>
        <v/>
      </c>
      <c r="E11" s="4" t="n"/>
    </row>
    <row r="12">
      <c r="B12" s="3" t="inlineStr">
        <is>
          <t>VAN financiero, debe ser cero</t>
        </is>
      </c>
      <c r="C12" s="4" t="n"/>
      <c r="D12" s="6">
        <f>Flujo!$D$29</f>
        <v/>
      </c>
      <c r="E12" s="4" t="n"/>
    </row>
    <row r="13">
      <c r="B13" s="7" t="inlineStr">
        <is>
          <t>Ke</t>
        </is>
      </c>
      <c r="C13" s="4" t="n"/>
      <c r="D13" s="8">
        <f>p_ke</f>
        <v/>
      </c>
      <c r="E13" s="4" t="n"/>
    </row>
    <row r="14">
      <c r="B14" s="7" t="inlineStr">
        <is>
          <t>Kd</t>
        </is>
      </c>
      <c r="C14" s="4" t="n"/>
      <c r="D14" s="8">
        <f>p_kd</f>
        <v/>
      </c>
      <c r="E14" s="4" t="n"/>
    </row>
    <row r="15">
      <c r="B15" s="7" t="inlineStr">
        <is>
          <t>WACC</t>
        </is>
      </c>
      <c r="C15" s="4" t="n"/>
      <c r="D15" s="8">
        <f>p_wacc</f>
        <v/>
      </c>
      <c r="E15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9"/>
  <sheetViews>
    <sheetView workbookViewId="0">
      <selection activeCell="A1" sqref="A1"/>
    </sheetView>
  </sheetViews>
  <sheetFormatPr baseColWidth="8" defaultRowHeight="15"/>
  <cols>
    <col width="42" customWidth="1" min="2" max="2"/>
    <col width="20" customWidth="1" min="4" max="4"/>
    <col width="46" customWidth="1" min="5" max="5"/>
  </cols>
  <sheetData>
    <row r="2">
      <c r="B2" s="1" t="inlineStr">
        <is>
          <t>Parametros del modelo</t>
        </is>
      </c>
    </row>
    <row r="3">
      <c r="B3" s="2" t="inlineStr">
        <is>
          <t>Las celdas en ambar son de entrada. Las dos ultimas las resuelve el cierre.</t>
        </is>
      </c>
    </row>
    <row r="6">
      <c r="B6" s="7" t="inlineStr">
        <is>
          <t>Ke, costo del patrimonio</t>
        </is>
      </c>
      <c r="C6" s="4" t="n"/>
      <c r="D6" s="9" t="n">
        <v>0.1197326670945649</v>
      </c>
      <c r="E6" s="10" t="inlineStr">
        <is>
          <t>CAPM en USD + riesgo pais + devaluacion</t>
        </is>
      </c>
    </row>
    <row r="7">
      <c r="B7" s="7" t="inlineStr">
        <is>
          <t>Kd, costo de la deuda</t>
        </is>
      </c>
      <c r="C7" s="4" t="n"/>
      <c r="D7" s="9" t="n">
        <v>0.10002308808</v>
      </c>
      <c r="E7" s="10" t="inlineStr">
        <is>
          <t>soberano a vida media + spread</t>
        </is>
      </c>
    </row>
    <row r="8">
      <c r="B8" s="7" t="inlineStr">
        <is>
          <t>WACC</t>
        </is>
      </c>
      <c r="C8" s="4" t="n"/>
      <c r="D8" s="9" t="n">
        <v>0.09863578555337094</v>
      </c>
      <c r="E8" s="10" t="inlineStr">
        <is>
          <t>despues de impuestos</t>
        </is>
      </c>
    </row>
    <row r="9">
      <c r="B9" s="7" t="inlineStr">
        <is>
          <t>TIR objetivo del cierre</t>
        </is>
      </c>
      <c r="C9" s="4" t="n"/>
      <c r="D9" s="9" t="n">
        <v>0.1197</v>
      </c>
      <c r="E9" s="10" t="inlineStr">
        <is>
          <t>Ke redondeado a 4 decimales, Control!M12</t>
        </is>
      </c>
    </row>
    <row r="10">
      <c r="B10" s="7" t="inlineStr">
        <is>
          <t>Cobertura minima, RCSD</t>
        </is>
      </c>
      <c r="C10" s="4" t="n"/>
      <c r="D10" s="11" t="n">
        <v>1.25</v>
      </c>
      <c r="E10" s="10" t="inlineStr">
        <is>
          <t>dimensiona la amortizacion</t>
        </is>
      </c>
    </row>
    <row r="11">
      <c r="B11" s="7" t="inlineStr">
        <is>
          <t>Cuenta de reserva, CRSD</t>
        </is>
      </c>
      <c r="C11" s="4" t="n"/>
      <c r="D11" s="12" t="n">
        <v>0.5</v>
      </c>
      <c r="E11" s="10" t="inlineStr">
        <is>
          <t>del servicio del ano siguiente</t>
        </is>
      </c>
    </row>
    <row r="12">
      <c r="B12" s="7" t="inlineStr">
        <is>
          <t>Impuesto a la Renta</t>
        </is>
      </c>
      <c r="C12" s="4" t="n"/>
      <c r="D12" s="12" t="n">
        <v>0.295</v>
      </c>
      <c r="E12" s="10" t="inlineStr"/>
    </row>
    <row r="13">
      <c r="B13" s="7" t="inlineStr">
        <is>
          <t>Participacion de trabajadores</t>
        </is>
      </c>
      <c r="C13" s="4" t="n"/>
      <c r="D13" s="12" t="n">
        <v>0.05</v>
      </c>
      <c r="E13" s="10" t="inlineStr"/>
    </row>
    <row r="14">
      <c r="B14" s="7" t="inlineStr">
        <is>
          <t>Arrastre de perdidas</t>
        </is>
      </c>
      <c r="C14" s="4" t="n"/>
      <c r="D14" s="12" t="n">
        <v>0.5</v>
      </c>
      <c r="E14" s="10" t="inlineStr">
        <is>
          <t>sistema B</t>
        </is>
      </c>
    </row>
    <row r="15">
      <c r="B15" s="7" t="inlineStr">
        <is>
          <t>IPM, reajuste</t>
        </is>
      </c>
      <c r="C15" s="4" t="n"/>
      <c r="D15" s="9" t="n">
        <v>0.0267</v>
      </c>
      <c r="E15" s="10" t="inlineStr">
        <is>
          <t>anual</t>
        </is>
      </c>
    </row>
    <row r="16">
      <c r="B16" s="7" t="inlineStr">
        <is>
          <t>Tipo de cambio</t>
        </is>
      </c>
      <c r="C16" s="4" t="n"/>
      <c r="D16" s="13" t="n">
        <v>3.3805</v>
      </c>
      <c r="E16" s="10" t="inlineStr">
        <is>
          <t>solo entra por los reembolsos en dolares</t>
        </is>
      </c>
    </row>
    <row r="17">
      <c r="B17" s="7" t="inlineStr">
        <is>
          <t>PPDMO referencia mensual</t>
        </is>
      </c>
      <c r="C17" s="4" t="n"/>
      <c r="D17" s="14" t="n">
        <v>12908503.52478857</v>
      </c>
      <c r="E17" s="10" t="inlineStr">
        <is>
          <t>S/ - LA CIERRA Solver</t>
        </is>
      </c>
    </row>
    <row r="18">
      <c r="B18" s="7" t="inlineStr">
        <is>
          <t>Tarifa al usuario</t>
        </is>
      </c>
      <c r="C18" s="4" t="n"/>
      <c r="D18" s="15" t="n">
        <v>31.109308042102</v>
      </c>
      <c r="E18" s="10" t="inlineStr">
        <is>
          <t>S/ por kg DBO5, derivada de la referencia</t>
        </is>
      </c>
    </row>
    <row r="19">
      <c r="B19" s="7" t="inlineStr">
        <is>
          <t>Margen del operador</t>
        </is>
      </c>
      <c r="C19" s="4" t="n"/>
      <c r="D19" s="12" t="n">
        <v>0.15</v>
      </c>
      <c r="E19" s="10" t="inlineStr">
        <is>
          <t>sobre todo el costo de O&amp;M; aca no hay pata fija y variable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0"/>
  <sheetViews>
    <sheetView workbookViewId="0">
      <selection activeCell="A1" sqref="A1"/>
    </sheetView>
  </sheetViews>
  <sheetFormatPr baseColWidth="8" defaultRowHeight="15"/>
  <cols>
    <col width="42" customWidth="1" min="2" max="2"/>
    <col width="18" customWidth="1" min="3" max="3"/>
    <col width="24" customWidth="1" min="4" max="4"/>
  </cols>
  <sheetData>
    <row r="2">
      <c r="B2" s="1" t="inlineStr">
        <is>
          <t>Hitos funcionales</t>
        </is>
      </c>
    </row>
    <row r="3">
      <c r="B3" s="2" t="inlineStr">
        <is>
          <t>Sin PPDI los hitos solo reparten la inversion: no hay cuota que cobrar y no escalonan el inicio de la operacion.</t>
        </is>
      </c>
    </row>
    <row r="5">
      <c r="B5" s="16" t="inlineStr">
        <is>
          <t>Hito</t>
        </is>
      </c>
      <c r="C5" s="16" t="inlineStr">
        <is>
          <t>% del CAPEX</t>
        </is>
      </c>
      <c r="D5" s="16" t="inlineStr">
        <is>
          <t>Inversion del hito</t>
        </is>
      </c>
    </row>
    <row r="6">
      <c r="B6" s="3" t="inlineStr">
        <is>
          <t>Hito 1</t>
        </is>
      </c>
      <c r="C6" s="17" t="n">
        <v>0.674423</v>
      </c>
      <c r="D6" s="18">
        <f>'Activo intangible'!$D$7*C6</f>
        <v/>
      </c>
    </row>
    <row r="7">
      <c r="B7" s="3" t="inlineStr">
        <is>
          <t>Hito 2</t>
        </is>
      </c>
      <c r="C7" s="17" t="n">
        <v>0.0442</v>
      </c>
      <c r="D7" s="18">
        <f>'Activo intangible'!$D$7*C7</f>
        <v/>
      </c>
    </row>
    <row r="8">
      <c r="B8" s="3" t="inlineStr">
        <is>
          <t>Hito 3</t>
        </is>
      </c>
      <c r="C8" s="17" t="n">
        <v>0.014198</v>
      </c>
      <c r="D8" s="18">
        <f>'Activo intangible'!$D$7*C8</f>
        <v/>
      </c>
    </row>
    <row r="9">
      <c r="B9" s="3" t="inlineStr">
        <is>
          <t>Hito 4</t>
        </is>
      </c>
      <c r="C9" s="17" t="n">
        <v>0.267179</v>
      </c>
      <c r="D9" s="18">
        <f>'Activo intangible'!$D$7*C9</f>
        <v/>
      </c>
    </row>
    <row r="10">
      <c r="B10" s="19" t="inlineStr">
        <is>
          <t>Total</t>
        </is>
      </c>
      <c r="C10" s="20">
        <f>SUM(C6:C9)</f>
        <v/>
      </c>
      <c r="D10" s="21">
        <f>SUM(D6:D9)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E19"/>
  <sheetViews>
    <sheetView workbookViewId="0">
      <selection activeCell="A1" sqref="A1"/>
    </sheetView>
  </sheetViews>
  <sheetFormatPr baseColWidth="8" defaultRowHeight="15"/>
  <cols>
    <col width="42" customWidth="1" min="2" max="2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2">
      <c r="B2" s="1" t="inlineStr">
        <is>
          <t>Activo intangible de la concesion</t>
        </is>
      </c>
    </row>
    <row r="3">
      <c r="B3" s="2" t="inlineStr">
        <is>
          <t>CINIIF 12 p.17 y p.22. La amortizacion es gasto deducible y NO es caja.</t>
        </is>
      </c>
    </row>
    <row r="6">
      <c r="B6" s="3" t="inlineStr">
        <is>
          <t>Inversion capitalizada</t>
        </is>
      </c>
      <c r="C6" s="4" t="n"/>
      <c r="D6" s="14" t="n">
        <v>590559039.1414317</v>
      </c>
      <c r="E6" s="10" t="inlineStr">
        <is>
          <t>CAPEX, otros del periodo D+C+PM y comisiones</t>
        </is>
      </c>
    </row>
    <row r="7">
      <c r="B7" s="3" t="inlineStr">
        <is>
          <t>Intereses capitalizados</t>
        </is>
      </c>
      <c r="C7" s="4" t="n"/>
      <c r="D7" s="14" t="n">
        <v>63241003.09242043</v>
      </c>
      <c r="E7" s="10" t="inlineStr">
        <is>
          <t>solo los del periodo de obra, NIC 23 via CINIIF 12 p.22</t>
        </is>
      </c>
    </row>
    <row r="8">
      <c r="B8" s="3" t="inlineStr">
        <is>
          <t>Activo intangible al termino de obra</t>
        </is>
      </c>
      <c r="C8" s="4" t="n"/>
      <c r="D8" s="6">
        <f>$D$6+$D$7</f>
        <v/>
      </c>
      <c r="E8" s="10" t="inlineStr"/>
    </row>
    <row r="9">
      <c r="B9" s="3" t="inlineStr">
        <is>
          <t>Meses de operacion</t>
        </is>
      </c>
      <c r="C9" s="4" t="n"/>
      <c r="D9" s="22" t="n">
        <v>238</v>
      </c>
      <c r="E9" s="10" t="inlineStr"/>
    </row>
    <row r="10">
      <c r="B10" s="3" t="inlineStr">
        <is>
          <t>Amortizacion lineal mensual</t>
        </is>
      </c>
      <c r="C10" s="4" t="n"/>
      <c r="D10" s="6">
        <f>$D$8/$D$9</f>
        <v/>
      </c>
      <c r="E10" s="10" t="inlineStr"/>
    </row>
    <row r="13">
      <c r="B13" s="23" t="inlineStr">
        <is>
          <t>Ano</t>
        </is>
      </c>
      <c r="D13" s="16" t="n">
        <v>2025</v>
      </c>
      <c r="E13" s="16" t="n">
        <v>2026</v>
      </c>
      <c r="F13" s="16" t="n">
        <v>2027</v>
      </c>
      <c r="G13" s="16" t="n">
        <v>2028</v>
      </c>
      <c r="H13" s="16" t="n">
        <v>2029</v>
      </c>
      <c r="I13" s="16" t="n">
        <v>2030</v>
      </c>
      <c r="J13" s="16" t="n">
        <v>2031</v>
      </c>
      <c r="K13" s="16" t="n">
        <v>2032</v>
      </c>
      <c r="L13" s="16" t="n">
        <v>2033</v>
      </c>
      <c r="M13" s="16" t="n">
        <v>2034</v>
      </c>
      <c r="N13" s="16" t="n">
        <v>2035</v>
      </c>
      <c r="O13" s="16" t="n">
        <v>2036</v>
      </c>
      <c r="P13" s="16" t="n">
        <v>2037</v>
      </c>
      <c r="Q13" s="16" t="n">
        <v>2038</v>
      </c>
      <c r="R13" s="16" t="n">
        <v>2039</v>
      </c>
      <c r="S13" s="16" t="n">
        <v>2040</v>
      </c>
      <c r="T13" s="16" t="n">
        <v>2041</v>
      </c>
      <c r="U13" s="16" t="n">
        <v>2042</v>
      </c>
      <c r="V13" s="16" t="n">
        <v>2043</v>
      </c>
      <c r="W13" s="16" t="n">
        <v>2044</v>
      </c>
      <c r="X13" s="16" t="n">
        <v>2045</v>
      </c>
      <c r="Y13" s="16" t="n">
        <v>2046</v>
      </c>
      <c r="Z13" s="16" t="n">
        <v>2047</v>
      </c>
      <c r="AA13" s="16" t="n">
        <v>2048</v>
      </c>
      <c r="AB13" s="16" t="n">
        <v>2049</v>
      </c>
      <c r="AC13" s="16" t="n">
        <v>2050</v>
      </c>
      <c r="AD13" s="16" t="n">
        <v>2051</v>
      </c>
      <c r="AE13" s="16" t="n">
        <v>2052</v>
      </c>
    </row>
    <row r="14">
      <c r="B14" s="24" t="inlineStr">
        <is>
          <t>Meses de operacion del ano</t>
        </is>
      </c>
      <c r="D14" s="25" t="n">
        <v>0</v>
      </c>
      <c r="E14" s="25" t="n">
        <v>0</v>
      </c>
      <c r="F14" s="25" t="n">
        <v>0</v>
      </c>
      <c r="G14" s="25" t="n">
        <v>0</v>
      </c>
      <c r="H14" s="25" t="n">
        <v>0</v>
      </c>
      <c r="I14" s="25" t="n">
        <v>12</v>
      </c>
      <c r="J14" s="25" t="n">
        <v>12</v>
      </c>
      <c r="K14" s="25" t="n">
        <v>12</v>
      </c>
      <c r="L14" s="25" t="n">
        <v>12</v>
      </c>
      <c r="M14" s="25" t="n">
        <v>12</v>
      </c>
      <c r="N14" s="25" t="n">
        <v>12</v>
      </c>
      <c r="O14" s="25" t="n">
        <v>12</v>
      </c>
      <c r="P14" s="25" t="n">
        <v>12</v>
      </c>
      <c r="Q14" s="25" t="n">
        <v>12</v>
      </c>
      <c r="R14" s="25" t="n">
        <v>12</v>
      </c>
      <c r="S14" s="25" t="n">
        <v>12</v>
      </c>
      <c r="T14" s="25" t="n">
        <v>12</v>
      </c>
      <c r="U14" s="25" t="n">
        <v>12</v>
      </c>
      <c r="V14" s="25" t="n">
        <v>12</v>
      </c>
      <c r="W14" s="25" t="n">
        <v>12</v>
      </c>
      <c r="X14" s="25" t="n">
        <v>12</v>
      </c>
      <c r="Y14" s="25" t="n">
        <v>12</v>
      </c>
      <c r="Z14" s="25" t="n">
        <v>12</v>
      </c>
      <c r="AA14" s="25" t="n">
        <v>12</v>
      </c>
      <c r="AB14" s="25" t="n">
        <v>10</v>
      </c>
      <c r="AC14" s="25" t="n">
        <v>0</v>
      </c>
      <c r="AD14" s="25" t="n">
        <v>0</v>
      </c>
      <c r="AE14" s="25" t="n">
        <v>0</v>
      </c>
    </row>
    <row r="15">
      <c r="B15" s="19" t="inlineStr">
        <is>
          <t>Amortizacion del intangible</t>
        </is>
      </c>
      <c r="D15" s="26">
        <f>$D$10*D14</f>
        <v/>
      </c>
      <c r="E15" s="26">
        <f>$D$10*E14</f>
        <v/>
      </c>
      <c r="F15" s="26">
        <f>$D$10*F14</f>
        <v/>
      </c>
      <c r="G15" s="26">
        <f>$D$10*G14</f>
        <v/>
      </c>
      <c r="H15" s="26">
        <f>$D$10*H14</f>
        <v/>
      </c>
      <c r="I15" s="26">
        <f>$D$10*I14</f>
        <v/>
      </c>
      <c r="J15" s="26">
        <f>$D$10*J14</f>
        <v/>
      </c>
      <c r="K15" s="26">
        <f>$D$10*K14</f>
        <v/>
      </c>
      <c r="L15" s="26">
        <f>$D$10*L14</f>
        <v/>
      </c>
      <c r="M15" s="26">
        <f>$D$10*M14</f>
        <v/>
      </c>
      <c r="N15" s="26">
        <f>$D$10*N14</f>
        <v/>
      </c>
      <c r="O15" s="26">
        <f>$D$10*O14</f>
        <v/>
      </c>
      <c r="P15" s="26">
        <f>$D$10*P14</f>
        <v/>
      </c>
      <c r="Q15" s="26">
        <f>$D$10*Q14</f>
        <v/>
      </c>
      <c r="R15" s="26">
        <f>$D$10*R14</f>
        <v/>
      </c>
      <c r="S15" s="26">
        <f>$D$10*S14</f>
        <v/>
      </c>
      <c r="T15" s="26">
        <f>$D$10*T14</f>
        <v/>
      </c>
      <c r="U15" s="26">
        <f>$D$10*U14</f>
        <v/>
      </c>
      <c r="V15" s="26">
        <f>$D$10*V14</f>
        <v/>
      </c>
      <c r="W15" s="26">
        <f>$D$10*W14</f>
        <v/>
      </c>
      <c r="X15" s="26">
        <f>$D$10*X14</f>
        <v/>
      </c>
      <c r="Y15" s="26">
        <f>$D$10*Y14</f>
        <v/>
      </c>
      <c r="Z15" s="26">
        <f>$D$10*Z14</f>
        <v/>
      </c>
      <c r="AA15" s="26">
        <f>$D$10*AA14</f>
        <v/>
      </c>
      <c r="AB15" s="26">
        <f>$D$10*AB14</f>
        <v/>
      </c>
      <c r="AC15" s="26">
        <f>$D$10*AC14</f>
        <v/>
      </c>
      <c r="AD15" s="26">
        <f>$D$10*AD14</f>
        <v/>
      </c>
      <c r="AE15" s="26">
        <f>$D$10*AE14</f>
        <v/>
      </c>
    </row>
    <row r="16">
      <c r="B16" s="19" t="inlineStr">
        <is>
          <t>Saldo del intangible</t>
        </is>
      </c>
      <c r="D16" s="26">
        <f>$D$8-D15</f>
        <v/>
      </c>
      <c r="E16" s="26">
        <f>D16-E15</f>
        <v/>
      </c>
      <c r="F16" s="26">
        <f>E16-F15</f>
        <v/>
      </c>
      <c r="G16" s="26">
        <f>F16-G15</f>
        <v/>
      </c>
      <c r="H16" s="26">
        <f>G16-H15</f>
        <v/>
      </c>
      <c r="I16" s="26">
        <f>H16-I15</f>
        <v/>
      </c>
      <c r="J16" s="26">
        <f>I16-J15</f>
        <v/>
      </c>
      <c r="K16" s="26">
        <f>J16-K15</f>
        <v/>
      </c>
      <c r="L16" s="26">
        <f>K16-L15</f>
        <v/>
      </c>
      <c r="M16" s="26">
        <f>L16-M15</f>
        <v/>
      </c>
      <c r="N16" s="26">
        <f>M16-N15</f>
        <v/>
      </c>
      <c r="O16" s="26">
        <f>N16-O15</f>
        <v/>
      </c>
      <c r="P16" s="26">
        <f>O16-P15</f>
        <v/>
      </c>
      <c r="Q16" s="26">
        <f>P16-Q15</f>
        <v/>
      </c>
      <c r="R16" s="26">
        <f>Q16-R15</f>
        <v/>
      </c>
      <c r="S16" s="26">
        <f>R16-S15</f>
        <v/>
      </c>
      <c r="T16" s="26">
        <f>S16-T15</f>
        <v/>
      </c>
      <c r="U16" s="26">
        <f>T16-U15</f>
        <v/>
      </c>
      <c r="V16" s="26">
        <f>U16-V15</f>
        <v/>
      </c>
      <c r="W16" s="26">
        <f>V16-W15</f>
        <v/>
      </c>
      <c r="X16" s="26">
        <f>W16-X15</f>
        <v/>
      </c>
      <c r="Y16" s="26">
        <f>X16-Y15</f>
        <v/>
      </c>
      <c r="Z16" s="26">
        <f>Y16-Z15</f>
        <v/>
      </c>
      <c r="AA16" s="26">
        <f>Z16-AA15</f>
        <v/>
      </c>
      <c r="AB16" s="26">
        <f>AA16-AB15</f>
        <v/>
      </c>
      <c r="AC16" s="26">
        <f>AB16-AC15</f>
        <v/>
      </c>
      <c r="AD16" s="26">
        <f>AC16-AD15</f>
        <v/>
      </c>
      <c r="AE16" s="26">
        <f>AD16-AE15</f>
        <v/>
      </c>
    </row>
    <row r="18">
      <c r="B18" s="19" t="inlineStr">
        <is>
          <t>Amortizacion acumulada</t>
        </is>
      </c>
      <c r="D18" s="27">
        <f>SUM($D$15:$AE$15)</f>
        <v/>
      </c>
    </row>
    <row r="19">
      <c r="B19" s="19" t="inlineStr">
        <is>
          <t>Saldo final, debe ser cero</t>
        </is>
      </c>
      <c r="D19" s="27">
        <f>$AE$16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E31"/>
  <sheetViews>
    <sheetView workbookViewId="0">
      <selection activeCell="A1" sqref="A1"/>
    </sheetView>
  </sheetViews>
  <sheetFormatPr baseColWidth="8" defaultRowHeight="15"/>
  <cols>
    <col width="42" customWidth="1" min="2" max="2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2">
      <c r="B2" s="1" t="inlineStr">
        <is>
          <t>Flujo de caja anual</t>
        </is>
      </c>
    </row>
    <row r="3">
      <c r="B3" s="2" t="inlineStr">
        <is>
          <t>El VAN de la ultima fila es la celda que Solver lleva a cero.</t>
        </is>
      </c>
    </row>
    <row r="5">
      <c r="B5" s="23" t="inlineStr">
        <is>
          <t>Ano</t>
        </is>
      </c>
      <c r="C5" s="28" t="n"/>
      <c r="D5" s="16" t="n">
        <v>2025</v>
      </c>
      <c r="E5" s="16" t="n">
        <v>2026</v>
      </c>
      <c r="F5" s="16" t="n">
        <v>2027</v>
      </c>
      <c r="G5" s="16" t="n">
        <v>2028</v>
      </c>
      <c r="H5" s="16" t="n">
        <v>2029</v>
      </c>
      <c r="I5" s="16" t="n">
        <v>2030</v>
      </c>
      <c r="J5" s="16" t="n">
        <v>2031</v>
      </c>
      <c r="K5" s="16" t="n">
        <v>2032</v>
      </c>
      <c r="L5" s="16" t="n">
        <v>2033</v>
      </c>
      <c r="M5" s="16" t="n">
        <v>2034</v>
      </c>
      <c r="N5" s="16" t="n">
        <v>2035</v>
      </c>
      <c r="O5" s="16" t="n">
        <v>2036</v>
      </c>
      <c r="P5" s="16" t="n">
        <v>2037</v>
      </c>
      <c r="Q5" s="16" t="n">
        <v>2038</v>
      </c>
      <c r="R5" s="16" t="n">
        <v>2039</v>
      </c>
      <c r="S5" s="16" t="n">
        <v>2040</v>
      </c>
      <c r="T5" s="16" t="n">
        <v>2041</v>
      </c>
      <c r="U5" s="16" t="n">
        <v>2042</v>
      </c>
      <c r="V5" s="16" t="n">
        <v>2043</v>
      </c>
      <c r="W5" s="16" t="n">
        <v>2044</v>
      </c>
      <c r="X5" s="16" t="n">
        <v>2045</v>
      </c>
      <c r="Y5" s="16" t="n">
        <v>2046</v>
      </c>
      <c r="Z5" s="16" t="n">
        <v>2047</v>
      </c>
      <c r="AA5" s="16" t="n">
        <v>2048</v>
      </c>
      <c r="AB5" s="16" t="n">
        <v>2049</v>
      </c>
      <c r="AC5" s="16" t="n">
        <v>2050</v>
      </c>
      <c r="AD5" s="16" t="n">
        <v>2051</v>
      </c>
      <c r="AE5" s="16" t="n">
        <v>2052</v>
      </c>
    </row>
    <row r="7">
      <c r="B7" s="24" t="inlineStr">
        <is>
          <t>Ingreso tarifario al usuario</t>
        </is>
      </c>
      <c r="D7" s="29">
        <f>p_ref*0.0</f>
        <v/>
      </c>
      <c r="E7" s="29">
        <f>p_ref*0.0</f>
        <v/>
      </c>
      <c r="F7" s="29">
        <f>p_ref*0.0</f>
        <v/>
      </c>
      <c r="G7" s="29">
        <f>p_ref*0.0</f>
        <v/>
      </c>
      <c r="H7" s="29">
        <f>p_ref*0.0</f>
        <v/>
      </c>
      <c r="I7" s="29">
        <f>p_ref*9.560791754479322</f>
        <v/>
      </c>
      <c r="J7" s="29">
        <f>p_ref*10.018048674961099</f>
        <v/>
      </c>
      <c r="K7" s="29">
        <f>p_ref*10.499942555471089</f>
        <v/>
      </c>
      <c r="L7" s="29">
        <f>p_ref*11.10604009636353</f>
        <v/>
      </c>
      <c r="M7" s="29">
        <f>p_ref*11.667148169634194</f>
        <v/>
      </c>
      <c r="N7" s="29">
        <f>p_ref*12.19871302314162</f>
        <v/>
      </c>
      <c r="O7" s="29">
        <f>p_ref*12.757375862436476</f>
        <v/>
      </c>
      <c r="P7" s="29">
        <f>p_ref*13.344657550196267</f>
        <v/>
      </c>
      <c r="Q7" s="29">
        <f>p_ref*13.962132713843745</f>
        <v/>
      </c>
      <c r="R7" s="29">
        <f>p_ref*14.611462572941726</f>
        <v/>
      </c>
      <c r="S7" s="29">
        <f>p_ref*15.294436451923268</f>
        <v/>
      </c>
      <c r="T7" s="29">
        <f>p_ref*16.095599297709388</f>
        <v/>
      </c>
      <c r="U7" s="29">
        <f>p_ref*16.858664502137245</f>
        <v/>
      </c>
      <c r="V7" s="29">
        <f>p_ref*17.748896719911023</f>
        <v/>
      </c>
      <c r="W7" s="29">
        <f>p_ref*18.691407192127855</f>
        <v/>
      </c>
      <c r="X7" s="29">
        <f>p_ref*19.68948</f>
        <v/>
      </c>
      <c r="Y7" s="29">
        <f>p_ref*20.192360000000004</f>
        <v/>
      </c>
      <c r="Z7" s="29">
        <f>p_ref*20.70756</f>
        <v/>
      </c>
      <c r="AA7" s="29">
        <f>p_ref*21.344879999999996</f>
        <v/>
      </c>
      <c r="AB7" s="29">
        <f>p_ref*18.19679849640891</f>
        <v/>
      </c>
      <c r="AC7" s="29">
        <f>p_ref*0.0</f>
        <v/>
      </c>
      <c r="AD7" s="29">
        <f>p_ref*0.0</f>
        <v/>
      </c>
      <c r="AE7" s="29">
        <f>p_ref*0.0</f>
        <v/>
      </c>
    </row>
    <row r="8">
      <c r="B8" s="24" t="inlineStr">
        <is>
          <t>Pago por Obras</t>
        </is>
      </c>
      <c r="D8" s="29" t="n">
        <v>0</v>
      </c>
      <c r="E8" s="29" t="n">
        <v>0</v>
      </c>
      <c r="F8" s="29" t="n">
        <v>0</v>
      </c>
      <c r="G8" s="29" t="n">
        <v>0</v>
      </c>
      <c r="H8" s="29" t="n">
        <v>0</v>
      </c>
      <c r="I8" s="29" t="n">
        <v>0</v>
      </c>
      <c r="J8" s="29" t="n">
        <v>6738784.790106275</v>
      </c>
      <c r="K8" s="29" t="n">
        <v>0</v>
      </c>
      <c r="L8" s="29" t="n">
        <v>0</v>
      </c>
      <c r="M8" s="29" t="n">
        <v>0</v>
      </c>
      <c r="N8" s="29" t="n">
        <v>0</v>
      </c>
      <c r="O8" s="29" t="n">
        <v>0</v>
      </c>
      <c r="P8" s="29" t="n">
        <v>0</v>
      </c>
      <c r="Q8" s="29" t="n">
        <v>0</v>
      </c>
      <c r="R8" s="29" t="n">
        <v>0</v>
      </c>
      <c r="S8" s="29" t="n">
        <v>0</v>
      </c>
      <c r="T8" s="29" t="n">
        <v>0</v>
      </c>
      <c r="U8" s="29" t="n">
        <v>0</v>
      </c>
      <c r="V8" s="29" t="n">
        <v>0</v>
      </c>
      <c r="W8" s="29" t="n">
        <v>0</v>
      </c>
      <c r="X8" s="29" t="n">
        <v>0</v>
      </c>
      <c r="Y8" s="29" t="n">
        <v>0</v>
      </c>
      <c r="Z8" s="29" t="n">
        <v>0</v>
      </c>
      <c r="AA8" s="29" t="n">
        <v>0</v>
      </c>
      <c r="AB8" s="29" t="n">
        <v>0</v>
      </c>
      <c r="AC8" s="29" t="n">
        <v>0</v>
      </c>
      <c r="AD8" s="29" t="n">
        <v>0</v>
      </c>
      <c r="AE8" s="29" t="n">
        <v>0</v>
      </c>
    </row>
    <row r="9">
      <c r="B9" s="24" t="inlineStr">
        <is>
          <t>CAPEX</t>
        </is>
      </c>
      <c r="D9" s="29" t="n">
        <v>-5374371.780015133</v>
      </c>
      <c r="E9" s="29" t="n">
        <v>-24597551.61708117</v>
      </c>
      <c r="F9" s="29" t="n">
        <v>-115086842.7554201</v>
      </c>
      <c r="G9" s="29" t="n">
        <v>-270595530.2645947</v>
      </c>
      <c r="H9" s="29" t="n">
        <v>-139200171.370141</v>
      </c>
      <c r="I9" s="29" t="n">
        <v>-0</v>
      </c>
      <c r="J9" s="29" t="n">
        <v>-0</v>
      </c>
      <c r="K9" s="29" t="n">
        <v>-0</v>
      </c>
      <c r="L9" s="29" t="n">
        <v>-0</v>
      </c>
      <c r="M9" s="29" t="n">
        <v>-0</v>
      </c>
      <c r="N9" s="29" t="n">
        <v>-0</v>
      </c>
      <c r="O9" s="29" t="n">
        <v>-0</v>
      </c>
      <c r="P9" s="29" t="n">
        <v>-0</v>
      </c>
      <c r="Q9" s="29" t="n">
        <v>-0</v>
      </c>
      <c r="R9" s="29" t="n">
        <v>-0</v>
      </c>
      <c r="S9" s="29" t="n">
        <v>-0</v>
      </c>
      <c r="T9" s="29" t="n">
        <v>-0</v>
      </c>
      <c r="U9" s="29" t="n">
        <v>-0</v>
      </c>
      <c r="V9" s="29" t="n">
        <v>-0</v>
      </c>
      <c r="W9" s="29" t="n">
        <v>-0</v>
      </c>
      <c r="X9" s="29" t="n">
        <v>-0</v>
      </c>
      <c r="Y9" s="29" t="n">
        <v>-0</v>
      </c>
      <c r="Z9" s="29" t="n">
        <v>-0</v>
      </c>
      <c r="AA9" s="29" t="n">
        <v>-0</v>
      </c>
      <c r="AB9" s="29" t="n">
        <v>-0</v>
      </c>
      <c r="AC9" s="29" t="n">
        <v>-0</v>
      </c>
      <c r="AD9" s="29" t="n">
        <v>-0</v>
      </c>
      <c r="AE9" s="29" t="n">
        <v>-0</v>
      </c>
    </row>
    <row r="10">
      <c r="B10" s="24" t="inlineStr">
        <is>
          <t>Otros costos del periodo D+C+PM</t>
        </is>
      </c>
      <c r="D10" s="29" t="n">
        <v>-4741865.336406558</v>
      </c>
      <c r="E10" s="29" t="n">
        <v>-2619055.057004346</v>
      </c>
      <c r="F10" s="29" t="n">
        <v>-2976119.735574548</v>
      </c>
      <c r="G10" s="29" t="n">
        <v>-3475882.992325368</v>
      </c>
      <c r="H10" s="29" t="n">
        <v>-3504061.813642684</v>
      </c>
      <c r="I10" s="29" t="n">
        <v>-0</v>
      </c>
      <c r="J10" s="29" t="n">
        <v>-0</v>
      </c>
      <c r="K10" s="29" t="n">
        <v>-0</v>
      </c>
      <c r="L10" s="29" t="n">
        <v>-0</v>
      </c>
      <c r="M10" s="29" t="n">
        <v>-0</v>
      </c>
      <c r="N10" s="29" t="n">
        <v>-0</v>
      </c>
      <c r="O10" s="29" t="n">
        <v>-0</v>
      </c>
      <c r="P10" s="29" t="n">
        <v>-0</v>
      </c>
      <c r="Q10" s="29" t="n">
        <v>-0</v>
      </c>
      <c r="R10" s="29" t="n">
        <v>-0</v>
      </c>
      <c r="S10" s="29" t="n">
        <v>-0</v>
      </c>
      <c r="T10" s="29" t="n">
        <v>-0</v>
      </c>
      <c r="U10" s="29" t="n">
        <v>-0</v>
      </c>
      <c r="V10" s="29" t="n">
        <v>-0</v>
      </c>
      <c r="W10" s="29" t="n">
        <v>-0</v>
      </c>
      <c r="X10" s="29" t="n">
        <v>-0</v>
      </c>
      <c r="Y10" s="29" t="n">
        <v>-0</v>
      </c>
      <c r="Z10" s="29" t="n">
        <v>-0</v>
      </c>
      <c r="AA10" s="29" t="n">
        <v>-0</v>
      </c>
      <c r="AB10" s="29" t="n">
        <v>-0</v>
      </c>
      <c r="AC10" s="29" t="n">
        <v>-0</v>
      </c>
      <c r="AD10" s="29" t="n">
        <v>-0</v>
      </c>
      <c r="AE10" s="29" t="n">
        <v>-0</v>
      </c>
    </row>
    <row r="11">
      <c r="B11" s="24" t="inlineStr">
        <is>
          <t>Variacion de IGV del periodo D+C+PM</t>
        </is>
      </c>
      <c r="D11" s="29" t="n">
        <v>-531330.4443595728</v>
      </c>
      <c r="E11" s="29" t="n">
        <v>476308.4213880335</v>
      </c>
      <c r="F11" s="29" t="n">
        <v>-2439521.322193383</v>
      </c>
      <c r="G11" s="29" t="n">
        <v>-1603943.427599815</v>
      </c>
      <c r="H11" s="29" t="n">
        <v>3915109.632470076</v>
      </c>
      <c r="I11" s="29" t="n">
        <v>183377.1402946605</v>
      </c>
      <c r="J11" s="29" t="n">
        <v>0</v>
      </c>
      <c r="K11" s="29" t="n">
        <v>0</v>
      </c>
      <c r="L11" s="29" t="n">
        <v>0</v>
      </c>
      <c r="M11" s="29" t="n">
        <v>0</v>
      </c>
      <c r="N11" s="29" t="n">
        <v>0</v>
      </c>
      <c r="O11" s="29" t="n">
        <v>0</v>
      </c>
      <c r="P11" s="29" t="n">
        <v>0</v>
      </c>
      <c r="Q11" s="29" t="n">
        <v>0</v>
      </c>
      <c r="R11" s="29" t="n">
        <v>0</v>
      </c>
      <c r="S11" s="29" t="n">
        <v>0</v>
      </c>
      <c r="T11" s="29" t="n">
        <v>0</v>
      </c>
      <c r="U11" s="29" t="n">
        <v>0</v>
      </c>
      <c r="V11" s="29" t="n">
        <v>0</v>
      </c>
      <c r="W11" s="29" t="n">
        <v>0</v>
      </c>
      <c r="X11" s="29" t="n">
        <v>0</v>
      </c>
      <c r="Y11" s="29" t="n">
        <v>0</v>
      </c>
      <c r="Z11" s="29" t="n">
        <v>0</v>
      </c>
      <c r="AA11" s="29" t="n">
        <v>0</v>
      </c>
      <c r="AB11" s="29" t="n">
        <v>0</v>
      </c>
      <c r="AC11" s="29" t="n">
        <v>0</v>
      </c>
      <c r="AD11" s="29" t="n">
        <v>0</v>
      </c>
      <c r="AE11" s="29" t="n">
        <v>0</v>
      </c>
    </row>
    <row r="12">
      <c r="B12" s="24" t="inlineStr">
        <is>
          <t>Costos de cierre de la laguna SJS</t>
        </is>
      </c>
      <c r="D12" s="29" t="n">
        <v>-0</v>
      </c>
      <c r="E12" s="29" t="n">
        <v>-0</v>
      </c>
      <c r="F12" s="29" t="n">
        <v>-0</v>
      </c>
      <c r="G12" s="29" t="n">
        <v>-0</v>
      </c>
      <c r="H12" s="29" t="n">
        <v>-0</v>
      </c>
      <c r="I12" s="29" t="n">
        <v>-6738784.790106275</v>
      </c>
      <c r="J12" s="29" t="n">
        <v>-0</v>
      </c>
      <c r="K12" s="29" t="n">
        <v>-0</v>
      </c>
      <c r="L12" s="29" t="n">
        <v>-0</v>
      </c>
      <c r="M12" s="29" t="n">
        <v>-0</v>
      </c>
      <c r="N12" s="29" t="n">
        <v>-0</v>
      </c>
      <c r="O12" s="29" t="n">
        <v>-0</v>
      </c>
      <c r="P12" s="29" t="n">
        <v>-0</v>
      </c>
      <c r="Q12" s="29" t="n">
        <v>-0</v>
      </c>
      <c r="R12" s="29" t="n">
        <v>-0</v>
      </c>
      <c r="S12" s="29" t="n">
        <v>-0</v>
      </c>
      <c r="T12" s="29" t="n">
        <v>-0</v>
      </c>
      <c r="U12" s="29" t="n">
        <v>-0</v>
      </c>
      <c r="V12" s="29" t="n">
        <v>-0</v>
      </c>
      <c r="W12" s="29" t="n">
        <v>-0</v>
      </c>
      <c r="X12" s="29" t="n">
        <v>-0</v>
      </c>
      <c r="Y12" s="29" t="n">
        <v>-0</v>
      </c>
      <c r="Z12" s="29" t="n">
        <v>-0</v>
      </c>
      <c r="AA12" s="29" t="n">
        <v>-0</v>
      </c>
      <c r="AB12" s="29" t="n">
        <v>-0</v>
      </c>
      <c r="AC12" s="29" t="n">
        <v>-0</v>
      </c>
      <c r="AD12" s="29" t="n">
        <v>-0</v>
      </c>
      <c r="AE12" s="29" t="n">
        <v>-0</v>
      </c>
    </row>
    <row r="13">
      <c r="B13" s="24" t="inlineStr">
        <is>
          <t>Costos de operacion y mantenimiento</t>
        </is>
      </c>
      <c r="D13" s="29" t="n">
        <v>-0</v>
      </c>
      <c r="E13" s="29" t="n">
        <v>-0</v>
      </c>
      <c r="F13" s="29" t="n">
        <v>-0</v>
      </c>
      <c r="G13" s="29" t="n">
        <v>-0</v>
      </c>
      <c r="H13" s="29" t="n">
        <v>-0</v>
      </c>
      <c r="I13" s="29" t="n">
        <v>-58208695.69175516</v>
      </c>
      <c r="J13" s="29" t="n">
        <v>-59374668.89667468</v>
      </c>
      <c r="K13" s="29" t="n">
        <v>-60155936.68161764</v>
      </c>
      <c r="L13" s="29" t="n">
        <v>-61830243.42410477</v>
      </c>
      <c r="M13" s="29" t="n">
        <v>-63555823.74664254</v>
      </c>
      <c r="N13" s="29" t="n">
        <v>-63623040.48570278</v>
      </c>
      <c r="O13" s="29" t="n">
        <v>-65421948.89085401</v>
      </c>
      <c r="P13" s="29" t="n">
        <v>-67327680.32341753</v>
      </c>
      <c r="Q13" s="29" t="n">
        <v>-69201748.75234541</v>
      </c>
      <c r="R13" s="29" t="n">
        <v>-71174318.09057905</v>
      </c>
      <c r="S13" s="29" t="n">
        <v>-73920855.91609694</v>
      </c>
      <c r="T13" s="29" t="n">
        <v>-76011263.08863319</v>
      </c>
      <c r="U13" s="29" t="n">
        <v>-78156658.88096082</v>
      </c>
      <c r="V13" s="29" t="n">
        <v>-80365048.89333852</v>
      </c>
      <c r="W13" s="29" t="n">
        <v>-82667692.02774051</v>
      </c>
      <c r="X13" s="29" t="n">
        <v>-83719125.88589381</v>
      </c>
      <c r="Y13" s="29" t="n">
        <v>-86133142.16981485</v>
      </c>
      <c r="Z13" s="29" t="n">
        <v>-88683405.47152992</v>
      </c>
      <c r="AA13" s="29" t="n">
        <v>-91310040.04853651</v>
      </c>
      <c r="AB13" s="29" t="n">
        <v>-79951487.15389349</v>
      </c>
      <c r="AC13" s="29" t="n">
        <v>-0</v>
      </c>
      <c r="AD13" s="29" t="n">
        <v>-0</v>
      </c>
      <c r="AE13" s="29" t="n">
        <v>-0</v>
      </c>
    </row>
    <row r="14">
      <c r="B14" s="24" t="inlineStr">
        <is>
          <t>Reposiciones</t>
        </is>
      </c>
      <c r="D14" s="29" t="n">
        <v>-0</v>
      </c>
      <c r="E14" s="29" t="n">
        <v>-0</v>
      </c>
      <c r="F14" s="29" t="n">
        <v>-0</v>
      </c>
      <c r="G14" s="29" t="n">
        <v>-0</v>
      </c>
      <c r="H14" s="29" t="n">
        <v>-0</v>
      </c>
      <c r="I14" s="29" t="n">
        <v>-0</v>
      </c>
      <c r="J14" s="29" t="n">
        <v>-0</v>
      </c>
      <c r="K14" s="29" t="n">
        <v>-0</v>
      </c>
      <c r="L14" s="29" t="n">
        <v>-0</v>
      </c>
      <c r="M14" s="29" t="n">
        <v>-0</v>
      </c>
      <c r="N14" s="29" t="n">
        <v>-0</v>
      </c>
      <c r="O14" s="29" t="n">
        <v>-0</v>
      </c>
      <c r="P14" s="29" t="n">
        <v>-0</v>
      </c>
      <c r="Q14" s="29" t="n">
        <v>-0</v>
      </c>
      <c r="R14" s="29" t="n">
        <v>-0</v>
      </c>
      <c r="S14" s="29" t="n">
        <v>-213408.1147751489</v>
      </c>
      <c r="T14" s="29" t="n">
        <v>-169841.0091920356</v>
      </c>
      <c r="U14" s="29" t="n">
        <v>-72880.52238217702</v>
      </c>
      <c r="V14" s="29" t="n">
        <v>-0</v>
      </c>
      <c r="W14" s="29" t="n">
        <v>-5260935.224002866</v>
      </c>
      <c r="X14" s="29" t="n">
        <v>-0</v>
      </c>
      <c r="Y14" s="29" t="n">
        <v>-6936190.873976677</v>
      </c>
      <c r="Z14" s="29" t="n">
        <v>-0</v>
      </c>
      <c r="AA14" s="29" t="n">
        <v>-0</v>
      </c>
      <c r="AB14" s="29" t="n">
        <v>-0</v>
      </c>
      <c r="AC14" s="29" t="n">
        <v>-0</v>
      </c>
      <c r="AD14" s="29" t="n">
        <v>-0</v>
      </c>
      <c r="AE14" s="29" t="n">
        <v>-0</v>
      </c>
    </row>
    <row r="15">
      <c r="B15" s="24" t="inlineStr">
        <is>
          <t>Variacion del capital de trabajo</t>
        </is>
      </c>
      <c r="D15" s="29" t="n">
        <v>0</v>
      </c>
      <c r="E15" s="29" t="n">
        <v>0</v>
      </c>
      <c r="F15" s="29" t="n">
        <v>0</v>
      </c>
      <c r="G15" s="29" t="n">
        <v>0</v>
      </c>
      <c r="H15" s="29" t="n">
        <v>0</v>
      </c>
      <c r="I15" s="29" t="n">
        <v>-26470657.90142355</v>
      </c>
      <c r="J15" s="29" t="n">
        <v>-1567480.151452986</v>
      </c>
      <c r="K15" s="29" t="n">
        <v>-1352228.023965742</v>
      </c>
      <c r="L15" s="29" t="n">
        <v>-1297703.070403622</v>
      </c>
      <c r="M15" s="29" t="n">
        <v>-1666968.025188941</v>
      </c>
      <c r="N15" s="29" t="n">
        <v>-1906700.34814648</v>
      </c>
      <c r="O15" s="29" t="n">
        <v>-1869932.987017753</v>
      </c>
      <c r="P15" s="29" t="n">
        <v>-1975246.320213955</v>
      </c>
      <c r="Q15" s="29" t="n">
        <v>-2098848.715461435</v>
      </c>
      <c r="R15" s="29" t="n">
        <v>-1737874.94669815</v>
      </c>
      <c r="S15" s="29" t="n">
        <v>-1253359.89601256</v>
      </c>
      <c r="T15" s="29" t="n">
        <v>-2411252.756978594</v>
      </c>
      <c r="U15" s="29" t="n">
        <v>-2555810.458237687</v>
      </c>
      <c r="V15" s="29" t="n">
        <v>-2992504.289991548</v>
      </c>
      <c r="W15" s="29" t="n">
        <v>-3188076.665133043</v>
      </c>
      <c r="X15" s="29" t="n">
        <v>-3509526.127500873</v>
      </c>
      <c r="Y15" s="29" t="n">
        <v>-1128924.179534129</v>
      </c>
      <c r="Z15" s="29" t="n">
        <v>-452524.1597875115</v>
      </c>
      <c r="AA15" s="29" t="n">
        <v>-1837825.651854003</v>
      </c>
      <c r="AB15" s="29" t="n">
        <v>61273444.67500257</v>
      </c>
      <c r="AC15" s="29" t="n">
        <v>0</v>
      </c>
      <c r="AD15" s="29" t="n">
        <v>0</v>
      </c>
      <c r="AE15" s="29" t="n">
        <v>0</v>
      </c>
    </row>
    <row r="16">
      <c r="B16" s="24" t="inlineStr">
        <is>
          <t>Otros del periodo operativo</t>
        </is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-10133000</v>
      </c>
      <c r="I16" s="29" t="n">
        <v>10133000</v>
      </c>
      <c r="J16" s="29" t="n">
        <v>0</v>
      </c>
      <c r="K16" s="29" t="n">
        <v>0</v>
      </c>
      <c r="L16" s="29" t="n">
        <v>0</v>
      </c>
      <c r="M16" s="29" t="n">
        <v>0</v>
      </c>
      <c r="N16" s="29" t="n">
        <v>0</v>
      </c>
      <c r="O16" s="29" t="n">
        <v>0</v>
      </c>
      <c r="P16" s="29" t="n">
        <v>0</v>
      </c>
      <c r="Q16" s="29" t="n">
        <v>0</v>
      </c>
      <c r="R16" s="29" t="n">
        <v>0</v>
      </c>
      <c r="S16" s="29" t="n">
        <v>0</v>
      </c>
      <c r="T16" s="29" t="n">
        <v>0</v>
      </c>
      <c r="U16" s="29" t="n">
        <v>0</v>
      </c>
      <c r="V16" s="29" t="n">
        <v>0</v>
      </c>
      <c r="W16" s="29" t="n">
        <v>0</v>
      </c>
      <c r="X16" s="29" t="n">
        <v>0</v>
      </c>
      <c r="Y16" s="29" t="n">
        <v>0</v>
      </c>
      <c r="Z16" s="29" t="n">
        <v>0</v>
      </c>
      <c r="AA16" s="29" t="n">
        <v>0</v>
      </c>
      <c r="AB16" s="29" t="n">
        <v>0</v>
      </c>
      <c r="AC16" s="29" t="n">
        <v>0</v>
      </c>
      <c r="AD16" s="29" t="n">
        <v>0</v>
      </c>
      <c r="AE16" s="29" t="n">
        <v>0</v>
      </c>
    </row>
    <row r="17">
      <c r="B17" s="24" t="inlineStr">
        <is>
          <t>Participacion de trabajadores</t>
        </is>
      </c>
      <c r="D17" s="29" t="n">
        <v>-0</v>
      </c>
      <c r="E17" s="29" t="n">
        <v>-0</v>
      </c>
      <c r="F17" s="29" t="n">
        <v>-0</v>
      </c>
      <c r="G17" s="29" t="n">
        <v>-0</v>
      </c>
      <c r="H17" s="29" t="n">
        <v>-0</v>
      </c>
      <c r="I17" s="29" t="n">
        <v>-0</v>
      </c>
      <c r="J17" s="29" t="n">
        <v>-0</v>
      </c>
      <c r="K17" s="29" t="n">
        <v>-0</v>
      </c>
      <c r="L17" s="29" t="n">
        <v>-0</v>
      </c>
      <c r="M17" s="29" t="n">
        <v>-38242.50774626267</v>
      </c>
      <c r="N17" s="29" t="n">
        <v>-459321.9155786788</v>
      </c>
      <c r="O17" s="29" t="n">
        <v>-839007.2839609961</v>
      </c>
      <c r="P17" s="29" t="n">
        <v>-1259412.623806762</v>
      </c>
      <c r="Q17" s="29" t="n">
        <v>-1731415.606983084</v>
      </c>
      <c r="R17" s="29" t="n">
        <v>-2253969.49323381</v>
      </c>
      <c r="S17" s="29" t="n">
        <v>-2788741.18082604</v>
      </c>
      <c r="T17" s="29" t="n">
        <v>-3480233.147953289</v>
      </c>
      <c r="U17" s="29" t="n">
        <v>-4166677.763587953</v>
      </c>
      <c r="V17" s="29" t="n">
        <v>-4968322.030657854</v>
      </c>
      <c r="W17" s="29" t="n">
        <v>-5578097.279299605</v>
      </c>
      <c r="X17" s="29" t="n">
        <v>-6773243.454330385</v>
      </c>
      <c r="Y17" s="29" t="n">
        <v>-6730955.458910872</v>
      </c>
      <c r="Z17" s="29" t="n">
        <v>-7282774.888322506</v>
      </c>
      <c r="AA17" s="29" t="n">
        <v>-7562785.532793086</v>
      </c>
      <c r="AB17" s="29" t="n">
        <v>-6373568.018352129</v>
      </c>
      <c r="AC17" s="29" t="n">
        <v>-0</v>
      </c>
      <c r="AD17" s="29" t="n">
        <v>-0</v>
      </c>
      <c r="AE17" s="29" t="n">
        <v>-0</v>
      </c>
    </row>
    <row r="18">
      <c r="B18" s="24" t="inlineStr">
        <is>
          <t>Impuesto a la Renta</t>
        </is>
      </c>
      <c r="D18" s="29" t="n">
        <v>-0</v>
      </c>
      <c r="E18" s="29" t="n">
        <v>-0</v>
      </c>
      <c r="F18" s="29" t="n">
        <v>-0</v>
      </c>
      <c r="G18" s="29" t="n">
        <v>-0</v>
      </c>
      <c r="H18" s="29" t="n">
        <v>-0</v>
      </c>
      <c r="I18" s="29" t="n">
        <v>-0</v>
      </c>
      <c r="J18" s="29" t="n">
        <v>-0</v>
      </c>
      <c r="K18" s="29" t="n">
        <v>-0</v>
      </c>
      <c r="L18" s="29" t="n">
        <v>-0</v>
      </c>
      <c r="M18" s="29" t="n">
        <v>-107174.6279589011</v>
      </c>
      <c r="N18" s="29" t="n">
        <v>-1287249.668409247</v>
      </c>
      <c r="O18" s="29" t="n">
        <v>-2351317.913300691</v>
      </c>
      <c r="P18" s="29" t="n">
        <v>-3529503.878218448</v>
      </c>
      <c r="Q18" s="29" t="n">
        <v>-4852292.238570091</v>
      </c>
      <c r="R18" s="29" t="n">
        <v>-6316749.504787751</v>
      </c>
      <c r="S18" s="29" t="n">
        <v>-7815447.159264978</v>
      </c>
      <c r="T18" s="29" t="n">
        <v>-17473640.97892887</v>
      </c>
      <c r="U18" s="29" t="n">
        <v>-23354228.86491047</v>
      </c>
      <c r="V18" s="29" t="n">
        <v>-27847444.98183727</v>
      </c>
      <c r="W18" s="29" t="n">
        <v>-31265235.25047428</v>
      </c>
      <c r="X18" s="29" t="n">
        <v>-37964029.56152181</v>
      </c>
      <c r="Y18" s="29" t="n">
        <v>-37727005.34719544</v>
      </c>
      <c r="Z18" s="29" t="n">
        <v>-40819953.24904764</v>
      </c>
      <c r="AA18" s="29" t="n">
        <v>-42389412.91130524</v>
      </c>
      <c r="AB18" s="29" t="n">
        <v>-35723848.74286368</v>
      </c>
      <c r="AC18" s="29" t="n">
        <v>-0</v>
      </c>
      <c r="AD18" s="29" t="n">
        <v>-0</v>
      </c>
      <c r="AE18" s="29" t="n">
        <v>-0</v>
      </c>
    </row>
    <row r="19">
      <c r="B19" s="24" t="inlineStr">
        <is>
          <t>Desembolsos de deuda</t>
        </is>
      </c>
      <c r="D19" s="29" t="n">
        <v>0</v>
      </c>
      <c r="E19" s="29" t="n">
        <v>0</v>
      </c>
      <c r="F19" s="29" t="n">
        <v>33313425.7095183</v>
      </c>
      <c r="G19" s="29" t="n">
        <v>297766908.2880813</v>
      </c>
      <c r="H19" s="29" t="n">
        <v>224366180.8307832</v>
      </c>
      <c r="I19" s="29" t="n">
        <v>0</v>
      </c>
      <c r="J19" s="29" t="n">
        <v>0</v>
      </c>
      <c r="K19" s="29" t="n">
        <v>0</v>
      </c>
      <c r="L19" s="29" t="n">
        <v>0</v>
      </c>
      <c r="M19" s="29" t="n">
        <v>0</v>
      </c>
      <c r="N19" s="29" t="n">
        <v>0</v>
      </c>
      <c r="O19" s="29" t="n">
        <v>0</v>
      </c>
      <c r="P19" s="29" t="n">
        <v>0</v>
      </c>
      <c r="Q19" s="29" t="n">
        <v>0</v>
      </c>
      <c r="R19" s="29" t="n">
        <v>0</v>
      </c>
      <c r="S19" s="29" t="n">
        <v>0</v>
      </c>
      <c r="T19" s="29" t="n">
        <v>0</v>
      </c>
      <c r="U19" s="29" t="n">
        <v>0</v>
      </c>
      <c r="V19" s="29" t="n">
        <v>0</v>
      </c>
      <c r="W19" s="29" t="n">
        <v>0</v>
      </c>
      <c r="X19" s="29" t="n">
        <v>0</v>
      </c>
      <c r="Y19" s="29" t="n">
        <v>0</v>
      </c>
      <c r="Z19" s="29" t="n">
        <v>0</v>
      </c>
      <c r="AA19" s="29" t="n">
        <v>0</v>
      </c>
      <c r="AB19" s="29" t="n">
        <v>0</v>
      </c>
      <c r="AC19" s="29" t="n">
        <v>0</v>
      </c>
      <c r="AD19" s="29" t="n">
        <v>0</v>
      </c>
      <c r="AE19" s="29" t="n">
        <v>0</v>
      </c>
    </row>
    <row r="20">
      <c r="B20" s="24" t="inlineStr">
        <is>
          <t>Intereses de construccion</t>
        </is>
      </c>
      <c r="D20" s="29" t="n">
        <v>0</v>
      </c>
      <c r="E20" s="29" t="n">
        <v>0</v>
      </c>
      <c r="F20" s="29" t="n">
        <v>-445040.344917296</v>
      </c>
      <c r="G20" s="29" t="n">
        <v>-18466490.73718739</v>
      </c>
      <c r="H20" s="29" t="n">
        <v>-44329472.01031574</v>
      </c>
      <c r="I20" s="29" t="n">
        <v>0</v>
      </c>
      <c r="J20" s="29" t="n">
        <v>0</v>
      </c>
      <c r="K20" s="29" t="n">
        <v>0</v>
      </c>
      <c r="L20" s="29" t="n">
        <v>0</v>
      </c>
      <c r="M20" s="29" t="n">
        <v>0</v>
      </c>
      <c r="N20" s="29" t="n">
        <v>0</v>
      </c>
      <c r="O20" s="29" t="n">
        <v>0</v>
      </c>
      <c r="P20" s="29" t="n">
        <v>0</v>
      </c>
      <c r="Q20" s="29" t="n">
        <v>0</v>
      </c>
      <c r="R20" s="29" t="n">
        <v>0</v>
      </c>
      <c r="S20" s="29" t="n">
        <v>0</v>
      </c>
      <c r="T20" s="29" t="n">
        <v>0</v>
      </c>
      <c r="U20" s="29" t="n">
        <v>0</v>
      </c>
      <c r="V20" s="29" t="n">
        <v>0</v>
      </c>
      <c r="W20" s="29" t="n">
        <v>0</v>
      </c>
      <c r="X20" s="29" t="n">
        <v>0</v>
      </c>
      <c r="Y20" s="29" t="n">
        <v>0</v>
      </c>
      <c r="Z20" s="29" t="n">
        <v>0</v>
      </c>
      <c r="AA20" s="29" t="n">
        <v>0</v>
      </c>
      <c r="AB20" s="29" t="n">
        <v>0</v>
      </c>
      <c r="AC20" s="29" t="n">
        <v>0</v>
      </c>
      <c r="AD20" s="29" t="n">
        <v>0</v>
      </c>
      <c r="AE20" s="29" t="n">
        <v>0</v>
      </c>
    </row>
    <row r="21">
      <c r="B21" s="24" t="inlineStr">
        <is>
          <t>Comisiones de construccion</t>
        </is>
      </c>
      <c r="D21" s="29" t="n">
        <v>0</v>
      </c>
      <c r="E21" s="29" t="n">
        <v>0</v>
      </c>
      <c r="F21" s="29" t="n">
        <v>-13839664.44502998</v>
      </c>
      <c r="G21" s="29" t="n">
        <v>-3625060.866373982</v>
      </c>
      <c r="H21" s="29" t="n">
        <v>-922861.107822115</v>
      </c>
      <c r="I21" s="29" t="n">
        <v>0</v>
      </c>
      <c r="J21" s="29" t="n">
        <v>0</v>
      </c>
      <c r="K21" s="29" t="n">
        <v>0</v>
      </c>
      <c r="L21" s="29" t="n">
        <v>0</v>
      </c>
      <c r="M21" s="29" t="n">
        <v>0</v>
      </c>
      <c r="N21" s="29" t="n">
        <v>0</v>
      </c>
      <c r="O21" s="29" t="n">
        <v>0</v>
      </c>
      <c r="P21" s="29" t="n">
        <v>0</v>
      </c>
      <c r="Q21" s="29" t="n">
        <v>0</v>
      </c>
      <c r="R21" s="29" t="n">
        <v>0</v>
      </c>
      <c r="S21" s="29" t="n">
        <v>0</v>
      </c>
      <c r="T21" s="29" t="n">
        <v>0</v>
      </c>
      <c r="U21" s="29" t="n">
        <v>0</v>
      </c>
      <c r="V21" s="29" t="n">
        <v>0</v>
      </c>
      <c r="W21" s="29" t="n">
        <v>0</v>
      </c>
      <c r="X21" s="29" t="n">
        <v>0</v>
      </c>
      <c r="Y21" s="29" t="n">
        <v>0</v>
      </c>
      <c r="Z21" s="29" t="n">
        <v>0</v>
      </c>
      <c r="AA21" s="29" t="n">
        <v>0</v>
      </c>
      <c r="AB21" s="29" t="n">
        <v>0</v>
      </c>
      <c r="AC21" s="29" t="n">
        <v>0</v>
      </c>
      <c r="AD21" s="29" t="n">
        <v>0</v>
      </c>
      <c r="AE21" s="29" t="n">
        <v>0</v>
      </c>
    </row>
    <row r="22">
      <c r="B22" s="24" t="inlineStr">
        <is>
          <t>Intereses del periodo operativo</t>
        </is>
      </c>
      <c r="D22" s="29" t="n">
        <v>-0</v>
      </c>
      <c r="E22" s="29" t="n">
        <v>-0</v>
      </c>
      <c r="F22" s="29" t="n">
        <v>-0</v>
      </c>
      <c r="G22" s="29" t="n">
        <v>-0</v>
      </c>
      <c r="H22" s="29" t="n">
        <v>-0</v>
      </c>
      <c r="I22" s="29" t="n">
        <v>-55557475.67640835</v>
      </c>
      <c r="J22" s="29" t="n">
        <v>-55441185.42147122</v>
      </c>
      <c r="K22" s="29" t="n">
        <v>-54986341.10709107</v>
      </c>
      <c r="L22" s="29" t="n">
        <v>-54424282.95386311</v>
      </c>
      <c r="M22" s="29" t="n">
        <v>-53320041.35859491</v>
      </c>
      <c r="N22" s="29" t="n">
        <v>-51692943.24804065</v>
      </c>
      <c r="O22" s="29" t="n">
        <v>-49511828.70544913</v>
      </c>
      <c r="P22" s="29" t="n">
        <v>-46778918.21246134</v>
      </c>
      <c r="Q22" s="29" t="n">
        <v>-43435470.44641991</v>
      </c>
      <c r="R22" s="29" t="n">
        <v>-39393700.15808848</v>
      </c>
      <c r="S22" s="29" t="n">
        <v>-34554491.19012259</v>
      </c>
      <c r="T22" s="29" t="n">
        <v>-29019625.19938426</v>
      </c>
      <c r="U22" s="29" t="n">
        <v>-23092327.46217373</v>
      </c>
      <c r="V22" s="29" t="n">
        <v>-16415498.35179331</v>
      </c>
      <c r="W22" s="29" t="n">
        <v>-8822814.77331459</v>
      </c>
      <c r="X22" s="29" t="n">
        <v>-2013018.99696171</v>
      </c>
      <c r="Y22" s="29" t="n">
        <v>-0</v>
      </c>
      <c r="Z22" s="29" t="n">
        <v>-0</v>
      </c>
      <c r="AA22" s="29" t="n">
        <v>-0</v>
      </c>
      <c r="AB22" s="29" t="n">
        <v>-0</v>
      </c>
      <c r="AC22" s="29" t="n">
        <v>-0</v>
      </c>
      <c r="AD22" s="29" t="n">
        <v>-0</v>
      </c>
      <c r="AE22" s="29" t="n">
        <v>-0</v>
      </c>
    </row>
    <row r="23">
      <c r="B23" s="24" t="inlineStr">
        <is>
          <t>Amortizacion de deuda</t>
        </is>
      </c>
      <c r="D23" s="29" t="n">
        <v>-0</v>
      </c>
      <c r="E23" s="29" t="n">
        <v>-0</v>
      </c>
      <c r="F23" s="29" t="n">
        <v>-0</v>
      </c>
      <c r="G23" s="29" t="n">
        <v>-0</v>
      </c>
      <c r="H23" s="29" t="n">
        <v>-0</v>
      </c>
      <c r="I23" s="29" t="n">
        <v>-0</v>
      </c>
      <c r="J23" s="29" t="n">
        <v>-4650536.477902748</v>
      </c>
      <c r="K23" s="29" t="n">
        <v>-4237963.518343091</v>
      </c>
      <c r="L23" s="29" t="n">
        <v>-9763246.034811676</v>
      </c>
      <c r="M23" s="29" t="n">
        <v>-14869730.13293864</v>
      </c>
      <c r="N23" s="29" t="n">
        <v>-20459710.8633759</v>
      </c>
      <c r="O23" s="29" t="n">
        <v>-25845310.66429525</v>
      </c>
      <c r="P23" s="29" t="n">
        <v>-31755254.49005727</v>
      </c>
      <c r="Q23" s="29" t="n">
        <v>-38441276.78306635</v>
      </c>
      <c r="R23" s="29" t="n">
        <v>-46309663.11378018</v>
      </c>
      <c r="S23" s="29" t="n">
        <v>-54594688.47574195</v>
      </c>
      <c r="T23" s="29" t="n">
        <v>-57559470.22971985</v>
      </c>
      <c r="U23" s="29" t="n">
        <v>-64358771.46501629</v>
      </c>
      <c r="V23" s="29" t="n">
        <v>-73935202.18761033</v>
      </c>
      <c r="W23" s="29" t="n">
        <v>-81831632.56763791</v>
      </c>
      <c r="X23" s="29" t="n">
        <v>-26834057.82408531</v>
      </c>
      <c r="Y23" s="29" t="n">
        <v>-0</v>
      </c>
      <c r="Z23" s="29" t="n">
        <v>-0</v>
      </c>
      <c r="AA23" s="29" t="n">
        <v>-0</v>
      </c>
      <c r="AB23" s="29" t="n">
        <v>-0</v>
      </c>
      <c r="AC23" s="29" t="n">
        <v>-0</v>
      </c>
      <c r="AD23" s="29" t="n">
        <v>-0</v>
      </c>
      <c r="AE23" s="29" t="n">
        <v>-0</v>
      </c>
    </row>
    <row r="24">
      <c r="B24" s="24" t="inlineStr">
        <is>
          <t>Cuenta de reserva CRSD</t>
        </is>
      </c>
      <c r="D24" s="29" t="n">
        <v>-0</v>
      </c>
      <c r="E24" s="29" t="n">
        <v>-0</v>
      </c>
      <c r="F24" s="29" t="n">
        <v>-0</v>
      </c>
      <c r="G24" s="29" t="n">
        <v>-0</v>
      </c>
      <c r="H24" s="29" t="n">
        <v>-27778737.83820418</v>
      </c>
      <c r="I24" s="29" t="n">
        <v>-2267123.11148281</v>
      </c>
      <c r="J24" s="29" t="n">
        <v>433708.6369699053</v>
      </c>
      <c r="K24" s="29" t="n">
        <v>-2481612.181620311</v>
      </c>
      <c r="L24" s="29" t="n">
        <v>-2001121.251429383</v>
      </c>
      <c r="M24" s="29" t="n">
        <v>-1981441.3099415</v>
      </c>
      <c r="N24" s="29" t="n">
        <v>-1602242.629163913</v>
      </c>
      <c r="O24" s="29" t="n">
        <v>-1588516.666387118</v>
      </c>
      <c r="P24" s="29" t="n">
        <v>-1671287.263483822</v>
      </c>
      <c r="Q24" s="29" t="n">
        <v>-1913308.021191202</v>
      </c>
      <c r="R24" s="29" t="n">
        <v>-1722908.196997941</v>
      </c>
      <c r="S24" s="29" t="n">
        <v>1285042.118380211</v>
      </c>
      <c r="T24" s="29" t="n">
        <v>-436001.7490429506</v>
      </c>
      <c r="U24" s="29" t="n">
        <v>-1449800.806106813</v>
      </c>
      <c r="V24" s="29" t="n">
        <v>-151873.4007744268</v>
      </c>
      <c r="W24" s="29" t="n">
        <v>30903685.25995274</v>
      </c>
      <c r="X24" s="29" t="n">
        <v>14423538.41052351</v>
      </c>
      <c r="Y24" s="29" t="n">
        <v>-0</v>
      </c>
      <c r="Z24" s="29" t="n">
        <v>-0</v>
      </c>
      <c r="AA24" s="29" t="n">
        <v>-0</v>
      </c>
      <c r="AB24" s="29" t="n">
        <v>-0</v>
      </c>
      <c r="AC24" s="29" t="n">
        <v>-0</v>
      </c>
      <c r="AD24" s="29" t="n">
        <v>-0</v>
      </c>
      <c r="AE24" s="29" t="n">
        <v>-0</v>
      </c>
    </row>
    <row r="26">
      <c r="B26" s="19" t="inlineStr">
        <is>
          <t>Flujo de caja financiero</t>
        </is>
      </c>
      <c r="D26" s="26">
        <f>SUM(D7:D24)</f>
        <v/>
      </c>
      <c r="E26" s="26">
        <f>SUM(E7:E24)</f>
        <v/>
      </c>
      <c r="F26" s="26">
        <f>SUM(F7:F24)</f>
        <v/>
      </c>
      <c r="G26" s="26">
        <f>SUM(G7:G24)</f>
        <v/>
      </c>
      <c r="H26" s="26">
        <f>SUM(H7:H24)</f>
        <v/>
      </c>
      <c r="I26" s="26">
        <f>SUM(I7:I24)</f>
        <v/>
      </c>
      <c r="J26" s="26">
        <f>SUM(J7:J24)</f>
        <v/>
      </c>
      <c r="K26" s="26">
        <f>SUM(K7:K24)</f>
        <v/>
      </c>
      <c r="L26" s="26">
        <f>SUM(L7:L24)</f>
        <v/>
      </c>
      <c r="M26" s="26">
        <f>SUM(M7:M24)</f>
        <v/>
      </c>
      <c r="N26" s="26">
        <f>SUM(N7:N24)</f>
        <v/>
      </c>
      <c r="O26" s="26">
        <f>SUM(O7:O24)</f>
        <v/>
      </c>
      <c r="P26" s="26">
        <f>SUM(P7:P24)</f>
        <v/>
      </c>
      <c r="Q26" s="26">
        <f>SUM(Q7:Q24)</f>
        <v/>
      </c>
      <c r="R26" s="26">
        <f>SUM(R7:R24)</f>
        <v/>
      </c>
      <c r="S26" s="26">
        <f>SUM(S7:S24)</f>
        <v/>
      </c>
      <c r="T26" s="26">
        <f>SUM(T7:T24)</f>
        <v/>
      </c>
      <c r="U26" s="26">
        <f>SUM(U7:U24)</f>
        <v/>
      </c>
      <c r="V26" s="26">
        <f>SUM(V7:V24)</f>
        <v/>
      </c>
      <c r="W26" s="26">
        <f>SUM(W7:W24)</f>
        <v/>
      </c>
      <c r="X26" s="26">
        <f>SUM(X7:X24)</f>
        <v/>
      </c>
      <c r="Y26" s="26">
        <f>SUM(Y7:Y24)</f>
        <v/>
      </c>
      <c r="Z26" s="26">
        <f>SUM(Z7:Z24)</f>
        <v/>
      </c>
      <c r="AA26" s="26">
        <f>SUM(AA7:AA24)</f>
        <v/>
      </c>
      <c r="AB26" s="26">
        <f>SUM(AB7:AB24)</f>
        <v/>
      </c>
      <c r="AC26" s="26">
        <f>SUM(AC7:AC24)</f>
        <v/>
      </c>
      <c r="AD26" s="26">
        <f>SUM(AD7:AD24)</f>
        <v/>
      </c>
      <c r="AE26" s="26">
        <f>SUM(AE7:AE24)</f>
        <v/>
      </c>
    </row>
    <row r="27">
      <c r="B27" s="24" t="inlineStr">
        <is>
          <t>Periodo de descuento</t>
        </is>
      </c>
      <c r="D27" s="25" t="n">
        <v>0.1666666666666667</v>
      </c>
      <c r="E27" s="25" t="n">
        <v>1.166666666666667</v>
      </c>
      <c r="F27" s="25" t="n">
        <v>2.166666666666667</v>
      </c>
      <c r="G27" s="25" t="n">
        <v>3.166666666666667</v>
      </c>
      <c r="H27" s="25" t="n">
        <v>4.166666666666667</v>
      </c>
      <c r="I27" s="25" t="n">
        <v>5.166666666666667</v>
      </c>
      <c r="J27" s="25" t="n">
        <v>6.166666666666667</v>
      </c>
      <c r="K27" s="25" t="n">
        <v>7.166666666666667</v>
      </c>
      <c r="L27" s="25" t="n">
        <v>8.166666666666668</v>
      </c>
      <c r="M27" s="25" t="n">
        <v>9.166666666666668</v>
      </c>
      <c r="N27" s="25" t="n">
        <v>10.16666666666667</v>
      </c>
      <c r="O27" s="25" t="n">
        <v>11.16666666666667</v>
      </c>
      <c r="P27" s="25" t="n">
        <v>12.16666666666667</v>
      </c>
      <c r="Q27" s="25" t="n">
        <v>13.16666666666667</v>
      </c>
      <c r="R27" s="25" t="n">
        <v>14.16666666666667</v>
      </c>
      <c r="S27" s="25" t="n">
        <v>15.16666666666667</v>
      </c>
      <c r="T27" s="25" t="n">
        <v>16.16666666666667</v>
      </c>
      <c r="U27" s="25" t="n">
        <v>17.16666666666667</v>
      </c>
      <c r="V27" s="25" t="n">
        <v>18.16666666666667</v>
      </c>
      <c r="W27" s="25" t="n">
        <v>19.16666666666667</v>
      </c>
      <c r="X27" s="25" t="n">
        <v>20.16666666666667</v>
      </c>
      <c r="Y27" s="25" t="n">
        <v>21.16666666666667</v>
      </c>
      <c r="Z27" s="25" t="n">
        <v>22.16666666666667</v>
      </c>
      <c r="AA27" s="25" t="n">
        <v>23.16666666666667</v>
      </c>
      <c r="AB27" s="25" t="n">
        <v>24</v>
      </c>
      <c r="AC27" s="25" t="n">
        <v>24</v>
      </c>
      <c r="AD27" s="25" t="n">
        <v>24</v>
      </c>
      <c r="AE27" s="25" t="n">
        <v>24</v>
      </c>
    </row>
    <row r="29">
      <c r="B29" s="19" t="inlineStr">
        <is>
          <t>VAN del flujo de caja financiero</t>
        </is>
      </c>
      <c r="D29" s="30">
        <f>SUMPRODUCT(D26:AE26,1/(1+p_tir)^D27:AE27)</f>
        <v/>
      </c>
    </row>
    <row r="31">
      <c r="B31" s="24" t="inlineStr">
        <is>
          <t>Memoria: amortizacion del intangible (no es caja)</t>
        </is>
      </c>
      <c r="D31" s="29">
        <f>'Activo intangible'!D15</f>
        <v/>
      </c>
      <c r="E31" s="29">
        <f>'Activo intangible'!E15</f>
        <v/>
      </c>
      <c r="F31" s="29">
        <f>'Activo intangible'!F15</f>
        <v/>
      </c>
      <c r="G31" s="29">
        <f>'Activo intangible'!G15</f>
        <v/>
      </c>
      <c r="H31" s="29">
        <f>'Activo intangible'!H15</f>
        <v/>
      </c>
      <c r="I31" s="29">
        <f>'Activo intangible'!I15</f>
        <v/>
      </c>
      <c r="J31" s="29">
        <f>'Activo intangible'!J15</f>
        <v/>
      </c>
      <c r="K31" s="29">
        <f>'Activo intangible'!K15</f>
        <v/>
      </c>
      <c r="L31" s="29">
        <f>'Activo intangible'!L15</f>
        <v/>
      </c>
      <c r="M31" s="29">
        <f>'Activo intangible'!M15</f>
        <v/>
      </c>
      <c r="N31" s="29">
        <f>'Activo intangible'!N15</f>
        <v/>
      </c>
      <c r="O31" s="29">
        <f>'Activo intangible'!O15</f>
        <v/>
      </c>
      <c r="P31" s="29">
        <f>'Activo intangible'!P15</f>
        <v/>
      </c>
      <c r="Q31" s="29">
        <f>'Activo intangible'!Q15</f>
        <v/>
      </c>
      <c r="R31" s="29">
        <f>'Activo intangible'!R15</f>
        <v/>
      </c>
      <c r="S31" s="29">
        <f>'Activo intangible'!S15</f>
        <v/>
      </c>
      <c r="T31" s="29">
        <f>'Activo intangible'!T15</f>
        <v/>
      </c>
      <c r="U31" s="29">
        <f>'Activo intangible'!U15</f>
        <v/>
      </c>
      <c r="V31" s="29">
        <f>'Activo intangible'!V15</f>
        <v/>
      </c>
      <c r="W31" s="29">
        <f>'Activo intangible'!W15</f>
        <v/>
      </c>
      <c r="X31" s="29">
        <f>'Activo intangible'!X15</f>
        <v/>
      </c>
      <c r="Y31" s="29">
        <f>'Activo intangible'!Y15</f>
        <v/>
      </c>
      <c r="Z31" s="29">
        <f>'Activo intangible'!Z15</f>
        <v/>
      </c>
      <c r="AA31" s="29">
        <f>'Activo intangible'!AA15</f>
        <v/>
      </c>
      <c r="AB31" s="29">
        <f>'Activo intangible'!AB15</f>
        <v/>
      </c>
      <c r="AC31" s="29">
        <f>'Activo intangible'!AC15</f>
        <v/>
      </c>
      <c r="AD31" s="29">
        <f>'Activo intangible'!AD15</f>
        <v/>
      </c>
      <c r="AE31" s="29">
        <f>'Activo intangible'!AE15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E20"/>
  <sheetViews>
    <sheetView workbookViewId="0">
      <selection activeCell="A1" sqref="A1"/>
    </sheetView>
  </sheetViews>
  <sheetFormatPr baseColWidth="8" defaultRowHeight="15"/>
  <cols>
    <col width="42" customWidth="1" min="2" max="2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2">
      <c r="B2" s="1" t="inlineStr">
        <is>
          <t>Reparto de la tarifa</t>
        </is>
      </c>
    </row>
    <row r="3">
      <c r="B3" s="2" t="inlineStr">
        <is>
          <t>De lo que recauda la tarifa, cuanto paga la operacion y cuanto repaga la inversion. Las dos partes suman el ingreso.</t>
        </is>
      </c>
    </row>
    <row r="5">
      <c r="B5" s="23" t="inlineStr">
        <is>
          <t>Ano</t>
        </is>
      </c>
      <c r="C5" s="28" t="n"/>
      <c r="D5" s="16" t="n">
        <v>2025</v>
      </c>
      <c r="E5" s="16" t="n">
        <v>2026</v>
      </c>
      <c r="F5" s="16" t="n">
        <v>2027</v>
      </c>
      <c r="G5" s="16" t="n">
        <v>2028</v>
      </c>
      <c r="H5" s="16" t="n">
        <v>2029</v>
      </c>
      <c r="I5" s="16" t="n">
        <v>2030</v>
      </c>
      <c r="J5" s="16" t="n">
        <v>2031</v>
      </c>
      <c r="K5" s="16" t="n">
        <v>2032</v>
      </c>
      <c r="L5" s="16" t="n">
        <v>2033</v>
      </c>
      <c r="M5" s="16" t="n">
        <v>2034</v>
      </c>
      <c r="N5" s="16" t="n">
        <v>2035</v>
      </c>
      <c r="O5" s="16" t="n">
        <v>2036</v>
      </c>
      <c r="P5" s="16" t="n">
        <v>2037</v>
      </c>
      <c r="Q5" s="16" t="n">
        <v>2038</v>
      </c>
      <c r="R5" s="16" t="n">
        <v>2039</v>
      </c>
      <c r="S5" s="16" t="n">
        <v>2040</v>
      </c>
      <c r="T5" s="16" t="n">
        <v>2041</v>
      </c>
      <c r="U5" s="16" t="n">
        <v>2042</v>
      </c>
      <c r="V5" s="16" t="n">
        <v>2043</v>
      </c>
      <c r="W5" s="16" t="n">
        <v>2044</v>
      </c>
      <c r="X5" s="16" t="n">
        <v>2045</v>
      </c>
      <c r="Y5" s="16" t="n">
        <v>2046</v>
      </c>
      <c r="Z5" s="16" t="n">
        <v>2047</v>
      </c>
      <c r="AA5" s="16" t="n">
        <v>2048</v>
      </c>
      <c r="AB5" s="16" t="n">
        <v>2049</v>
      </c>
      <c r="AC5" s="16" t="n">
        <v>2050</v>
      </c>
      <c r="AD5" s="16" t="n">
        <v>2051</v>
      </c>
      <c r="AE5" s="16" t="n">
        <v>2052</v>
      </c>
    </row>
    <row r="7">
      <c r="B7" s="19" t="inlineStr">
        <is>
          <t>Ingreso tarifario</t>
        </is>
      </c>
      <c r="D7" s="29">
        <f>Flujo!D7</f>
        <v/>
      </c>
      <c r="E7" s="29">
        <f>Flujo!E7</f>
        <v/>
      </c>
      <c r="F7" s="29">
        <f>Flujo!F7</f>
        <v/>
      </c>
      <c r="G7" s="29">
        <f>Flujo!G7</f>
        <v/>
      </c>
      <c r="H7" s="29">
        <f>Flujo!H7</f>
        <v/>
      </c>
      <c r="I7" s="29">
        <f>Flujo!I7</f>
        <v/>
      </c>
      <c r="J7" s="29">
        <f>Flujo!J7</f>
        <v/>
      </c>
      <c r="K7" s="29">
        <f>Flujo!K7</f>
        <v/>
      </c>
      <c r="L7" s="29">
        <f>Flujo!L7</f>
        <v/>
      </c>
      <c r="M7" s="29">
        <f>Flujo!M7</f>
        <v/>
      </c>
      <c r="N7" s="29">
        <f>Flujo!N7</f>
        <v/>
      </c>
      <c r="O7" s="29">
        <f>Flujo!O7</f>
        <v/>
      </c>
      <c r="P7" s="29">
        <f>Flujo!P7</f>
        <v/>
      </c>
      <c r="Q7" s="29">
        <f>Flujo!Q7</f>
        <v/>
      </c>
      <c r="R7" s="29">
        <f>Flujo!R7</f>
        <v/>
      </c>
      <c r="S7" s="29">
        <f>Flujo!S7</f>
        <v/>
      </c>
      <c r="T7" s="29">
        <f>Flujo!T7</f>
        <v/>
      </c>
      <c r="U7" s="29">
        <f>Flujo!U7</f>
        <v/>
      </c>
      <c r="V7" s="29">
        <f>Flujo!V7</f>
        <v/>
      </c>
      <c r="W7" s="29">
        <f>Flujo!W7</f>
        <v/>
      </c>
      <c r="X7" s="29">
        <f>Flujo!X7</f>
        <v/>
      </c>
      <c r="Y7" s="29">
        <f>Flujo!Y7</f>
        <v/>
      </c>
      <c r="Z7" s="29">
        <f>Flujo!Z7</f>
        <v/>
      </c>
      <c r="AA7" s="29">
        <f>Flujo!AA7</f>
        <v/>
      </c>
      <c r="AB7" s="29">
        <f>Flujo!AB7</f>
        <v/>
      </c>
      <c r="AC7" s="29">
        <f>Flujo!AC7</f>
        <v/>
      </c>
      <c r="AD7" s="29">
        <f>Flujo!AD7</f>
        <v/>
      </c>
      <c r="AE7" s="29">
        <f>Flujo!AE7</f>
        <v/>
      </c>
    </row>
    <row r="8">
      <c r="B8" s="24" t="inlineStr">
        <is>
          <t>Costo de operacion y mantenimiento</t>
        </is>
      </c>
      <c r="D8" s="29">
        <f>-Flujo!D13</f>
        <v/>
      </c>
      <c r="E8" s="29">
        <f>-Flujo!E13</f>
        <v/>
      </c>
      <c r="F8" s="29">
        <f>-Flujo!F13</f>
        <v/>
      </c>
      <c r="G8" s="29">
        <f>-Flujo!G13</f>
        <v/>
      </c>
      <c r="H8" s="29">
        <f>-Flujo!H13</f>
        <v/>
      </c>
      <c r="I8" s="29">
        <f>-Flujo!I13</f>
        <v/>
      </c>
      <c r="J8" s="29">
        <f>-Flujo!J13</f>
        <v/>
      </c>
      <c r="K8" s="29">
        <f>-Flujo!K13</f>
        <v/>
      </c>
      <c r="L8" s="29">
        <f>-Flujo!L13</f>
        <v/>
      </c>
      <c r="M8" s="29">
        <f>-Flujo!M13</f>
        <v/>
      </c>
      <c r="N8" s="29">
        <f>-Flujo!N13</f>
        <v/>
      </c>
      <c r="O8" s="29">
        <f>-Flujo!O13</f>
        <v/>
      </c>
      <c r="P8" s="29">
        <f>-Flujo!P13</f>
        <v/>
      </c>
      <c r="Q8" s="29">
        <f>-Flujo!Q13</f>
        <v/>
      </c>
      <c r="R8" s="29">
        <f>-Flujo!R13</f>
        <v/>
      </c>
      <c r="S8" s="29">
        <f>-Flujo!S13</f>
        <v/>
      </c>
      <c r="T8" s="29">
        <f>-Flujo!T13</f>
        <v/>
      </c>
      <c r="U8" s="29">
        <f>-Flujo!U13</f>
        <v/>
      </c>
      <c r="V8" s="29">
        <f>-Flujo!V13</f>
        <v/>
      </c>
      <c r="W8" s="29">
        <f>-Flujo!W13</f>
        <v/>
      </c>
      <c r="X8" s="29">
        <f>-Flujo!X13</f>
        <v/>
      </c>
      <c r="Y8" s="29">
        <f>-Flujo!Y13</f>
        <v/>
      </c>
      <c r="Z8" s="29">
        <f>-Flujo!Z13</f>
        <v/>
      </c>
      <c r="AA8" s="29">
        <f>-Flujo!AA13</f>
        <v/>
      </c>
      <c r="AB8" s="29">
        <f>-Flujo!AB13</f>
        <v/>
      </c>
      <c r="AC8" s="29">
        <f>-Flujo!AC13</f>
        <v/>
      </c>
      <c r="AD8" s="29">
        <f>-Flujo!AD13</f>
        <v/>
      </c>
      <c r="AE8" s="29">
        <f>-Flujo!AE13</f>
        <v/>
      </c>
    </row>
    <row r="9">
      <c r="B9" s="24" t="inlineStr">
        <is>
          <t>Margen del operador</t>
        </is>
      </c>
      <c r="D9" s="29">
        <f>p_margen_om*D8</f>
        <v/>
      </c>
      <c r="E9" s="29">
        <f>p_margen_om*E8</f>
        <v/>
      </c>
      <c r="F9" s="29">
        <f>p_margen_om*F8</f>
        <v/>
      </c>
      <c r="G9" s="29">
        <f>p_margen_om*G8</f>
        <v/>
      </c>
      <c r="H9" s="29">
        <f>p_margen_om*H8</f>
        <v/>
      </c>
      <c r="I9" s="29">
        <f>p_margen_om*I8</f>
        <v/>
      </c>
      <c r="J9" s="29">
        <f>p_margen_om*J8</f>
        <v/>
      </c>
      <c r="K9" s="29">
        <f>p_margen_om*K8</f>
        <v/>
      </c>
      <c r="L9" s="29">
        <f>p_margen_om*L8</f>
        <v/>
      </c>
      <c r="M9" s="29">
        <f>p_margen_om*M8</f>
        <v/>
      </c>
      <c r="N9" s="29">
        <f>p_margen_om*N8</f>
        <v/>
      </c>
      <c r="O9" s="29">
        <f>p_margen_om*O8</f>
        <v/>
      </c>
      <c r="P9" s="29">
        <f>p_margen_om*P8</f>
        <v/>
      </c>
      <c r="Q9" s="29">
        <f>p_margen_om*Q8</f>
        <v/>
      </c>
      <c r="R9" s="29">
        <f>p_margen_om*R8</f>
        <v/>
      </c>
      <c r="S9" s="29">
        <f>p_margen_om*S8</f>
        <v/>
      </c>
      <c r="T9" s="29">
        <f>p_margen_om*T8</f>
        <v/>
      </c>
      <c r="U9" s="29">
        <f>p_margen_om*U8</f>
        <v/>
      </c>
      <c r="V9" s="29">
        <f>p_margen_om*V8</f>
        <v/>
      </c>
      <c r="W9" s="29">
        <f>p_margen_om*W8</f>
        <v/>
      </c>
      <c r="X9" s="29">
        <f>p_margen_om*X8</f>
        <v/>
      </c>
      <c r="Y9" s="29">
        <f>p_margen_om*Y8</f>
        <v/>
      </c>
      <c r="Z9" s="29">
        <f>p_margen_om*Z8</f>
        <v/>
      </c>
      <c r="AA9" s="29">
        <f>p_margen_om*AA8</f>
        <v/>
      </c>
      <c r="AB9" s="29">
        <f>p_margen_om*AB8</f>
        <v/>
      </c>
      <c r="AC9" s="29">
        <f>p_margen_om*AC8</f>
        <v/>
      </c>
      <c r="AD9" s="29">
        <f>p_margen_om*AD8</f>
        <v/>
      </c>
      <c r="AE9" s="29">
        <f>p_margen_om*AE8</f>
        <v/>
      </c>
    </row>
    <row r="10">
      <c r="B10" s="24" t="inlineStr">
        <is>
          <t>Operacion y mantenimiento</t>
        </is>
      </c>
      <c r="D10" s="29">
        <f>D8+D9</f>
        <v/>
      </c>
      <c r="E10" s="29">
        <f>E8+E9</f>
        <v/>
      </c>
      <c r="F10" s="29">
        <f>F8+F9</f>
        <v/>
      </c>
      <c r="G10" s="29">
        <f>G8+G9</f>
        <v/>
      </c>
      <c r="H10" s="29">
        <f>H8+H9</f>
        <v/>
      </c>
      <c r="I10" s="29">
        <f>I8+I9</f>
        <v/>
      </c>
      <c r="J10" s="29">
        <f>J8+J9</f>
        <v/>
      </c>
      <c r="K10" s="29">
        <f>K8+K9</f>
        <v/>
      </c>
      <c r="L10" s="29">
        <f>L8+L9</f>
        <v/>
      </c>
      <c r="M10" s="29">
        <f>M8+M9</f>
        <v/>
      </c>
      <c r="N10" s="29">
        <f>N8+N9</f>
        <v/>
      </c>
      <c r="O10" s="29">
        <f>O8+O9</f>
        <v/>
      </c>
      <c r="P10" s="29">
        <f>P8+P9</f>
        <v/>
      </c>
      <c r="Q10" s="29">
        <f>Q8+Q9</f>
        <v/>
      </c>
      <c r="R10" s="29">
        <f>R8+R9</f>
        <v/>
      </c>
      <c r="S10" s="29">
        <f>S8+S9</f>
        <v/>
      </c>
      <c r="T10" s="29">
        <f>T8+T9</f>
        <v/>
      </c>
      <c r="U10" s="29">
        <f>U8+U9</f>
        <v/>
      </c>
      <c r="V10" s="29">
        <f>V8+V9</f>
        <v/>
      </c>
      <c r="W10" s="29">
        <f>W8+W9</f>
        <v/>
      </c>
      <c r="X10" s="29">
        <f>X8+X9</f>
        <v/>
      </c>
      <c r="Y10" s="29">
        <f>Y8+Y9</f>
        <v/>
      </c>
      <c r="Z10" s="29">
        <f>Z8+Z9</f>
        <v/>
      </c>
      <c r="AA10" s="29">
        <f>AA8+AA9</f>
        <v/>
      </c>
      <c r="AB10" s="29">
        <f>AB8+AB9</f>
        <v/>
      </c>
      <c r="AC10" s="29">
        <f>AC8+AC9</f>
        <v/>
      </c>
      <c r="AD10" s="29">
        <f>AD8+AD9</f>
        <v/>
      </c>
      <c r="AE10" s="29">
        <f>AE8+AE9</f>
        <v/>
      </c>
    </row>
    <row r="11">
      <c r="B11" s="19" t="inlineStr">
        <is>
          <t>Disponible para repagar la inversion</t>
        </is>
      </c>
      <c r="D11" s="26">
        <f>D7-D10</f>
        <v/>
      </c>
      <c r="E11" s="26">
        <f>E7-E10</f>
        <v/>
      </c>
      <c r="F11" s="26">
        <f>F7-F10</f>
        <v/>
      </c>
      <c r="G11" s="26">
        <f>G7-G10</f>
        <v/>
      </c>
      <c r="H11" s="26">
        <f>H7-H10</f>
        <v/>
      </c>
      <c r="I11" s="26">
        <f>I7-I10</f>
        <v/>
      </c>
      <c r="J11" s="26">
        <f>J7-J10</f>
        <v/>
      </c>
      <c r="K11" s="26">
        <f>K7-K10</f>
        <v/>
      </c>
      <c r="L11" s="26">
        <f>L7-L10</f>
        <v/>
      </c>
      <c r="M11" s="26">
        <f>M7-M10</f>
        <v/>
      </c>
      <c r="N11" s="26">
        <f>N7-N10</f>
        <v/>
      </c>
      <c r="O11" s="26">
        <f>O7-O10</f>
        <v/>
      </c>
      <c r="P11" s="26">
        <f>P7-P10</f>
        <v/>
      </c>
      <c r="Q11" s="26">
        <f>Q7-Q10</f>
        <v/>
      </c>
      <c r="R11" s="26">
        <f>R7-R10</f>
        <v/>
      </c>
      <c r="S11" s="26">
        <f>S7-S10</f>
        <v/>
      </c>
      <c r="T11" s="26">
        <f>T7-T10</f>
        <v/>
      </c>
      <c r="U11" s="26">
        <f>U7-U10</f>
        <v/>
      </c>
      <c r="V11" s="26">
        <f>V7-V10</f>
        <v/>
      </c>
      <c r="W11" s="26">
        <f>W7-W10</f>
        <v/>
      </c>
      <c r="X11" s="26">
        <f>X7-X10</f>
        <v/>
      </c>
      <c r="Y11" s="26">
        <f>Y7-Y10</f>
        <v/>
      </c>
      <c r="Z11" s="26">
        <f>Z7-Z10</f>
        <v/>
      </c>
      <c r="AA11" s="26">
        <f>AA7-AA10</f>
        <v/>
      </c>
      <c r="AB11" s="26">
        <f>AB7-AB10</f>
        <v/>
      </c>
      <c r="AC11" s="26">
        <f>AC7-AC10</f>
        <v/>
      </c>
      <c r="AD11" s="26">
        <f>AD7-AD10</f>
        <v/>
      </c>
      <c r="AE11" s="26">
        <f>AE7-AE10</f>
        <v/>
      </c>
    </row>
    <row r="13">
      <c r="B13" s="19" t="inlineStr">
        <is>
          <t>VAN del ingreso tarifario</t>
        </is>
      </c>
      <c r="D13" s="31">
        <f>SUMPRODUCT($D$7:$AE$7,1/(1+p_tir)^Flujo!$D$27:$AE$27)</f>
        <v/>
      </c>
    </row>
    <row r="14">
      <c r="B14" s="19" t="inlineStr">
        <is>
          <t>VAN del costo de O&amp;M, sin margen</t>
        </is>
      </c>
      <c r="D14" s="31">
        <f>SUMPRODUCT($D$8:$AE$8,1/(1+p_tir)^Flujo!$D$27:$AE$27)</f>
        <v/>
      </c>
    </row>
    <row r="15">
      <c r="B15" s="19" t="inlineStr">
        <is>
          <t>VAN de la operacion, con margen</t>
        </is>
      </c>
      <c r="D15" s="31">
        <f>SUMPRODUCT($D$10:$AE$10,1/(1+p_tir)^Flujo!$D$27:$AE$27)</f>
        <v/>
      </c>
    </row>
    <row r="16">
      <c r="B16" s="19" t="inlineStr">
        <is>
          <t>VAN para la inversion</t>
        </is>
      </c>
      <c r="D16" s="31">
        <f>SUMPRODUCT($D$11:$AE$11,1/(1+p_tir)^Flujo!$D$27:$AE$27)</f>
        <v/>
      </c>
    </row>
    <row r="17">
      <c r="B17" s="19" t="inlineStr">
        <is>
          <t>Participacion de la operacion</t>
        </is>
      </c>
      <c r="D17" s="32">
        <f>$D$15/$D$13</f>
        <v/>
      </c>
    </row>
    <row r="18">
      <c r="B18" s="19" t="inlineStr">
        <is>
          <t>Participacion de la inversion</t>
        </is>
      </c>
      <c r="D18" s="32">
        <f>$D$16/$D$13</f>
        <v/>
      </c>
    </row>
    <row r="19">
      <c r="B19" s="19" t="inlineStr">
        <is>
          <t>Las dos partes menos el total, debe ser cero</t>
        </is>
      </c>
      <c r="D19" s="31">
        <f>$D$15+$D$16-$D$13</f>
        <v/>
      </c>
    </row>
    <row r="20">
      <c r="B20" s="19" t="inlineStr">
        <is>
          <t>Check del reparto</t>
        </is>
      </c>
      <c r="D20" s="33">
        <f>IF(ROUND($D$19,2)=0,"OK","ERROR")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2026-09-18T04:49:37Z</dcterms:created>
  <dcterms:modified xsi:type="dcterms:W3CDTF">2026-09-18T04:49:37Z</dcterms:modified>
</cp:coreProperties>
</file>