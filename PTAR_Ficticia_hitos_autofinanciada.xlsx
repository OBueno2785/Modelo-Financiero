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puts" sheetId="2" state="visible" r:id="rId2"/>
    <sheet name="Hitos" sheetId="3" state="visible" r:id="rId3"/>
    <sheet name="Activo intangible" sheetId="4" state="visible" r:id="rId4"/>
    <sheet name="Flujo" sheetId="5" state="visible" r:id="rId5"/>
    <sheet name="Reparto de la tarifa" sheetId="6" state="visible" r:id="rId6"/>
  </sheets>
  <definedNames>
    <definedName name="p_ke">Inputs!$D$6</definedName>
    <definedName name="p_kd">Inputs!$D$7</definedName>
    <definedName name="p_wacc">Inputs!$D$8</definedName>
    <definedName name="p_tir">Inputs!$D$9</definedName>
    <definedName name="p_rcsd">Inputs!$D$10</definedName>
    <definedName name="p_crsd">Inputs!$D$11</definedName>
    <definedName name="p_ir">Inputs!$D$12</definedName>
    <definedName name="p_pt">Inputs!$D$13</definedName>
    <definedName name="p_arr">Inputs!$D$14</definedName>
    <definedName name="p_ipm">Inputs!$D$15</definedName>
    <definedName name="p_fx">Inputs!$D$16</definedName>
    <definedName name="p_ref">Inputs!$D$17</definedName>
    <definedName name="p_precio">Inputs!$D$18</definedName>
    <definedName name="p_margen_om">Inputs!$D$19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%"/>
    <numFmt numFmtId="165" formatCode="0.0000"/>
    <numFmt numFmtId="166" formatCode="#,##0.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sz val="9"/>
    </font>
    <font>
      <b val="1"/>
      <sz val="9"/>
    </font>
    <font>
      <i val="1"/>
      <color rgb="006B7B7B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4B4B"/>
      </patternFill>
    </fill>
    <fill>
      <patternFill patternType="solid">
        <fgColor rgb="00F2F7F7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6" fontId="4" fillId="4" borderId="1" pivotButton="0" quotePrefix="0" xfId="0"/>
    <xf numFmtId="4" fontId="4" fillId="4" borderId="1" pivotButton="0" quotePrefix="0" xfId="0"/>
    <xf numFmtId="0" fontId="3" fillId="0" borderId="1" pivotButton="0" quotePrefix="0" xfId="0"/>
    <xf numFmtId="164" fontId="4" fillId="4" borderId="1" pivotButton="0" quotePrefix="0" xfId="0"/>
    <xf numFmtId="164" fontId="4" fillId="2" borderId="1" pivotButton="0" quotePrefix="0" xfId="0"/>
    <xf numFmtId="0" fontId="5" fillId="0" borderId="1" pivotButton="0" quotePrefix="0" xfId="0"/>
    <xf numFmtId="2" fontId="4" fillId="2" borderId="1" pivotButton="0" quotePrefix="0" xfId="0"/>
    <xf numFmtId="10" fontId="4" fillId="2" borderId="1" pivotButton="0" quotePrefix="0" xfId="0"/>
    <xf numFmtId="165" fontId="4" fillId="2" borderId="1" pivotButton="0" quotePrefix="0" xfId="0"/>
    <xf numFmtId="4" fontId="4" fillId="2" borderId="1" pivotButton="0" quotePrefix="0" xfId="0"/>
    <xf numFmtId="166" fontId="4" fillId="2" borderId="1" pivotButton="0" quotePrefix="0" xfId="0"/>
    <xf numFmtId="0" fontId="6" fillId="3" borderId="0" applyAlignment="1" pivotButton="0" quotePrefix="0" xfId="0">
      <alignment horizontal="center"/>
    </xf>
    <xf numFmtId="167" fontId="0" fillId="2" borderId="1" pivotButton="0" quotePrefix="0" xfId="0"/>
    <xf numFmtId="4" fontId="0" fillId="0" borderId="1" pivotButton="0" quotePrefix="0" xfId="0"/>
    <xf numFmtId="0" fontId="4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1" fontId="4" fillId="2" borderId="1" pivotButton="0" quotePrefix="0" xfId="0"/>
    <xf numFmtId="0" fontId="6" fillId="0" borderId="0" pivotButton="0" quotePrefix="0" xfId="0"/>
    <xf numFmtId="0" fontId="3" fillId="0" borderId="0" pivotButton="0" quotePrefix="0" xfId="0"/>
    <xf numFmtId="2" fontId="0" fillId="0" borderId="0" pivotButton="0" quotePrefix="0" xfId="0"/>
    <xf numFmtId="4" fontId="4" fillId="0" borderId="0" pivotButton="0" quotePrefix="0" xfId="0"/>
    <xf numFmtId="4" fontId="4" fillId="4" borderId="0" pivotButton="0" quotePrefix="0" xfId="0"/>
    <xf numFmtId="0" fontId="0" fillId="3" borderId="0" pivotButton="0" quotePrefix="0" xfId="0"/>
    <xf numFmtId="4" fontId="3" fillId="0" borderId="0" pivotButton="0" quotePrefix="0" xfId="0"/>
    <xf numFmtId="4" fontId="0" fillId="2" borderId="0" pivotButton="0" quotePrefix="0" xfId="0"/>
    <xf numFmtId="4" fontId="4" fillId="2" borderId="0" pivotButton="0" quotePrefix="0" xfId="0"/>
    <xf numFmtId="10" fontId="4" fillId="2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5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0" customWidth="1" min="5" max="5"/>
  </cols>
  <sheetData>
    <row r="2">
      <c r="B2" s="1" t="inlineStr">
        <is>
          <t>Resumen del modelo, APP autofinanciada por hitos</t>
        </is>
      </c>
    </row>
    <row r="3">
      <c r="B3" s="2" t="inlineStr">
        <is>
          <t>No hay PPDI ni PPDMO: el proyecto se paga con la tarifa al usuario.</t>
        </is>
      </c>
    </row>
    <row r="6">
      <c r="B6" s="3" t="inlineStr">
        <is>
          <t>Tarifa al usuario, S/ miles por kg DBO5</t>
        </is>
      </c>
      <c r="C6" s="4" t="n"/>
      <c r="D6" s="5">
        <f>p_precio</f>
        <v/>
      </c>
      <c r="E6" s="4" t="n"/>
    </row>
    <row r="7">
      <c r="B7" s="3" t="inlineStr">
        <is>
          <t>Referencia mensual de ingreso</t>
        </is>
      </c>
      <c r="C7" s="4" t="n"/>
      <c r="D7" s="6">
        <f>p_ref</f>
        <v/>
      </c>
      <c r="E7" s="4" t="n"/>
    </row>
    <row r="8">
      <c r="B8" s="3" t="inlineStr">
        <is>
          <t>Ingreso tarifario, primer ano de operacion</t>
        </is>
      </c>
      <c r="C8" s="4" t="n"/>
      <c r="D8" s="6" t="n">
        <v>30961.25151705301</v>
      </c>
      <c r="E8" s="4" t="n"/>
    </row>
    <row r="9">
      <c r="B9" s="3" t="inlineStr">
        <is>
          <t>Activo intangible al termino de obra</t>
        </is>
      </c>
      <c r="C9" s="4" t="n"/>
      <c r="D9" s="6">
        <f>'Activo intangible'!$D$8</f>
        <v/>
      </c>
      <c r="E9" s="4" t="n"/>
    </row>
    <row r="10">
      <c r="B10" s="3" t="inlineStr">
        <is>
          <t>Amortizacion lineal mensual</t>
        </is>
      </c>
      <c r="C10" s="4" t="n"/>
      <c r="D10" s="6">
        <f>'Activo intangible'!$D$10</f>
        <v/>
      </c>
      <c r="E10" s="4" t="n"/>
    </row>
    <row r="11">
      <c r="B11" s="3" t="inlineStr">
        <is>
          <t>Saldo final del intangible, debe ser cero</t>
        </is>
      </c>
      <c r="C11" s="4" t="n"/>
      <c r="D11" s="6">
        <f>'Activo intangible'!$AC$16</f>
        <v/>
      </c>
      <c r="E11" s="4" t="n"/>
    </row>
    <row r="12">
      <c r="B12" s="3" t="inlineStr">
        <is>
          <t>VAN financiero, debe ser cero</t>
        </is>
      </c>
      <c r="C12" s="4" t="n"/>
      <c r="D12" s="6">
        <f>Flujo!$D$29</f>
        <v/>
      </c>
      <c r="E12" s="4" t="n"/>
    </row>
    <row r="13">
      <c r="B13" s="7" t="inlineStr">
        <is>
          <t>Ke</t>
        </is>
      </c>
      <c r="C13" s="4" t="n"/>
      <c r="D13" s="8">
        <f>p_ke</f>
        <v/>
      </c>
      <c r="E13" s="4" t="n"/>
    </row>
    <row r="14">
      <c r="B14" s="7" t="inlineStr">
        <is>
          <t>Kd</t>
        </is>
      </c>
      <c r="C14" s="4" t="n"/>
      <c r="D14" s="8">
        <f>p_kd</f>
        <v/>
      </c>
      <c r="E14" s="4" t="n"/>
    </row>
    <row r="15">
      <c r="B15" s="7" t="inlineStr">
        <is>
          <t>WACC</t>
        </is>
      </c>
      <c r="C15" s="4" t="n"/>
      <c r="D15" s="8">
        <f>p_wacc</f>
        <v/>
      </c>
      <c r="E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2" customWidth="1" min="2" max="2"/>
    <col width="20" customWidth="1" min="4" max="4"/>
    <col width="46" customWidth="1" min="5" max="5"/>
  </cols>
  <sheetData>
    <row r="2">
      <c r="B2" s="1" t="inlineStr">
        <is>
          <t>Parametros del modelo</t>
        </is>
      </c>
    </row>
    <row r="3">
      <c r="B3" s="2" t="inlineStr">
        <is>
          <t>Las celdas en ambar son de entrada. Las dos ultimas las resuelve el cierre.</t>
        </is>
      </c>
    </row>
    <row r="6">
      <c r="B6" s="7" t="inlineStr">
        <is>
          <t>Ke, costo del patrimonio</t>
        </is>
      </c>
      <c r="C6" s="4" t="n"/>
      <c r="D6" s="9" t="n">
        <v>0.1262264856013662</v>
      </c>
      <c r="E6" s="10" t="inlineStr">
        <is>
          <t>CAPM en USD + riesgo pais + devaluacion</t>
        </is>
      </c>
    </row>
    <row r="7">
      <c r="B7" s="7" t="inlineStr">
        <is>
          <t>Kd, costo de la deuda</t>
        </is>
      </c>
      <c r="C7" s="4" t="n"/>
      <c r="D7" s="9" t="n">
        <v>0.1009295682936526</v>
      </c>
      <c r="E7" s="10" t="inlineStr">
        <is>
          <t>soberano a vida media + spread</t>
        </is>
      </c>
    </row>
    <row r="8">
      <c r="B8" s="7" t="inlineStr">
        <is>
          <t>WACC</t>
        </is>
      </c>
      <c r="C8" s="4" t="n"/>
      <c r="D8" s="9" t="n">
        <v>0.0973034785069435</v>
      </c>
      <c r="E8" s="10" t="inlineStr">
        <is>
          <t>despues de impuestos</t>
        </is>
      </c>
    </row>
    <row r="9">
      <c r="B9" s="7" t="inlineStr">
        <is>
          <t>TIR objetivo del cierre</t>
        </is>
      </c>
      <c r="C9" s="4" t="n"/>
      <c r="D9" s="9" t="n">
        <v>0.1262</v>
      </c>
      <c r="E9" s="10" t="inlineStr">
        <is>
          <t>Ke redondeado a 4 decimales, Control!M12</t>
        </is>
      </c>
    </row>
    <row r="10">
      <c r="B10" s="7" t="inlineStr">
        <is>
          <t>Cobertura minima, RCSD</t>
        </is>
      </c>
      <c r="C10" s="4" t="n"/>
      <c r="D10" s="11" t="n">
        <v>1.25</v>
      </c>
      <c r="E10" s="10" t="inlineStr">
        <is>
          <t>dimensiona la amortizacion</t>
        </is>
      </c>
    </row>
    <row r="11">
      <c r="B11" s="7" t="inlineStr">
        <is>
          <t>Cuenta de reserva, CRSD</t>
        </is>
      </c>
      <c r="C11" s="4" t="n"/>
      <c r="D11" s="12" t="n">
        <v>0.5</v>
      </c>
      <c r="E11" s="10" t="inlineStr">
        <is>
          <t>del servicio del ano siguiente</t>
        </is>
      </c>
    </row>
    <row r="12">
      <c r="B12" s="7" t="inlineStr">
        <is>
          <t>Impuesto a la Renta</t>
        </is>
      </c>
      <c r="C12" s="4" t="n"/>
      <c r="D12" s="12" t="n">
        <v>0.295</v>
      </c>
      <c r="E12" s="10" t="inlineStr"/>
    </row>
    <row r="13">
      <c r="B13" s="7" t="inlineStr">
        <is>
          <t>Participacion de trabajadores</t>
        </is>
      </c>
      <c r="C13" s="4" t="n"/>
      <c r="D13" s="12" t="n">
        <v>0.05</v>
      </c>
      <c r="E13" s="10" t="inlineStr"/>
    </row>
    <row r="14">
      <c r="B14" s="7" t="inlineStr">
        <is>
          <t>Arrastre de perdidas</t>
        </is>
      </c>
      <c r="C14" s="4" t="n"/>
      <c r="D14" s="12" t="n">
        <v>0.5</v>
      </c>
      <c r="E14" s="10" t="inlineStr">
        <is>
          <t>sistema B</t>
        </is>
      </c>
    </row>
    <row r="15">
      <c r="B15" s="7" t="inlineStr">
        <is>
          <t>IPM, reajuste</t>
        </is>
      </c>
      <c r="C15" s="4" t="n"/>
      <c r="D15" s="9" t="n">
        <v>0.0267</v>
      </c>
      <c r="E15" s="10" t="inlineStr">
        <is>
          <t>anual</t>
        </is>
      </c>
    </row>
    <row r="16">
      <c r="B16" s="7" t="inlineStr">
        <is>
          <t>Tipo de cambio</t>
        </is>
      </c>
      <c r="C16" s="4" t="n"/>
      <c r="D16" s="13" t="n">
        <v>0</v>
      </c>
      <c r="E16" s="10" t="inlineStr">
        <is>
          <t>solo entra por los reembolsos en dolares</t>
        </is>
      </c>
    </row>
    <row r="17">
      <c r="B17" s="7" t="inlineStr">
        <is>
          <t>PPDMO referencia mensual</t>
        </is>
      </c>
      <c r="C17" s="4" t="n"/>
      <c r="D17" s="14" t="n">
        <v>3109.214946630615</v>
      </c>
      <c r="E17" s="10" t="inlineStr">
        <is>
          <t>S/ - LA CIERRA Solver</t>
        </is>
      </c>
    </row>
    <row r="18">
      <c r="B18" s="7" t="inlineStr">
        <is>
          <t>Tarifa al usuario</t>
        </is>
      </c>
      <c r="C18" s="4" t="n"/>
      <c r="D18" s="15" t="n">
        <v>0.01168877799485194</v>
      </c>
      <c r="E18" s="10" t="inlineStr">
        <is>
          <t>S/ por kg DBO5, derivada de la referencia</t>
        </is>
      </c>
    </row>
    <row r="19">
      <c r="B19" s="7" t="inlineStr">
        <is>
          <t>Margen del operador</t>
        </is>
      </c>
      <c r="C19" s="4" t="n"/>
      <c r="D19" s="12" t="n">
        <v>0.15</v>
      </c>
      <c r="E19" s="10" t="inlineStr">
        <is>
          <t>sobre todo el costo de O&amp;M; aca no hay pata fija y 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42" customWidth="1" min="2" max="2"/>
    <col width="18" customWidth="1" min="3" max="3"/>
    <col width="24" customWidth="1" min="4" max="4"/>
  </cols>
  <sheetData>
    <row r="2">
      <c r="B2" s="1" t="inlineStr">
        <is>
          <t>Hitos funcionales</t>
        </is>
      </c>
    </row>
    <row r="3">
      <c r="B3" s="2" t="inlineStr">
        <is>
          <t>Sin PPDI los hitos solo reparten la inversion: no hay cuota que cobrar y no escalonan el inicio de la operacion.</t>
        </is>
      </c>
    </row>
    <row r="5">
      <c r="B5" s="16" t="inlineStr">
        <is>
          <t>Hito</t>
        </is>
      </c>
      <c r="C5" s="16" t="inlineStr">
        <is>
          <t>% del CAPEX</t>
        </is>
      </c>
      <c r="D5" s="16" t="inlineStr">
        <is>
          <t>Inversion del hito</t>
        </is>
      </c>
    </row>
    <row r="6">
      <c r="B6" s="3" t="inlineStr">
        <is>
          <t>Hito 1</t>
        </is>
      </c>
      <c r="C6" s="17" t="n">
        <v>0.45</v>
      </c>
      <c r="D6" s="18">
        <f>'Activo intangible'!$D$7*C6</f>
        <v/>
      </c>
    </row>
    <row r="7">
      <c r="B7" s="3" t="inlineStr">
        <is>
          <t>Hito 2</t>
        </is>
      </c>
      <c r="C7" s="17" t="n">
        <v>0.2</v>
      </c>
      <c r="D7" s="18">
        <f>'Activo intangible'!$D$7*C7</f>
        <v/>
      </c>
    </row>
    <row r="8">
      <c r="B8" s="3" t="inlineStr">
        <is>
          <t>Hito 3</t>
        </is>
      </c>
      <c r="C8" s="17" t="n">
        <v>0.2</v>
      </c>
      <c r="D8" s="18">
        <f>'Activo intangible'!$D$7*C8</f>
        <v/>
      </c>
    </row>
    <row r="9">
      <c r="B9" s="3" t="inlineStr">
        <is>
          <t>Hito 4</t>
        </is>
      </c>
      <c r="C9" s="17" t="n">
        <v>0.15</v>
      </c>
      <c r="D9" s="18">
        <f>'Activo intangible'!$D$7*C9</f>
        <v/>
      </c>
    </row>
    <row r="10">
      <c r="B10" s="19" t="inlineStr">
        <is>
          <t>Total</t>
        </is>
      </c>
      <c r="C10" s="20">
        <f>SUM(C6:C9)</f>
        <v/>
      </c>
      <c r="D10" s="21">
        <f>SUM(D6:D9)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C19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2">
      <c r="B2" s="1" t="inlineStr">
        <is>
          <t>Activo intangible de la concesion</t>
        </is>
      </c>
    </row>
    <row r="3">
      <c r="B3" s="2" t="inlineStr">
        <is>
          <t>CINIIF 12 p.17 y p.22. La amortizacion es gasto deducible y NO es caja.</t>
        </is>
      </c>
    </row>
    <row r="6">
      <c r="B6" s="3" t="inlineStr">
        <is>
          <t>Inversion capitalizada</t>
        </is>
      </c>
      <c r="C6" s="4" t="n"/>
      <c r="D6" s="14" t="n">
        <v>212556.2770304917</v>
      </c>
      <c r="E6" s="10" t="inlineStr">
        <is>
          <t>CAPEX, otros del periodo D+C+PM y comisiones</t>
        </is>
      </c>
    </row>
    <row r="7">
      <c r="B7" s="3" t="inlineStr">
        <is>
          <t>Intereses capitalizados</t>
        </is>
      </c>
      <c r="C7" s="4" t="n"/>
      <c r="D7" s="14" t="n">
        <v>16738.22777443175</v>
      </c>
      <c r="E7" s="10" t="inlineStr">
        <is>
          <t>solo los del periodo de obra, NIC 23 via CINIIF 12 p.22</t>
        </is>
      </c>
    </row>
    <row r="8">
      <c r="B8" s="3" t="inlineStr">
        <is>
          <t>Activo intangible al termino de obra</t>
        </is>
      </c>
      <c r="C8" s="4" t="n"/>
      <c r="D8" s="6">
        <f>$D$6+$D$7</f>
        <v/>
      </c>
      <c r="E8" s="10" t="inlineStr"/>
    </row>
    <row r="9">
      <c r="B9" s="3" t="inlineStr">
        <is>
          <t>Meses de operacion</t>
        </is>
      </c>
      <c r="C9" s="4" t="n"/>
      <c r="D9" s="22" t="n">
        <v>240</v>
      </c>
      <c r="E9" s="10" t="inlineStr"/>
    </row>
    <row r="10">
      <c r="B10" s="3" t="inlineStr">
        <is>
          <t>Amortizacion lineal mensual</t>
        </is>
      </c>
      <c r="C10" s="4" t="n"/>
      <c r="D10" s="6">
        <f>$D$8/$D$9</f>
        <v/>
      </c>
      <c r="E10" s="10" t="inlineStr"/>
    </row>
    <row r="13">
      <c r="B13" s="23" t="inlineStr">
        <is>
          <t>Ano</t>
        </is>
      </c>
      <c r="D13" s="16" t="n">
        <v>2027</v>
      </c>
      <c r="E13" s="16" t="n">
        <v>2028</v>
      </c>
      <c r="F13" s="16" t="n">
        <v>2029</v>
      </c>
      <c r="G13" s="16" t="n">
        <v>2030</v>
      </c>
      <c r="H13" s="16" t="n">
        <v>2031</v>
      </c>
      <c r="I13" s="16" t="n">
        <v>2032</v>
      </c>
      <c r="J13" s="16" t="n">
        <v>2033</v>
      </c>
      <c r="K13" s="16" t="n">
        <v>2034</v>
      </c>
      <c r="L13" s="16" t="n">
        <v>2035</v>
      </c>
      <c r="M13" s="16" t="n">
        <v>2036</v>
      </c>
      <c r="N13" s="16" t="n">
        <v>2037</v>
      </c>
      <c r="O13" s="16" t="n">
        <v>2038</v>
      </c>
      <c r="P13" s="16" t="n">
        <v>2039</v>
      </c>
      <c r="Q13" s="16" t="n">
        <v>2040</v>
      </c>
      <c r="R13" s="16" t="n">
        <v>2041</v>
      </c>
      <c r="S13" s="16" t="n">
        <v>2042</v>
      </c>
      <c r="T13" s="16" t="n">
        <v>2043</v>
      </c>
      <c r="U13" s="16" t="n">
        <v>2044</v>
      </c>
      <c r="V13" s="16" t="n">
        <v>2045</v>
      </c>
      <c r="W13" s="16" t="n">
        <v>2046</v>
      </c>
      <c r="X13" s="16" t="n">
        <v>2047</v>
      </c>
      <c r="Y13" s="16" t="n">
        <v>2048</v>
      </c>
      <c r="Z13" s="16" t="n">
        <v>2049</v>
      </c>
      <c r="AA13" s="16" t="n">
        <v>2050</v>
      </c>
      <c r="AB13" s="16" t="n">
        <v>2051</v>
      </c>
      <c r="AC13" s="16" t="n">
        <v>2052</v>
      </c>
    </row>
    <row r="14">
      <c r="B14" s="24" t="inlineStr">
        <is>
          <t>Meses de operacion del ano</t>
        </is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9</v>
      </c>
      <c r="I14" s="25" t="n">
        <v>12</v>
      </c>
      <c r="J14" s="25" t="n">
        <v>12</v>
      </c>
      <c r="K14" s="25" t="n">
        <v>12</v>
      </c>
      <c r="L14" s="25" t="n">
        <v>12</v>
      </c>
      <c r="M14" s="25" t="n">
        <v>12</v>
      </c>
      <c r="N14" s="25" t="n">
        <v>12</v>
      </c>
      <c r="O14" s="25" t="n">
        <v>12</v>
      </c>
      <c r="P14" s="25" t="n">
        <v>12</v>
      </c>
      <c r="Q14" s="25" t="n">
        <v>12</v>
      </c>
      <c r="R14" s="25" t="n">
        <v>12</v>
      </c>
      <c r="S14" s="25" t="n">
        <v>12</v>
      </c>
      <c r="T14" s="25" t="n">
        <v>12</v>
      </c>
      <c r="U14" s="25" t="n">
        <v>12</v>
      </c>
      <c r="V14" s="25" t="n">
        <v>12</v>
      </c>
      <c r="W14" s="25" t="n">
        <v>12</v>
      </c>
      <c r="X14" s="25" t="n">
        <v>12</v>
      </c>
      <c r="Y14" s="25" t="n">
        <v>12</v>
      </c>
      <c r="Z14" s="25" t="n">
        <v>12</v>
      </c>
      <c r="AA14" s="25" t="n">
        <v>12</v>
      </c>
      <c r="AB14" s="25" t="n">
        <v>3</v>
      </c>
      <c r="AC14" s="25" t="n">
        <v>0</v>
      </c>
    </row>
    <row r="15">
      <c r="B15" s="19" t="inlineStr">
        <is>
          <t>Amortizacion del intangible</t>
        </is>
      </c>
      <c r="D15" s="26">
        <f>$D$10*D14</f>
        <v/>
      </c>
      <c r="E15" s="26">
        <f>$D$10*E14</f>
        <v/>
      </c>
      <c r="F15" s="26">
        <f>$D$10*F14</f>
        <v/>
      </c>
      <c r="G15" s="26">
        <f>$D$10*G14</f>
        <v/>
      </c>
      <c r="H15" s="26">
        <f>$D$10*H14</f>
        <v/>
      </c>
      <c r="I15" s="26">
        <f>$D$10*I14</f>
        <v/>
      </c>
      <c r="J15" s="26">
        <f>$D$10*J14</f>
        <v/>
      </c>
      <c r="K15" s="26">
        <f>$D$10*K14</f>
        <v/>
      </c>
      <c r="L15" s="26">
        <f>$D$10*L14</f>
        <v/>
      </c>
      <c r="M15" s="26">
        <f>$D$10*M14</f>
        <v/>
      </c>
      <c r="N15" s="26">
        <f>$D$10*N14</f>
        <v/>
      </c>
      <c r="O15" s="26">
        <f>$D$10*O14</f>
        <v/>
      </c>
      <c r="P15" s="26">
        <f>$D$10*P14</f>
        <v/>
      </c>
      <c r="Q15" s="26">
        <f>$D$10*Q14</f>
        <v/>
      </c>
      <c r="R15" s="26">
        <f>$D$10*R14</f>
        <v/>
      </c>
      <c r="S15" s="26">
        <f>$D$10*S14</f>
        <v/>
      </c>
      <c r="T15" s="26">
        <f>$D$10*T14</f>
        <v/>
      </c>
      <c r="U15" s="26">
        <f>$D$10*U14</f>
        <v/>
      </c>
      <c r="V15" s="26">
        <f>$D$10*V14</f>
        <v/>
      </c>
      <c r="W15" s="26">
        <f>$D$10*W14</f>
        <v/>
      </c>
      <c r="X15" s="26">
        <f>$D$10*X14</f>
        <v/>
      </c>
      <c r="Y15" s="26">
        <f>$D$10*Y14</f>
        <v/>
      </c>
      <c r="Z15" s="26">
        <f>$D$10*Z14</f>
        <v/>
      </c>
      <c r="AA15" s="26">
        <f>$D$10*AA14</f>
        <v/>
      </c>
      <c r="AB15" s="26">
        <f>$D$10*AB14</f>
        <v/>
      </c>
      <c r="AC15" s="26">
        <f>$D$10*AC14</f>
        <v/>
      </c>
    </row>
    <row r="16">
      <c r="B16" s="19" t="inlineStr">
        <is>
          <t>Saldo del intangible</t>
        </is>
      </c>
      <c r="D16" s="26">
        <f>$D$8-D15</f>
        <v/>
      </c>
      <c r="E16" s="26">
        <f>D16-E15</f>
        <v/>
      </c>
      <c r="F16" s="26">
        <f>E16-F15</f>
        <v/>
      </c>
      <c r="G16" s="26">
        <f>F16-G15</f>
        <v/>
      </c>
      <c r="H16" s="26">
        <f>G16-H15</f>
        <v/>
      </c>
      <c r="I16" s="26">
        <f>H16-I15</f>
        <v/>
      </c>
      <c r="J16" s="26">
        <f>I16-J15</f>
        <v/>
      </c>
      <c r="K16" s="26">
        <f>J16-K15</f>
        <v/>
      </c>
      <c r="L16" s="26">
        <f>K16-L15</f>
        <v/>
      </c>
      <c r="M16" s="26">
        <f>L16-M15</f>
        <v/>
      </c>
      <c r="N16" s="26">
        <f>M16-N15</f>
        <v/>
      </c>
      <c r="O16" s="26">
        <f>N16-O15</f>
        <v/>
      </c>
      <c r="P16" s="26">
        <f>O16-P15</f>
        <v/>
      </c>
      <c r="Q16" s="26">
        <f>P16-Q15</f>
        <v/>
      </c>
      <c r="R16" s="26">
        <f>Q16-R15</f>
        <v/>
      </c>
      <c r="S16" s="26">
        <f>R16-S15</f>
        <v/>
      </c>
      <c r="T16" s="26">
        <f>S16-T15</f>
        <v/>
      </c>
      <c r="U16" s="26">
        <f>T16-U15</f>
        <v/>
      </c>
      <c r="V16" s="26">
        <f>U16-V15</f>
        <v/>
      </c>
      <c r="W16" s="26">
        <f>V16-W15</f>
        <v/>
      </c>
      <c r="X16" s="26">
        <f>W16-X15</f>
        <v/>
      </c>
      <c r="Y16" s="26">
        <f>X16-Y15</f>
        <v/>
      </c>
      <c r="Z16" s="26">
        <f>Y16-Z15</f>
        <v/>
      </c>
      <c r="AA16" s="26">
        <f>Z16-AA15</f>
        <v/>
      </c>
      <c r="AB16" s="26">
        <f>AA16-AB15</f>
        <v/>
      </c>
      <c r="AC16" s="26">
        <f>AB16-AC15</f>
        <v/>
      </c>
    </row>
    <row r="18">
      <c r="B18" s="19" t="inlineStr">
        <is>
          <t>Amortizacion acumulada</t>
        </is>
      </c>
      <c r="D18" s="27">
        <f>SUM($D$15:$AC$15)</f>
        <v/>
      </c>
    </row>
    <row r="19">
      <c r="B19" s="19" t="inlineStr">
        <is>
          <t>Saldo final, debe ser cero</t>
        </is>
      </c>
      <c r="D19" s="27">
        <f>$AC$16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C31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2">
      <c r="B2" s="1" t="inlineStr">
        <is>
          <t>Flujo de caja anual</t>
        </is>
      </c>
    </row>
    <row r="3">
      <c r="B3" s="2" t="inlineStr">
        <is>
          <t>El VAN de la ultima fila es la celda que Solver lleva a cero.</t>
        </is>
      </c>
    </row>
    <row r="5">
      <c r="B5" s="23" t="inlineStr">
        <is>
          <t>Ano</t>
        </is>
      </c>
      <c r="C5" s="28" t="n"/>
      <c r="D5" s="16" t="n">
        <v>2027</v>
      </c>
      <c r="E5" s="16" t="n">
        <v>2028</v>
      </c>
      <c r="F5" s="16" t="n">
        <v>2029</v>
      </c>
      <c r="G5" s="16" t="n">
        <v>2030</v>
      </c>
      <c r="H5" s="16" t="n">
        <v>2031</v>
      </c>
      <c r="I5" s="16" t="n">
        <v>2032</v>
      </c>
      <c r="J5" s="16" t="n">
        <v>2033</v>
      </c>
      <c r="K5" s="16" t="n">
        <v>2034</v>
      </c>
      <c r="L5" s="16" t="n">
        <v>2035</v>
      </c>
      <c r="M5" s="16" t="n">
        <v>2036</v>
      </c>
      <c r="N5" s="16" t="n">
        <v>2037</v>
      </c>
      <c r="O5" s="16" t="n">
        <v>2038</v>
      </c>
      <c r="P5" s="16" t="n">
        <v>2039</v>
      </c>
      <c r="Q5" s="16" t="n">
        <v>2040</v>
      </c>
      <c r="R5" s="16" t="n">
        <v>2041</v>
      </c>
      <c r="S5" s="16" t="n">
        <v>2042</v>
      </c>
      <c r="T5" s="16" t="n">
        <v>2043</v>
      </c>
      <c r="U5" s="16" t="n">
        <v>2044</v>
      </c>
      <c r="V5" s="16" t="n">
        <v>2045</v>
      </c>
      <c r="W5" s="16" t="n">
        <v>2046</v>
      </c>
      <c r="X5" s="16" t="n">
        <v>2047</v>
      </c>
      <c r="Y5" s="16" t="n">
        <v>2048</v>
      </c>
      <c r="Z5" s="16" t="n">
        <v>2049</v>
      </c>
      <c r="AA5" s="16" t="n">
        <v>2050</v>
      </c>
      <c r="AB5" s="16" t="n">
        <v>2051</v>
      </c>
      <c r="AC5" s="16" t="n">
        <v>2052</v>
      </c>
    </row>
    <row r="7">
      <c r="B7" s="24" t="inlineStr">
        <is>
          <t>Ingreso tarifario al usuario</t>
        </is>
      </c>
      <c r="D7" s="29">
        <f>p_ref*0.0</f>
        <v/>
      </c>
      <c r="E7" s="29">
        <f>p_ref*0.0</f>
        <v/>
      </c>
      <c r="F7" s="29">
        <f>p_ref*0.0</f>
        <v/>
      </c>
      <c r="G7" s="29">
        <f>p_ref*0.0</f>
        <v/>
      </c>
      <c r="H7" s="29">
        <f>p_ref*9.9579</f>
        <v/>
      </c>
      <c r="I7" s="29">
        <f>p_ref*13.744518480000002</f>
        <v/>
      </c>
      <c r="J7" s="29">
        <f>p_ref*14.30081908992</f>
        <v/>
      </c>
      <c r="K7" s="29">
        <f>p_ref*14.880690528795517</f>
        <v/>
      </c>
      <c r="L7" s="29">
        <f>p_ref*15.445243318387915</f>
        <v/>
      </c>
      <c r="M7" s="29">
        <f>p_ref*16.030840588540457</f>
        <v/>
      </c>
      <c r="N7" s="29">
        <f>p_ref*16.638225864607215</f>
        <v/>
      </c>
      <c r="O7" s="29">
        <f>p_ref*17.26818551405517</f>
        <v/>
      </c>
      <c r="P7" s="29">
        <f>p_ref*17.921550555133035</f>
        <v/>
      </c>
      <c r="Q7" s="29">
        <f>p_ref*18.64692705728342</f>
        <v/>
      </c>
      <c r="R7" s="29">
        <f>p_ref*19.402995712438283</f>
        <v/>
      </c>
      <c r="S7" s="29">
        <f>p_ref*20.139201087606008</f>
        <v/>
      </c>
      <c r="T7" s="29">
        <f>p_ref*20.902801117067543</f>
        <v/>
      </c>
      <c r="U7" s="29">
        <f>p_ref*21.69476607654472</f>
        <v/>
      </c>
      <c r="V7" s="29">
        <f>p_ref*22.516141102493965</f>
        <v/>
      </c>
      <c r="W7" s="29">
        <f>p_ref*23.36802576972516</f>
        <v/>
      </c>
      <c r="X7" s="29">
        <f>p_ref*24.31383340783509</f>
        <v/>
      </c>
      <c r="Y7" s="29">
        <f>p_ref*25.299723714425618</f>
        <v/>
      </c>
      <c r="Z7" s="29">
        <f>p_ref*26.25965211526544</f>
        <v/>
      </c>
      <c r="AA7" s="29">
        <f>p_ref*27.255282600663655</f>
        <v/>
      </c>
      <c r="AB7" s="29">
        <f>p_ref*6.98244754421381</f>
        <v/>
      </c>
      <c r="AC7" s="29">
        <f>p_ref*0.0</f>
        <v/>
      </c>
    </row>
    <row r="8">
      <c r="B8" s="24" t="inlineStr">
        <is>
          <t>Pago por Obras</t>
        </is>
      </c>
      <c r="D8" s="29" t="n">
        <v>0</v>
      </c>
      <c r="E8" s="29" t="n">
        <v>0</v>
      </c>
      <c r="F8" s="29" t="n">
        <v>0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0</v>
      </c>
      <c r="N8" s="29" t="n">
        <v>0</v>
      </c>
      <c r="O8" s="29" t="n">
        <v>0</v>
      </c>
      <c r="P8" s="29" t="n">
        <v>0</v>
      </c>
      <c r="Q8" s="29" t="n">
        <v>0</v>
      </c>
      <c r="R8" s="29" t="n">
        <v>0</v>
      </c>
      <c r="S8" s="29" t="n">
        <v>0</v>
      </c>
      <c r="T8" s="29" t="n">
        <v>0</v>
      </c>
      <c r="U8" s="29" t="n">
        <v>0</v>
      </c>
      <c r="V8" s="29" t="n">
        <v>0</v>
      </c>
      <c r="W8" s="29" t="n">
        <v>0</v>
      </c>
      <c r="X8" s="29" t="n">
        <v>0</v>
      </c>
      <c r="Y8" s="29" t="n">
        <v>0</v>
      </c>
      <c r="Z8" s="29" t="n">
        <v>0</v>
      </c>
      <c r="AA8" s="29" t="n">
        <v>0</v>
      </c>
      <c r="AB8" s="29" t="n">
        <v>0</v>
      </c>
      <c r="AC8" s="29" t="n">
        <v>0</v>
      </c>
    </row>
    <row r="9">
      <c r="B9" s="24" t="inlineStr">
        <is>
          <t>CAPEX</t>
        </is>
      </c>
      <c r="D9" s="29" t="n">
        <v>-4767.215973024759</v>
      </c>
      <c r="E9" s="29" t="n">
        <v>-34643.06794160401</v>
      </c>
      <c r="F9" s="29" t="n">
        <v>-82277.84878561215</v>
      </c>
      <c r="G9" s="29" t="n">
        <v>-68292.30382049685</v>
      </c>
      <c r="H9" s="29" t="n">
        <v>-10758.6323290776</v>
      </c>
      <c r="I9" s="29" t="n">
        <v>-0</v>
      </c>
      <c r="J9" s="29" t="n">
        <v>-0</v>
      </c>
      <c r="K9" s="29" t="n">
        <v>-0</v>
      </c>
      <c r="L9" s="29" t="n">
        <v>-0</v>
      </c>
      <c r="M9" s="29" t="n">
        <v>-0</v>
      </c>
      <c r="N9" s="29" t="n">
        <v>-0</v>
      </c>
      <c r="O9" s="29" t="n">
        <v>-0</v>
      </c>
      <c r="P9" s="29" t="n">
        <v>-0</v>
      </c>
      <c r="Q9" s="29" t="n">
        <v>-0</v>
      </c>
      <c r="R9" s="29" t="n">
        <v>-0</v>
      </c>
      <c r="S9" s="29" t="n">
        <v>-0</v>
      </c>
      <c r="T9" s="29" t="n">
        <v>-0</v>
      </c>
      <c r="U9" s="29" t="n">
        <v>-0</v>
      </c>
      <c r="V9" s="29" t="n">
        <v>-0</v>
      </c>
      <c r="W9" s="29" t="n">
        <v>-0</v>
      </c>
      <c r="X9" s="29" t="n">
        <v>-0</v>
      </c>
      <c r="Y9" s="29" t="n">
        <v>-0</v>
      </c>
      <c r="Z9" s="29" t="n">
        <v>-0</v>
      </c>
      <c r="AA9" s="29" t="n">
        <v>-0</v>
      </c>
      <c r="AB9" s="29" t="n">
        <v>-0</v>
      </c>
      <c r="AC9" s="29" t="n">
        <v>-0</v>
      </c>
    </row>
    <row r="10">
      <c r="B10" s="24" t="inlineStr">
        <is>
          <t>Otros costos del periodo D+C+PM</t>
        </is>
      </c>
      <c r="D10" s="29" t="n">
        <v>-6232.27613886055</v>
      </c>
      <c r="E10" s="29" t="n">
        <v>-773.716941166484</v>
      </c>
      <c r="F10" s="29" t="n">
        <v>-0</v>
      </c>
      <c r="G10" s="29" t="n">
        <v>-0</v>
      </c>
      <c r="H10" s="29" t="n">
        <v>-0</v>
      </c>
      <c r="I10" s="29" t="n">
        <v>-0</v>
      </c>
      <c r="J10" s="29" t="n">
        <v>-0</v>
      </c>
      <c r="K10" s="29" t="n">
        <v>-0</v>
      </c>
      <c r="L10" s="29" t="n">
        <v>-0</v>
      </c>
      <c r="M10" s="29" t="n">
        <v>-0</v>
      </c>
      <c r="N10" s="29" t="n">
        <v>-0</v>
      </c>
      <c r="O10" s="29" t="n">
        <v>-0</v>
      </c>
      <c r="P10" s="29" t="n">
        <v>-0</v>
      </c>
      <c r="Q10" s="29" t="n">
        <v>-0</v>
      </c>
      <c r="R10" s="29" t="n">
        <v>-0</v>
      </c>
      <c r="S10" s="29" t="n">
        <v>-0</v>
      </c>
      <c r="T10" s="29" t="n">
        <v>-0</v>
      </c>
      <c r="U10" s="29" t="n">
        <v>-0</v>
      </c>
      <c r="V10" s="29" t="n">
        <v>-0</v>
      </c>
      <c r="W10" s="29" t="n">
        <v>-0</v>
      </c>
      <c r="X10" s="29" t="n">
        <v>-0</v>
      </c>
      <c r="Y10" s="29" t="n">
        <v>-0</v>
      </c>
      <c r="Z10" s="29" t="n">
        <v>-0</v>
      </c>
      <c r="AA10" s="29" t="n">
        <v>-0</v>
      </c>
      <c r="AB10" s="29" t="n">
        <v>-0</v>
      </c>
      <c r="AC10" s="29" t="n">
        <v>-0</v>
      </c>
    </row>
    <row r="11">
      <c r="B11" s="24" t="inlineStr">
        <is>
          <t>Variacion de IGV del periodo D+C+PM</t>
        </is>
      </c>
      <c r="D11" s="29" t="n">
        <v>0</v>
      </c>
      <c r="E11" s="29" t="n">
        <v>0</v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9" t="n">
        <v>0</v>
      </c>
      <c r="R11" s="29" t="n">
        <v>0</v>
      </c>
      <c r="S11" s="29" t="n">
        <v>0</v>
      </c>
      <c r="T11" s="29" t="n">
        <v>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29" t="n">
        <v>0</v>
      </c>
      <c r="AC11" s="29" t="n">
        <v>0</v>
      </c>
    </row>
    <row r="12">
      <c r="B12" s="24" t="inlineStr">
        <is>
          <t>Costos de cierre de la laguna SJS</t>
        </is>
      </c>
      <c r="D12" s="29" t="n">
        <v>-0</v>
      </c>
      <c r="E12" s="29" t="n">
        <v>-0</v>
      </c>
      <c r="F12" s="29" t="n">
        <v>-0</v>
      </c>
      <c r="G12" s="29" t="n">
        <v>-0</v>
      </c>
      <c r="H12" s="29" t="n">
        <v>-0</v>
      </c>
      <c r="I12" s="29" t="n">
        <v>-0</v>
      </c>
      <c r="J12" s="29" t="n">
        <v>-0</v>
      </c>
      <c r="K12" s="29" t="n">
        <v>-0</v>
      </c>
      <c r="L12" s="29" t="n">
        <v>-0</v>
      </c>
      <c r="M12" s="29" t="n">
        <v>-0</v>
      </c>
      <c r="N12" s="29" t="n">
        <v>-0</v>
      </c>
      <c r="O12" s="29" t="n">
        <v>-0</v>
      </c>
      <c r="P12" s="29" t="n">
        <v>-0</v>
      </c>
      <c r="Q12" s="29" t="n">
        <v>-0</v>
      </c>
      <c r="R12" s="29" t="n">
        <v>-0</v>
      </c>
      <c r="S12" s="29" t="n">
        <v>-0</v>
      </c>
      <c r="T12" s="29" t="n">
        <v>-0</v>
      </c>
      <c r="U12" s="29" t="n">
        <v>-0</v>
      </c>
      <c r="V12" s="29" t="n">
        <v>-0</v>
      </c>
      <c r="W12" s="29" t="n">
        <v>-0</v>
      </c>
      <c r="X12" s="29" t="n">
        <v>-0</v>
      </c>
      <c r="Y12" s="29" t="n">
        <v>-0</v>
      </c>
      <c r="Z12" s="29" t="n">
        <v>-0</v>
      </c>
      <c r="AA12" s="29" t="n">
        <v>-0</v>
      </c>
      <c r="AB12" s="29" t="n">
        <v>-0</v>
      </c>
      <c r="AC12" s="29" t="n">
        <v>-0</v>
      </c>
    </row>
    <row r="13">
      <c r="B13" s="24" t="inlineStr">
        <is>
          <t>Costos de operacion y mantenimiento</t>
        </is>
      </c>
      <c r="D13" s="29" t="n">
        <v>-0</v>
      </c>
      <c r="E13" s="29" t="n">
        <v>-0</v>
      </c>
      <c r="F13" s="29" t="n">
        <v>-0</v>
      </c>
      <c r="G13" s="29" t="n">
        <v>-0</v>
      </c>
      <c r="H13" s="29" t="n">
        <v>-7401.439488955322</v>
      </c>
      <c r="I13" s="29" t="n">
        <v>-10136.97888605075</v>
      </c>
      <c r="J13" s="29" t="n">
        <v>-10447.21373950545</v>
      </c>
      <c r="K13" s="29" t="n">
        <v>-10767.27619409944</v>
      </c>
      <c r="L13" s="29" t="n">
        <v>-11097.488907179</v>
      </c>
      <c r="M13" s="29" t="n">
        <v>-11438.18550242632</v>
      </c>
      <c r="N13" s="29" t="n">
        <v>-11789.71095441263</v>
      </c>
      <c r="O13" s="29" t="n">
        <v>-12152.4219869991</v>
      </c>
      <c r="P13" s="29" t="n">
        <v>-12526.68748609498</v>
      </c>
      <c r="Q13" s="29" t="n">
        <v>-12912.88892730137</v>
      </c>
      <c r="R13" s="29" t="n">
        <v>-13311.42081898901</v>
      </c>
      <c r="S13" s="29" t="n">
        <v>-13722.69116137877</v>
      </c>
      <c r="T13" s="29" t="n">
        <v>-14147.12192221503</v>
      </c>
      <c r="U13" s="29" t="n">
        <v>-14585.14952964398</v>
      </c>
      <c r="V13" s="29" t="n">
        <v>-15037.22538293223</v>
      </c>
      <c r="W13" s="29" t="n">
        <v>-15503.81638168447</v>
      </c>
      <c r="X13" s="29" t="n">
        <v>-15985.40547424393</v>
      </c>
      <c r="Y13" s="29" t="n">
        <v>-16482.49222598509</v>
      </c>
      <c r="Z13" s="29" t="n">
        <v>-16995.59340823439</v>
      </c>
      <c r="AA13" s="29" t="n">
        <v>-17525.2436085828</v>
      </c>
      <c r="AB13" s="29" t="n">
        <v>-4473.454379722592</v>
      </c>
      <c r="AC13" s="29" t="n">
        <v>-0</v>
      </c>
    </row>
    <row r="14">
      <c r="B14" s="24" t="inlineStr">
        <is>
          <t>Reposiciones</t>
        </is>
      </c>
      <c r="D14" s="29" t="n">
        <v>-0</v>
      </c>
      <c r="E14" s="29" t="n">
        <v>-0</v>
      </c>
      <c r="F14" s="29" t="n">
        <v>-0</v>
      </c>
      <c r="G14" s="29" t="n">
        <v>-0</v>
      </c>
      <c r="H14" s="29" t="n">
        <v>-0</v>
      </c>
      <c r="I14" s="29" t="n">
        <v>-0</v>
      </c>
      <c r="J14" s="29" t="n">
        <v>-0</v>
      </c>
      <c r="K14" s="29" t="n">
        <v>-0</v>
      </c>
      <c r="L14" s="29" t="n">
        <v>-0</v>
      </c>
      <c r="M14" s="29" t="n">
        <v>-0</v>
      </c>
      <c r="N14" s="29" t="n">
        <v>-0</v>
      </c>
      <c r="O14" s="29" t="n">
        <v>-0</v>
      </c>
      <c r="P14" s="29" t="n">
        <v>-0</v>
      </c>
      <c r="Q14" s="29" t="n">
        <v>-5121.210408121058</v>
      </c>
      <c r="R14" s="29" t="n">
        <v>-0</v>
      </c>
      <c r="S14" s="29" t="n">
        <v>-0</v>
      </c>
      <c r="T14" s="29" t="n">
        <v>-0</v>
      </c>
      <c r="U14" s="29" t="n">
        <v>-0</v>
      </c>
      <c r="V14" s="29" t="n">
        <v>-5842.388456818187</v>
      </c>
      <c r="W14" s="29" t="n">
        <v>-0</v>
      </c>
      <c r="X14" s="29" t="n">
        <v>-0</v>
      </c>
      <c r="Y14" s="29" t="n">
        <v>-0</v>
      </c>
      <c r="Z14" s="29" t="n">
        <v>-0</v>
      </c>
      <c r="AA14" s="29" t="n">
        <v>-6665.124093756142</v>
      </c>
      <c r="AB14" s="29" t="n">
        <v>-0</v>
      </c>
      <c r="AC14" s="29" t="n">
        <v>-0</v>
      </c>
    </row>
    <row r="15">
      <c r="B15" s="24" t="inlineStr">
        <is>
          <t>Variacion del capital de trabajo</t>
        </is>
      </c>
      <c r="D15" s="29" t="n">
        <v>0</v>
      </c>
      <c r="E15" s="29" t="n">
        <v>0</v>
      </c>
      <c r="F15" s="29" t="n">
        <v>0</v>
      </c>
      <c r="G15" s="29" t="n">
        <v>0</v>
      </c>
      <c r="H15" s="29" t="n">
        <v>-9913.191635674295</v>
      </c>
      <c r="I15" s="29" t="n">
        <v>-7.708419465328348</v>
      </c>
      <c r="J15" s="29" t="n">
        <v>-324.5789157615131</v>
      </c>
      <c r="K15" s="29" t="n">
        <v>-452.9137536236137</v>
      </c>
      <c r="L15" s="29" t="n">
        <v>-472.7390833070826</v>
      </c>
      <c r="M15" s="29" t="n">
        <v>-493.4888371572026</v>
      </c>
      <c r="N15" s="29" t="n">
        <v>-515.0928035280278</v>
      </c>
      <c r="O15" s="29" t="n">
        <v>-537.6783195594294</v>
      </c>
      <c r="P15" s="29" t="n">
        <v>-276.1062903070721</v>
      </c>
      <c r="Q15" s="29" t="n">
        <v>-424.7539431504349</v>
      </c>
      <c r="R15" s="29" t="n">
        <v>-592.0988251090751</v>
      </c>
      <c r="S15" s="29" t="n">
        <v>-618.1027462931227</v>
      </c>
      <c r="T15" s="29" t="n">
        <v>-645.1236659452254</v>
      </c>
      <c r="U15" s="29" t="n">
        <v>-673.3004426267973</v>
      </c>
      <c r="V15" s="29" t="n">
        <v>-702.7791875067314</v>
      </c>
      <c r="W15" s="29" t="n">
        <v>-361.7971527789466</v>
      </c>
      <c r="X15" s="29" t="n">
        <v>-555.6624157343563</v>
      </c>
      <c r="Y15" s="29" t="n">
        <v>-773.9619065892011</v>
      </c>
      <c r="Z15" s="29" t="n">
        <v>-807.8582234625505</v>
      </c>
      <c r="AA15" s="29" t="n">
        <v>-843.1267303877135</v>
      </c>
      <c r="AB15" s="29" t="n">
        <v>19992.06329796772</v>
      </c>
      <c r="AC15" s="29" t="n">
        <v>0</v>
      </c>
    </row>
    <row r="16">
      <c r="B16" s="24" t="inlineStr">
        <is>
          <t>Otros del periodo operativo</t>
        </is>
      </c>
      <c r="D16" s="29" t="n">
        <v>0</v>
      </c>
      <c r="E16" s="29" t="n">
        <v>0</v>
      </c>
      <c r="F16" s="29" t="n">
        <v>0</v>
      </c>
      <c r="G16" s="29" t="n">
        <v>-1200</v>
      </c>
      <c r="H16" s="29" t="n">
        <v>1200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9" t="n">
        <v>0</v>
      </c>
      <c r="S16" s="29" t="n">
        <v>0</v>
      </c>
      <c r="T16" s="29" t="n">
        <v>0</v>
      </c>
      <c r="U16" s="29" t="n">
        <v>0</v>
      </c>
      <c r="V16" s="29" t="n">
        <v>0</v>
      </c>
      <c r="W16" s="29" t="n">
        <v>0</v>
      </c>
      <c r="X16" s="29" t="n">
        <v>0</v>
      </c>
      <c r="Y16" s="29" t="n">
        <v>0</v>
      </c>
      <c r="Z16" s="29" t="n">
        <v>0</v>
      </c>
      <c r="AA16" s="29" t="n">
        <v>0</v>
      </c>
      <c r="AB16" s="29" t="n">
        <v>0</v>
      </c>
      <c r="AC16" s="29" t="n">
        <v>0</v>
      </c>
    </row>
    <row r="17">
      <c r="B17" s="24" t="inlineStr">
        <is>
          <t>Participacion de trabajadores</t>
        </is>
      </c>
      <c r="D17" s="29" t="n">
        <v>-0</v>
      </c>
      <c r="E17" s="29" t="n">
        <v>-0</v>
      </c>
      <c r="F17" s="29" t="n">
        <v>-0</v>
      </c>
      <c r="G17" s="29" t="n">
        <v>-0</v>
      </c>
      <c r="H17" s="29" t="n">
        <v>-119.8638680499049</v>
      </c>
      <c r="I17" s="29" t="n">
        <v>-231.4414853493353</v>
      </c>
      <c r="J17" s="29" t="n">
        <v>-348.980380295954</v>
      </c>
      <c r="K17" s="29" t="n">
        <v>-477.4471905050635</v>
      </c>
      <c r="L17" s="29" t="n">
        <v>-610.684829776045</v>
      </c>
      <c r="M17" s="29" t="n">
        <v>-751.4839693495597</v>
      </c>
      <c r="N17" s="29" t="n">
        <v>-903.6581382164961</v>
      </c>
      <c r="O17" s="29" t="n">
        <v>-1068.667462531485</v>
      </c>
      <c r="P17" s="29" t="n">
        <v>-1247.82395380678</v>
      </c>
      <c r="Q17" s="29" t="n">
        <v>-1190.643231344341</v>
      </c>
      <c r="R17" s="29" t="n">
        <v>-1655.23717611481</v>
      </c>
      <c r="S17" s="29" t="n">
        <v>-1853.366612215303</v>
      </c>
      <c r="T17" s="29" t="n">
        <v>-1968.972724858617</v>
      </c>
      <c r="U17" s="29" t="n">
        <v>-2070.190808947876</v>
      </c>
      <c r="V17" s="29" t="n">
        <v>-1883.15916881608</v>
      </c>
      <c r="W17" s="29" t="n">
        <v>-2284.383668727411</v>
      </c>
      <c r="X17" s="29" t="n">
        <v>-2407.340176351878</v>
      </c>
      <c r="Y17" s="29" t="n">
        <v>-2535.753082614296</v>
      </c>
      <c r="Z17" s="29" t="n">
        <v>-2659.32921008115</v>
      </c>
      <c r="AA17" s="29" t="n">
        <v>-2454.371954701984</v>
      </c>
      <c r="AB17" s="29" t="n">
        <v>-718.5147289374838</v>
      </c>
      <c r="AC17" s="29" t="n">
        <v>-0</v>
      </c>
    </row>
    <row r="18">
      <c r="B18" s="24" t="inlineStr">
        <is>
          <t>Impuesto a la Renta</t>
        </is>
      </c>
      <c r="D18" s="29" t="n">
        <v>-0</v>
      </c>
      <c r="E18" s="29" t="n">
        <v>-0</v>
      </c>
      <c r="F18" s="29" t="n">
        <v>-0</v>
      </c>
      <c r="G18" s="29" t="n">
        <v>-0</v>
      </c>
      <c r="H18" s="29" t="n">
        <v>-335.9184902098584</v>
      </c>
      <c r="I18" s="29" t="n">
        <v>-648.6147626915121</v>
      </c>
      <c r="J18" s="29" t="n">
        <v>-978.017515779411</v>
      </c>
      <c r="K18" s="29" t="n">
        <v>-1338.04575139044</v>
      </c>
      <c r="L18" s="29" t="n">
        <v>-3242.76374553729</v>
      </c>
      <c r="M18" s="29" t="n">
        <v>-4212.067648204282</v>
      </c>
      <c r="N18" s="29" t="n">
        <v>-5065.003864703461</v>
      </c>
      <c r="O18" s="29" t="n">
        <v>-5989.881127488972</v>
      </c>
      <c r="P18" s="29" t="n">
        <v>-6994.053261086999</v>
      </c>
      <c r="Q18" s="29" t="n">
        <v>-6673.555311685029</v>
      </c>
      <c r="R18" s="29" t="n">
        <v>-9277.604372123509</v>
      </c>
      <c r="S18" s="29" t="n">
        <v>-10388.11986146677</v>
      </c>
      <c r="T18" s="29" t="n">
        <v>-11036.09212283255</v>
      </c>
      <c r="U18" s="29" t="n">
        <v>-11603.41948415285</v>
      </c>
      <c r="V18" s="29" t="n">
        <v>-10555.10714121413</v>
      </c>
      <c r="W18" s="29" t="n">
        <v>-12803.97046321714</v>
      </c>
      <c r="X18" s="29" t="n">
        <v>-13493.14168845227</v>
      </c>
      <c r="Y18" s="29" t="n">
        <v>-14212.89602805312</v>
      </c>
      <c r="Z18" s="29" t="n">
        <v>-14905.54022250485</v>
      </c>
      <c r="AA18" s="29" t="n">
        <v>-13756.75480610462</v>
      </c>
      <c r="AB18" s="29" t="n">
        <v>-4027.275055694597</v>
      </c>
      <c r="AC18" s="29" t="n">
        <v>-0</v>
      </c>
    </row>
    <row r="19">
      <c r="B19" s="24" t="inlineStr">
        <is>
          <t>Desembolsos de deuda</t>
        </is>
      </c>
      <c r="D19" s="29" t="n">
        <v>0</v>
      </c>
      <c r="E19" s="29" t="n">
        <v>0</v>
      </c>
      <c r="F19" s="29" t="n">
        <v>64382.86083116481</v>
      </c>
      <c r="G19" s="29" t="n">
        <v>79338.18683172224</v>
      </c>
      <c r="H19" s="29" t="n">
        <v>22016.14693188116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 t="n">
        <v>0</v>
      </c>
      <c r="Q19" s="29" t="n">
        <v>0</v>
      </c>
      <c r="R19" s="29" t="n">
        <v>0</v>
      </c>
      <c r="S19" s="29" t="n">
        <v>0</v>
      </c>
      <c r="T19" s="29" t="n">
        <v>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29" t="n">
        <v>0</v>
      </c>
      <c r="AC19" s="29" t="n">
        <v>0</v>
      </c>
    </row>
    <row r="20">
      <c r="B20" s="24" t="inlineStr">
        <is>
          <t>Intereses de construccion</t>
        </is>
      </c>
      <c r="D20" s="29" t="n">
        <v>0</v>
      </c>
      <c r="E20" s="29" t="n">
        <v>0</v>
      </c>
      <c r="F20" s="29" t="n">
        <v>-2343.226897290006</v>
      </c>
      <c r="G20" s="29" t="n">
        <v>-10628.55543059679</v>
      </c>
      <c r="H20" s="29" t="n">
        <v>-3766.445446544958</v>
      </c>
      <c r="I20" s="29" t="n">
        <v>0</v>
      </c>
      <c r="J20" s="29" t="n">
        <v>0</v>
      </c>
      <c r="K20" s="29" t="n">
        <v>0</v>
      </c>
      <c r="L20" s="29" t="n">
        <v>0</v>
      </c>
      <c r="M20" s="29" t="n">
        <v>0</v>
      </c>
      <c r="N20" s="29" t="n">
        <v>0</v>
      </c>
      <c r="O20" s="29" t="n">
        <v>0</v>
      </c>
      <c r="P20" s="29" t="n">
        <v>0</v>
      </c>
      <c r="Q20" s="29" t="n">
        <v>0</v>
      </c>
      <c r="R20" s="29" t="n">
        <v>0</v>
      </c>
      <c r="S20" s="29" t="n">
        <v>0</v>
      </c>
      <c r="T20" s="29" t="n">
        <v>0</v>
      </c>
      <c r="U20" s="29" t="n">
        <v>0</v>
      </c>
      <c r="V20" s="29" t="n">
        <v>0</v>
      </c>
      <c r="W20" s="29" t="n">
        <v>0</v>
      </c>
      <c r="X20" s="29" t="n">
        <v>0</v>
      </c>
      <c r="Y20" s="29" t="n">
        <v>0</v>
      </c>
      <c r="Z20" s="29" t="n">
        <v>0</v>
      </c>
      <c r="AA20" s="29" t="n">
        <v>0</v>
      </c>
      <c r="AB20" s="29" t="n">
        <v>0</v>
      </c>
      <c r="AC20" s="29" t="n">
        <v>0</v>
      </c>
    </row>
    <row r="21">
      <c r="B21" s="24" t="inlineStr">
        <is>
          <t>Comisiones de construccion</t>
        </is>
      </c>
      <c r="D21" s="29" t="n">
        <v>0</v>
      </c>
      <c r="E21" s="29" t="n">
        <v>-3314.743891895365</v>
      </c>
      <c r="F21" s="29" t="n">
        <v>-1060.990516651455</v>
      </c>
      <c r="G21" s="29" t="n">
        <v>-417.3275806758544</v>
      </c>
      <c r="H21" s="29" t="n">
        <v>-18.15311142666717</v>
      </c>
      <c r="I21" s="29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9" t="n">
        <v>0</v>
      </c>
      <c r="P21" s="29" t="n">
        <v>0</v>
      </c>
      <c r="Q21" s="29" t="n">
        <v>0</v>
      </c>
      <c r="R21" s="29" t="n">
        <v>0</v>
      </c>
      <c r="S21" s="29" t="n">
        <v>0</v>
      </c>
      <c r="T21" s="29" t="n">
        <v>0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29" t="n">
        <v>0</v>
      </c>
      <c r="AC21" s="29" t="n">
        <v>0</v>
      </c>
    </row>
    <row r="22">
      <c r="B22" s="24" t="inlineStr">
        <is>
          <t>Intereses del periodo operativo</t>
        </is>
      </c>
      <c r="D22" s="29" t="n">
        <v>-0</v>
      </c>
      <c r="E22" s="29" t="n">
        <v>-0</v>
      </c>
      <c r="F22" s="29" t="n">
        <v>-0</v>
      </c>
      <c r="G22" s="29" t="n">
        <v>-0</v>
      </c>
      <c r="H22" s="29" t="n">
        <v>-12545.83762548829</v>
      </c>
      <c r="I22" s="29" t="n">
        <v>-16504.12845897308</v>
      </c>
      <c r="J22" s="29" t="n">
        <v>-15572.77387776899</v>
      </c>
      <c r="K22" s="29" t="n">
        <v>-14486.32016386877</v>
      </c>
      <c r="L22" s="29" t="n">
        <v>-13246.67063693227</v>
      </c>
      <c r="M22" s="29" t="n">
        <v>-11910.73903527903</v>
      </c>
      <c r="N22" s="29" t="n">
        <v>-10404.22158466412</v>
      </c>
      <c r="O22" s="29" t="n">
        <v>-8700.004023615633</v>
      </c>
      <c r="P22" s="29" t="n">
        <v>-6774.061050339092</v>
      </c>
      <c r="Q22" s="29" t="n">
        <v>-4665.615112681044</v>
      </c>
      <c r="R22" s="29" t="n">
        <v>-2447.194696991476</v>
      </c>
      <c r="S22" s="29" t="n">
        <v>-362.3563888531528</v>
      </c>
      <c r="T22" s="29" t="n">
        <v>-0</v>
      </c>
      <c r="U22" s="29" t="n">
        <v>-0</v>
      </c>
      <c r="V22" s="29" t="n">
        <v>-0</v>
      </c>
      <c r="W22" s="29" t="n">
        <v>-0</v>
      </c>
      <c r="X22" s="29" t="n">
        <v>-0</v>
      </c>
      <c r="Y22" s="29" t="n">
        <v>-0</v>
      </c>
      <c r="Z22" s="29" t="n">
        <v>-0</v>
      </c>
      <c r="AA22" s="29" t="n">
        <v>-0</v>
      </c>
      <c r="AB22" s="29" t="n">
        <v>-0</v>
      </c>
      <c r="AC22" s="29" t="n">
        <v>-0</v>
      </c>
    </row>
    <row r="23">
      <c r="B23" s="24" t="inlineStr">
        <is>
          <t>Amortizacion de deuda</t>
        </is>
      </c>
      <c r="D23" s="29" t="n">
        <v>-0</v>
      </c>
      <c r="E23" s="29" t="n">
        <v>-0</v>
      </c>
      <c r="F23" s="29" t="n">
        <v>-0</v>
      </c>
      <c r="G23" s="29" t="n">
        <v>-0</v>
      </c>
      <c r="H23" s="29" t="n">
        <v>-0</v>
      </c>
      <c r="I23" s="29" t="n">
        <v>-8863.806531986749</v>
      </c>
      <c r="J23" s="29" t="n">
        <v>-10319.65005190891</v>
      </c>
      <c r="K23" s="29" t="n">
        <v>-12098.94585108893</v>
      </c>
      <c r="L23" s="29" t="n">
        <v>-12832.45321433216</v>
      </c>
      <c r="M23" s="29" t="n">
        <v>-14447.74353096771</v>
      </c>
      <c r="N23" s="29" t="n">
        <v>-16362.46224157256</v>
      </c>
      <c r="O23" s="29" t="n">
        <v>-18453.47726031578</v>
      </c>
      <c r="P23" s="29" t="n">
        <v>-20967.76443887606</v>
      </c>
      <c r="Q23" s="29" t="n">
        <v>-20657.78688221963</v>
      </c>
      <c r="R23" s="29" t="n">
        <v>-25946.1837719349</v>
      </c>
      <c r="S23" s="29" t="n">
        <v>-4786.920819564835</v>
      </c>
      <c r="T23" s="29" t="n">
        <v>-0</v>
      </c>
      <c r="U23" s="29" t="n">
        <v>-0</v>
      </c>
      <c r="V23" s="29" t="n">
        <v>-0</v>
      </c>
      <c r="W23" s="29" t="n">
        <v>-0</v>
      </c>
      <c r="X23" s="29" t="n">
        <v>-0</v>
      </c>
      <c r="Y23" s="29" t="n">
        <v>-0</v>
      </c>
      <c r="Z23" s="29" t="n">
        <v>-0</v>
      </c>
      <c r="AA23" s="29" t="n">
        <v>-0</v>
      </c>
      <c r="AB23" s="29" t="n">
        <v>-0</v>
      </c>
      <c r="AC23" s="29" t="n">
        <v>-0</v>
      </c>
    </row>
    <row r="24">
      <c r="B24" s="24" t="inlineStr">
        <is>
          <t>Cuenta de reserva CRSD</t>
        </is>
      </c>
      <c r="D24" s="29" t="n">
        <v>-0</v>
      </c>
      <c r="E24" s="29" t="n">
        <v>-0</v>
      </c>
      <c r="F24" s="29" t="n">
        <v>-0</v>
      </c>
      <c r="G24" s="29" t="n">
        <v>-0</v>
      </c>
      <c r="H24" s="29" t="n">
        <v>-12683.96749547992</v>
      </c>
      <c r="I24" s="29" t="n">
        <v>-262.2444693590351</v>
      </c>
      <c r="J24" s="29" t="n">
        <v>-346.4210426399004</v>
      </c>
      <c r="K24" s="29" t="n">
        <v>253.0710818466341</v>
      </c>
      <c r="L24" s="29" t="n">
        <v>-139.6793574911535</v>
      </c>
      <c r="M24" s="29" t="n">
        <v>-204.1006299949713</v>
      </c>
      <c r="N24" s="29" t="n">
        <v>-193.3987288473636</v>
      </c>
      <c r="O24" s="29" t="n">
        <v>-294.1721026418709</v>
      </c>
      <c r="P24" s="29" t="n">
        <v>1209.211747157242</v>
      </c>
      <c r="Q24" s="29" t="n">
        <v>-1534.988237012854</v>
      </c>
      <c r="R24" s="29" t="n">
        <v>11622.05063025419</v>
      </c>
      <c r="S24" s="29" t="n">
        <v>2574.638604208994</v>
      </c>
      <c r="T24" s="29" t="n">
        <v>-0</v>
      </c>
      <c r="U24" s="29" t="n">
        <v>-0</v>
      </c>
      <c r="V24" s="29" t="n">
        <v>-0</v>
      </c>
      <c r="W24" s="29" t="n">
        <v>-0</v>
      </c>
      <c r="X24" s="29" t="n">
        <v>-0</v>
      </c>
      <c r="Y24" s="29" t="n">
        <v>-0</v>
      </c>
      <c r="Z24" s="29" t="n">
        <v>-0</v>
      </c>
      <c r="AA24" s="29" t="n">
        <v>-0</v>
      </c>
      <c r="AB24" s="29" t="n">
        <v>-0</v>
      </c>
      <c r="AC24" s="29" t="n">
        <v>-0</v>
      </c>
    </row>
    <row r="26">
      <c r="B26" s="19" t="inlineStr">
        <is>
          <t>Flujo de caja financiero</t>
        </is>
      </c>
      <c r="D26" s="26">
        <f>SUM(D7:D24)</f>
        <v/>
      </c>
      <c r="E26" s="26">
        <f>SUM(E7:E24)</f>
        <v/>
      </c>
      <c r="F26" s="26">
        <f>SUM(F7:F24)</f>
        <v/>
      </c>
      <c r="G26" s="26">
        <f>SUM(G7:G24)</f>
        <v/>
      </c>
      <c r="H26" s="26">
        <f>SUM(H7:H24)</f>
        <v/>
      </c>
      <c r="I26" s="26">
        <f>SUM(I7:I24)</f>
        <v/>
      </c>
      <c r="J26" s="26">
        <f>SUM(J7:J24)</f>
        <v/>
      </c>
      <c r="K26" s="26">
        <f>SUM(K7:K24)</f>
        <v/>
      </c>
      <c r="L26" s="26">
        <f>SUM(L7:L24)</f>
        <v/>
      </c>
      <c r="M26" s="26">
        <f>SUM(M7:M24)</f>
        <v/>
      </c>
      <c r="N26" s="26">
        <f>SUM(N7:N24)</f>
        <v/>
      </c>
      <c r="O26" s="26">
        <f>SUM(O7:O24)</f>
        <v/>
      </c>
      <c r="P26" s="26">
        <f>SUM(P7:P24)</f>
        <v/>
      </c>
      <c r="Q26" s="26">
        <f>SUM(Q7:Q24)</f>
        <v/>
      </c>
      <c r="R26" s="26">
        <f>SUM(R7:R24)</f>
        <v/>
      </c>
      <c r="S26" s="26">
        <f>SUM(S7:S24)</f>
        <v/>
      </c>
      <c r="T26" s="26">
        <f>SUM(T7:T24)</f>
        <v/>
      </c>
      <c r="U26" s="26">
        <f>SUM(U7:U24)</f>
        <v/>
      </c>
      <c r="V26" s="26">
        <f>SUM(V7:V24)</f>
        <v/>
      </c>
      <c r="W26" s="26">
        <f>SUM(W7:W24)</f>
        <v/>
      </c>
      <c r="X26" s="26">
        <f>SUM(X7:X24)</f>
        <v/>
      </c>
      <c r="Y26" s="26">
        <f>SUM(Y7:Y24)</f>
        <v/>
      </c>
      <c r="Z26" s="26">
        <f>SUM(Z7:Z24)</f>
        <v/>
      </c>
      <c r="AA26" s="26">
        <f>SUM(AA7:AA24)</f>
        <v/>
      </c>
      <c r="AB26" s="26">
        <f>SUM(AB7:AB24)</f>
        <v/>
      </c>
      <c r="AC26" s="26">
        <f>SUM(AC7:AC24)</f>
        <v/>
      </c>
    </row>
    <row r="27">
      <c r="B27" s="24" t="inlineStr">
        <is>
          <t>Periodo de descuento</t>
        </is>
      </c>
      <c r="D27" s="25" t="n">
        <v>0.9166666666666666</v>
      </c>
      <c r="E27" s="25" t="n">
        <v>1.916666666666667</v>
      </c>
      <c r="F27" s="25" t="n">
        <v>2.916666666666667</v>
      </c>
      <c r="G27" s="25" t="n">
        <v>3.916666666666667</v>
      </c>
      <c r="H27" s="25" t="n">
        <v>4.916666666666666</v>
      </c>
      <c r="I27" s="25" t="n">
        <v>5.916666666666666</v>
      </c>
      <c r="J27" s="25" t="n">
        <v>6.916666666666666</v>
      </c>
      <c r="K27" s="25" t="n">
        <v>7.916666666666666</v>
      </c>
      <c r="L27" s="25" t="n">
        <v>8.916666666666666</v>
      </c>
      <c r="M27" s="25" t="n">
        <v>9.916666666666666</v>
      </c>
      <c r="N27" s="25" t="n">
        <v>10.91666666666667</v>
      </c>
      <c r="O27" s="25" t="n">
        <v>11.91666666666667</v>
      </c>
      <c r="P27" s="25" t="n">
        <v>12.91666666666667</v>
      </c>
      <c r="Q27" s="25" t="n">
        <v>13.91666666666667</v>
      </c>
      <c r="R27" s="25" t="n">
        <v>14.91666666666667</v>
      </c>
      <c r="S27" s="25" t="n">
        <v>15.91666666666667</v>
      </c>
      <c r="T27" s="25" t="n">
        <v>16.91666666666666</v>
      </c>
      <c r="U27" s="25" t="n">
        <v>17.91666666666666</v>
      </c>
      <c r="V27" s="25" t="n">
        <v>18.91666666666666</v>
      </c>
      <c r="W27" s="25" t="n">
        <v>19.91666666666666</v>
      </c>
      <c r="X27" s="25" t="n">
        <v>20.91666666666666</v>
      </c>
      <c r="Y27" s="25" t="n">
        <v>21.91666666666666</v>
      </c>
      <c r="Z27" s="25" t="n">
        <v>22.91666666666666</v>
      </c>
      <c r="AA27" s="25" t="n">
        <v>23.91666666666666</v>
      </c>
      <c r="AB27" s="25" t="n">
        <v>24.16666666666666</v>
      </c>
      <c r="AC27" s="25" t="n">
        <v>24.16666666666666</v>
      </c>
    </row>
    <row r="29">
      <c r="B29" s="19" t="inlineStr">
        <is>
          <t>VAN del flujo de caja financiero</t>
        </is>
      </c>
      <c r="D29" s="30">
        <f>SUMPRODUCT(D26:AC26,1/(1+p_tir)^D27:AC27)</f>
        <v/>
      </c>
    </row>
    <row r="31">
      <c r="B31" s="24" t="inlineStr">
        <is>
          <t>Memoria: amortizacion del intangible (no es caja)</t>
        </is>
      </c>
      <c r="D31" s="29">
        <f>'Activo intangible'!D15</f>
        <v/>
      </c>
      <c r="E31" s="29">
        <f>'Activo intangible'!E15</f>
        <v/>
      </c>
      <c r="F31" s="29">
        <f>'Activo intangible'!F15</f>
        <v/>
      </c>
      <c r="G31" s="29">
        <f>'Activo intangible'!G15</f>
        <v/>
      </c>
      <c r="H31" s="29">
        <f>'Activo intangible'!H15</f>
        <v/>
      </c>
      <c r="I31" s="29">
        <f>'Activo intangible'!I15</f>
        <v/>
      </c>
      <c r="J31" s="29">
        <f>'Activo intangible'!J15</f>
        <v/>
      </c>
      <c r="K31" s="29">
        <f>'Activo intangible'!K15</f>
        <v/>
      </c>
      <c r="L31" s="29">
        <f>'Activo intangible'!L15</f>
        <v/>
      </c>
      <c r="M31" s="29">
        <f>'Activo intangible'!M15</f>
        <v/>
      </c>
      <c r="N31" s="29">
        <f>'Activo intangible'!N15</f>
        <v/>
      </c>
      <c r="O31" s="29">
        <f>'Activo intangible'!O15</f>
        <v/>
      </c>
      <c r="P31" s="29">
        <f>'Activo intangible'!P15</f>
        <v/>
      </c>
      <c r="Q31" s="29">
        <f>'Activo intangible'!Q15</f>
        <v/>
      </c>
      <c r="R31" s="29">
        <f>'Activo intangible'!R15</f>
        <v/>
      </c>
      <c r="S31" s="29">
        <f>'Activo intangible'!S15</f>
        <v/>
      </c>
      <c r="T31" s="29">
        <f>'Activo intangible'!T15</f>
        <v/>
      </c>
      <c r="U31" s="29">
        <f>'Activo intangible'!U15</f>
        <v/>
      </c>
      <c r="V31" s="29">
        <f>'Activo intangible'!V15</f>
        <v/>
      </c>
      <c r="W31" s="29">
        <f>'Activo intangible'!W15</f>
        <v/>
      </c>
      <c r="X31" s="29">
        <f>'Activo intangible'!X15</f>
        <v/>
      </c>
      <c r="Y31" s="29">
        <f>'Activo intangible'!Y15</f>
        <v/>
      </c>
      <c r="Z31" s="29">
        <f>'Activo intangible'!Z15</f>
        <v/>
      </c>
      <c r="AA31" s="29">
        <f>'Activo intangible'!AA15</f>
        <v/>
      </c>
      <c r="AB31" s="29">
        <f>'Activo intangible'!AB15</f>
        <v/>
      </c>
      <c r="AC31" s="29">
        <f>'Activo intangible'!AC15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C20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2">
      <c r="B2" s="1" t="inlineStr">
        <is>
          <t>Reparto de la tarifa</t>
        </is>
      </c>
    </row>
    <row r="3">
      <c r="B3" s="2" t="inlineStr">
        <is>
          <t>De lo que recauda la tarifa, cuanto paga la operacion y cuanto repaga la inversion. Las dos partes suman el ingreso.</t>
        </is>
      </c>
    </row>
    <row r="5">
      <c r="B5" s="23" t="inlineStr">
        <is>
          <t>Ano</t>
        </is>
      </c>
      <c r="C5" s="28" t="n"/>
      <c r="D5" s="16" t="n">
        <v>2027</v>
      </c>
      <c r="E5" s="16" t="n">
        <v>2028</v>
      </c>
      <c r="F5" s="16" t="n">
        <v>2029</v>
      </c>
      <c r="G5" s="16" t="n">
        <v>2030</v>
      </c>
      <c r="H5" s="16" t="n">
        <v>2031</v>
      </c>
      <c r="I5" s="16" t="n">
        <v>2032</v>
      </c>
      <c r="J5" s="16" t="n">
        <v>2033</v>
      </c>
      <c r="K5" s="16" t="n">
        <v>2034</v>
      </c>
      <c r="L5" s="16" t="n">
        <v>2035</v>
      </c>
      <c r="M5" s="16" t="n">
        <v>2036</v>
      </c>
      <c r="N5" s="16" t="n">
        <v>2037</v>
      </c>
      <c r="O5" s="16" t="n">
        <v>2038</v>
      </c>
      <c r="P5" s="16" t="n">
        <v>2039</v>
      </c>
      <c r="Q5" s="16" t="n">
        <v>2040</v>
      </c>
      <c r="R5" s="16" t="n">
        <v>2041</v>
      </c>
      <c r="S5" s="16" t="n">
        <v>2042</v>
      </c>
      <c r="T5" s="16" t="n">
        <v>2043</v>
      </c>
      <c r="U5" s="16" t="n">
        <v>2044</v>
      </c>
      <c r="V5" s="16" t="n">
        <v>2045</v>
      </c>
      <c r="W5" s="16" t="n">
        <v>2046</v>
      </c>
      <c r="X5" s="16" t="n">
        <v>2047</v>
      </c>
      <c r="Y5" s="16" t="n">
        <v>2048</v>
      </c>
      <c r="Z5" s="16" t="n">
        <v>2049</v>
      </c>
      <c r="AA5" s="16" t="n">
        <v>2050</v>
      </c>
      <c r="AB5" s="16" t="n">
        <v>2051</v>
      </c>
      <c r="AC5" s="16" t="n">
        <v>2052</v>
      </c>
    </row>
    <row r="7">
      <c r="B7" s="19" t="inlineStr">
        <is>
          <t>Ingreso tarifario</t>
        </is>
      </c>
      <c r="D7" s="29">
        <f>Flujo!D7</f>
        <v/>
      </c>
      <c r="E7" s="29">
        <f>Flujo!E7</f>
        <v/>
      </c>
      <c r="F7" s="29">
        <f>Flujo!F7</f>
        <v/>
      </c>
      <c r="G7" s="29">
        <f>Flujo!G7</f>
        <v/>
      </c>
      <c r="H7" s="29">
        <f>Flujo!H7</f>
        <v/>
      </c>
      <c r="I7" s="29">
        <f>Flujo!I7</f>
        <v/>
      </c>
      <c r="J7" s="29">
        <f>Flujo!J7</f>
        <v/>
      </c>
      <c r="K7" s="29">
        <f>Flujo!K7</f>
        <v/>
      </c>
      <c r="L7" s="29">
        <f>Flujo!L7</f>
        <v/>
      </c>
      <c r="M7" s="29">
        <f>Flujo!M7</f>
        <v/>
      </c>
      <c r="N7" s="29">
        <f>Flujo!N7</f>
        <v/>
      </c>
      <c r="O7" s="29">
        <f>Flujo!O7</f>
        <v/>
      </c>
      <c r="P7" s="29">
        <f>Flujo!P7</f>
        <v/>
      </c>
      <c r="Q7" s="29">
        <f>Flujo!Q7</f>
        <v/>
      </c>
      <c r="R7" s="29">
        <f>Flujo!R7</f>
        <v/>
      </c>
      <c r="S7" s="29">
        <f>Flujo!S7</f>
        <v/>
      </c>
      <c r="T7" s="29">
        <f>Flujo!T7</f>
        <v/>
      </c>
      <c r="U7" s="29">
        <f>Flujo!U7</f>
        <v/>
      </c>
      <c r="V7" s="29">
        <f>Flujo!V7</f>
        <v/>
      </c>
      <c r="W7" s="29">
        <f>Flujo!W7</f>
        <v/>
      </c>
      <c r="X7" s="29">
        <f>Flujo!X7</f>
        <v/>
      </c>
      <c r="Y7" s="29">
        <f>Flujo!Y7</f>
        <v/>
      </c>
      <c r="Z7" s="29">
        <f>Flujo!Z7</f>
        <v/>
      </c>
      <c r="AA7" s="29">
        <f>Flujo!AA7</f>
        <v/>
      </c>
      <c r="AB7" s="29">
        <f>Flujo!AB7</f>
        <v/>
      </c>
      <c r="AC7" s="29">
        <f>Flujo!AC7</f>
        <v/>
      </c>
    </row>
    <row r="8">
      <c r="B8" s="24" t="inlineStr">
        <is>
          <t>Costo de operacion y mantenimiento</t>
        </is>
      </c>
      <c r="D8" s="29">
        <f>-Flujo!D13</f>
        <v/>
      </c>
      <c r="E8" s="29">
        <f>-Flujo!E13</f>
        <v/>
      </c>
      <c r="F8" s="29">
        <f>-Flujo!F13</f>
        <v/>
      </c>
      <c r="G8" s="29">
        <f>-Flujo!G13</f>
        <v/>
      </c>
      <c r="H8" s="29">
        <f>-Flujo!H13</f>
        <v/>
      </c>
      <c r="I8" s="29">
        <f>-Flujo!I13</f>
        <v/>
      </c>
      <c r="J8" s="29">
        <f>-Flujo!J13</f>
        <v/>
      </c>
      <c r="K8" s="29">
        <f>-Flujo!K13</f>
        <v/>
      </c>
      <c r="L8" s="29">
        <f>-Flujo!L13</f>
        <v/>
      </c>
      <c r="M8" s="29">
        <f>-Flujo!M13</f>
        <v/>
      </c>
      <c r="N8" s="29">
        <f>-Flujo!N13</f>
        <v/>
      </c>
      <c r="O8" s="29">
        <f>-Flujo!O13</f>
        <v/>
      </c>
      <c r="P8" s="29">
        <f>-Flujo!P13</f>
        <v/>
      </c>
      <c r="Q8" s="29">
        <f>-Flujo!Q13</f>
        <v/>
      </c>
      <c r="R8" s="29">
        <f>-Flujo!R13</f>
        <v/>
      </c>
      <c r="S8" s="29">
        <f>-Flujo!S13</f>
        <v/>
      </c>
      <c r="T8" s="29">
        <f>-Flujo!T13</f>
        <v/>
      </c>
      <c r="U8" s="29">
        <f>-Flujo!U13</f>
        <v/>
      </c>
      <c r="V8" s="29">
        <f>-Flujo!V13</f>
        <v/>
      </c>
      <c r="W8" s="29">
        <f>-Flujo!W13</f>
        <v/>
      </c>
      <c r="X8" s="29">
        <f>-Flujo!X13</f>
        <v/>
      </c>
      <c r="Y8" s="29">
        <f>-Flujo!Y13</f>
        <v/>
      </c>
      <c r="Z8" s="29">
        <f>-Flujo!Z13</f>
        <v/>
      </c>
      <c r="AA8" s="29">
        <f>-Flujo!AA13</f>
        <v/>
      </c>
      <c r="AB8" s="29">
        <f>-Flujo!AB13</f>
        <v/>
      </c>
      <c r="AC8" s="29">
        <f>-Flujo!AC13</f>
        <v/>
      </c>
    </row>
    <row r="9">
      <c r="B9" s="24" t="inlineStr">
        <is>
          <t>Margen del operador</t>
        </is>
      </c>
      <c r="D9" s="29">
        <f>p_margen_om*D8</f>
        <v/>
      </c>
      <c r="E9" s="29">
        <f>p_margen_om*E8</f>
        <v/>
      </c>
      <c r="F9" s="29">
        <f>p_margen_om*F8</f>
        <v/>
      </c>
      <c r="G9" s="29">
        <f>p_margen_om*G8</f>
        <v/>
      </c>
      <c r="H9" s="29">
        <f>p_margen_om*H8</f>
        <v/>
      </c>
      <c r="I9" s="29">
        <f>p_margen_om*I8</f>
        <v/>
      </c>
      <c r="J9" s="29">
        <f>p_margen_om*J8</f>
        <v/>
      </c>
      <c r="K9" s="29">
        <f>p_margen_om*K8</f>
        <v/>
      </c>
      <c r="L9" s="29">
        <f>p_margen_om*L8</f>
        <v/>
      </c>
      <c r="M9" s="29">
        <f>p_margen_om*M8</f>
        <v/>
      </c>
      <c r="N9" s="29">
        <f>p_margen_om*N8</f>
        <v/>
      </c>
      <c r="O9" s="29">
        <f>p_margen_om*O8</f>
        <v/>
      </c>
      <c r="P9" s="29">
        <f>p_margen_om*P8</f>
        <v/>
      </c>
      <c r="Q9" s="29">
        <f>p_margen_om*Q8</f>
        <v/>
      </c>
      <c r="R9" s="29">
        <f>p_margen_om*R8</f>
        <v/>
      </c>
      <c r="S9" s="29">
        <f>p_margen_om*S8</f>
        <v/>
      </c>
      <c r="T9" s="29">
        <f>p_margen_om*T8</f>
        <v/>
      </c>
      <c r="U9" s="29">
        <f>p_margen_om*U8</f>
        <v/>
      </c>
      <c r="V9" s="29">
        <f>p_margen_om*V8</f>
        <v/>
      </c>
      <c r="W9" s="29">
        <f>p_margen_om*W8</f>
        <v/>
      </c>
      <c r="X9" s="29">
        <f>p_margen_om*X8</f>
        <v/>
      </c>
      <c r="Y9" s="29">
        <f>p_margen_om*Y8</f>
        <v/>
      </c>
      <c r="Z9" s="29">
        <f>p_margen_om*Z8</f>
        <v/>
      </c>
      <c r="AA9" s="29">
        <f>p_margen_om*AA8</f>
        <v/>
      </c>
      <c r="AB9" s="29">
        <f>p_margen_om*AB8</f>
        <v/>
      </c>
      <c r="AC9" s="29">
        <f>p_margen_om*AC8</f>
        <v/>
      </c>
    </row>
    <row r="10">
      <c r="B10" s="24" t="inlineStr">
        <is>
          <t>Operacion y mantenimiento</t>
        </is>
      </c>
      <c r="D10" s="29">
        <f>D8+D9</f>
        <v/>
      </c>
      <c r="E10" s="29">
        <f>E8+E9</f>
        <v/>
      </c>
      <c r="F10" s="29">
        <f>F8+F9</f>
        <v/>
      </c>
      <c r="G10" s="29">
        <f>G8+G9</f>
        <v/>
      </c>
      <c r="H10" s="29">
        <f>H8+H9</f>
        <v/>
      </c>
      <c r="I10" s="29">
        <f>I8+I9</f>
        <v/>
      </c>
      <c r="J10" s="29">
        <f>J8+J9</f>
        <v/>
      </c>
      <c r="K10" s="29">
        <f>K8+K9</f>
        <v/>
      </c>
      <c r="L10" s="29">
        <f>L8+L9</f>
        <v/>
      </c>
      <c r="M10" s="29">
        <f>M8+M9</f>
        <v/>
      </c>
      <c r="N10" s="29">
        <f>N8+N9</f>
        <v/>
      </c>
      <c r="O10" s="29">
        <f>O8+O9</f>
        <v/>
      </c>
      <c r="P10" s="29">
        <f>P8+P9</f>
        <v/>
      </c>
      <c r="Q10" s="29">
        <f>Q8+Q9</f>
        <v/>
      </c>
      <c r="R10" s="29">
        <f>R8+R9</f>
        <v/>
      </c>
      <c r="S10" s="29">
        <f>S8+S9</f>
        <v/>
      </c>
      <c r="T10" s="29">
        <f>T8+T9</f>
        <v/>
      </c>
      <c r="U10" s="29">
        <f>U8+U9</f>
        <v/>
      </c>
      <c r="V10" s="29">
        <f>V8+V9</f>
        <v/>
      </c>
      <c r="W10" s="29">
        <f>W8+W9</f>
        <v/>
      </c>
      <c r="X10" s="29">
        <f>X8+X9</f>
        <v/>
      </c>
      <c r="Y10" s="29">
        <f>Y8+Y9</f>
        <v/>
      </c>
      <c r="Z10" s="29">
        <f>Z8+Z9</f>
        <v/>
      </c>
      <c r="AA10" s="29">
        <f>AA8+AA9</f>
        <v/>
      </c>
      <c r="AB10" s="29">
        <f>AB8+AB9</f>
        <v/>
      </c>
      <c r="AC10" s="29">
        <f>AC8+AC9</f>
        <v/>
      </c>
    </row>
    <row r="11">
      <c r="B11" s="19" t="inlineStr">
        <is>
          <t>Disponible para repagar la inversion</t>
        </is>
      </c>
      <c r="D11" s="26">
        <f>D7-D10</f>
        <v/>
      </c>
      <c r="E11" s="26">
        <f>E7-E10</f>
        <v/>
      </c>
      <c r="F11" s="26">
        <f>F7-F10</f>
        <v/>
      </c>
      <c r="G11" s="26">
        <f>G7-G10</f>
        <v/>
      </c>
      <c r="H11" s="26">
        <f>H7-H10</f>
        <v/>
      </c>
      <c r="I11" s="26">
        <f>I7-I10</f>
        <v/>
      </c>
      <c r="J11" s="26">
        <f>J7-J10</f>
        <v/>
      </c>
      <c r="K11" s="26">
        <f>K7-K10</f>
        <v/>
      </c>
      <c r="L11" s="26">
        <f>L7-L10</f>
        <v/>
      </c>
      <c r="M11" s="26">
        <f>M7-M10</f>
        <v/>
      </c>
      <c r="N11" s="26">
        <f>N7-N10</f>
        <v/>
      </c>
      <c r="O11" s="26">
        <f>O7-O10</f>
        <v/>
      </c>
      <c r="P11" s="26">
        <f>P7-P10</f>
        <v/>
      </c>
      <c r="Q11" s="26">
        <f>Q7-Q10</f>
        <v/>
      </c>
      <c r="R11" s="26">
        <f>R7-R10</f>
        <v/>
      </c>
      <c r="S11" s="26">
        <f>S7-S10</f>
        <v/>
      </c>
      <c r="T11" s="26">
        <f>T7-T10</f>
        <v/>
      </c>
      <c r="U11" s="26">
        <f>U7-U10</f>
        <v/>
      </c>
      <c r="V11" s="26">
        <f>V7-V10</f>
        <v/>
      </c>
      <c r="W11" s="26">
        <f>W7-W10</f>
        <v/>
      </c>
      <c r="X11" s="26">
        <f>X7-X10</f>
        <v/>
      </c>
      <c r="Y11" s="26">
        <f>Y7-Y10</f>
        <v/>
      </c>
      <c r="Z11" s="26">
        <f>Z7-Z10</f>
        <v/>
      </c>
      <c r="AA11" s="26">
        <f>AA7-AA10</f>
        <v/>
      </c>
      <c r="AB11" s="26">
        <f>AB7-AB10</f>
        <v/>
      </c>
      <c r="AC11" s="26">
        <f>AC7-AC10</f>
        <v/>
      </c>
    </row>
    <row r="13">
      <c r="B13" s="19" t="inlineStr">
        <is>
          <t>VAN del ingreso tarifario</t>
        </is>
      </c>
      <c r="D13" s="31">
        <f>SUMPRODUCT($D$7:$AC$7,1/(1+p_tir)^Flujo!$D$27:$AC$27)</f>
        <v/>
      </c>
    </row>
    <row r="14">
      <c r="B14" s="19" t="inlineStr">
        <is>
          <t>VAN del costo de O&amp;M, sin margen</t>
        </is>
      </c>
      <c r="D14" s="31">
        <f>SUMPRODUCT($D$8:$AC$8,1/(1+p_tir)^Flujo!$D$27:$AC$27)</f>
        <v/>
      </c>
    </row>
    <row r="15">
      <c r="B15" s="19" t="inlineStr">
        <is>
          <t>VAN de la operacion, con margen</t>
        </is>
      </c>
      <c r="D15" s="31">
        <f>SUMPRODUCT($D$10:$AC$10,1/(1+p_tir)^Flujo!$D$27:$AC$27)</f>
        <v/>
      </c>
    </row>
    <row r="16">
      <c r="B16" s="19" t="inlineStr">
        <is>
          <t>VAN para la inversion</t>
        </is>
      </c>
      <c r="D16" s="31">
        <f>SUMPRODUCT($D$11:$AC$11,1/(1+p_tir)^Flujo!$D$27:$AC$27)</f>
        <v/>
      </c>
    </row>
    <row r="17">
      <c r="B17" s="19" t="inlineStr">
        <is>
          <t>Participacion de la operacion</t>
        </is>
      </c>
      <c r="D17" s="32">
        <f>$D$15/$D$13</f>
        <v/>
      </c>
    </row>
    <row r="18">
      <c r="B18" s="19" t="inlineStr">
        <is>
          <t>Participacion de la inversion</t>
        </is>
      </c>
      <c r="D18" s="32">
        <f>$D$16/$D$13</f>
        <v/>
      </c>
    </row>
    <row r="19">
      <c r="B19" s="19" t="inlineStr">
        <is>
          <t>Las dos partes menos el total, debe ser cero</t>
        </is>
      </c>
      <c r="D19" s="31">
        <f>$D$15+$D$16-$D$13</f>
        <v/>
      </c>
    </row>
    <row r="20">
      <c r="B20" s="19" t="inlineStr">
        <is>
          <t>Check del reparto</t>
        </is>
      </c>
      <c r="D20" s="33">
        <f>IF(ROUND($D$19,2)=0,"OK","ERROR")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2026-09-18T04:52:36Z</dcterms:created>
  <dcterms:modified xsi:type="dcterms:W3CDTF">2026-09-18T04:52:36Z</dcterms:modified>
</cp:coreProperties>
</file>