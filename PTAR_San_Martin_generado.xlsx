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Hitos" sheetId="3" state="visible" r:id="rId3"/>
    <sheet name="Flujo" sheetId="4" state="visible" r:id="rId4"/>
    <sheet name="Activo financiero" sheetId="5" state="visible" r:id="rId5"/>
  </sheets>
  <definedNames>
    <definedName name="p_ke">Inputs!$D$6</definedName>
    <definedName name="p_kd">Inputs!$D$7</definedName>
    <definedName name="p_wacc">Inputs!$D$8</definedName>
    <definedName name="p_tir">Inputs!$D$9</definedName>
    <definedName name="p_rcsd">Inputs!$D$10</definedName>
    <definedName name="p_crsd">Inputs!$D$11</definedName>
    <definedName name="p_ir">Inputs!$D$12</definedName>
    <definedName name="p_pt">Inputs!$D$13</definedName>
    <definedName name="p_arr">Inputs!$D$14</definedName>
    <definedName name="p_ipm">Inputs!$D$15</definedName>
    <definedName name="p_fx">Inputs!$D$16</definedName>
    <definedName name="p_cuotas">Inputs!$D$17</definedName>
    <definedName name="p_ppdi">Inputs!$D$18</definedName>
    <definedName name="p_ref">Inputs!$D$19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0.0000"/>
    <numFmt numFmtId="166" formatCode="0.0000%"/>
    <numFmt numFmtId="167" formatCode="#,##0.000000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4" fillId="4" borderId="1" pivotButton="0" quotePrefix="0" xfId="0"/>
    <xf numFmtId="167" fontId="4" fillId="4" borderId="1" pivotButton="0" quotePrefix="0" xfId="0"/>
    <xf numFmtId="0" fontId="3" fillId="0" borderId="1" pivotButton="0" quotePrefix="0" xfId="0"/>
    <xf numFmtId="164" fontId="4" fillId="4" borderId="1" pivotButton="0" quotePrefix="0" xfId="0"/>
    <xf numFmtId="164" fontId="4" fillId="2" borderId="1" pivotButton="0" quotePrefix="0" xfId="0"/>
    <xf numFmtId="0" fontId="5" fillId="0" borderId="1" pivotButton="0" quotePrefix="0" xfId="0"/>
    <xf numFmtId="2" fontId="4" fillId="2" borderId="1" pivotButton="0" quotePrefix="0" xfId="0"/>
    <xf numFmtId="10" fontId="4" fillId="2" borderId="1" pivotButton="0" quotePrefix="0" xfId="0"/>
    <xf numFmtId="165" fontId="4" fillId="2" borderId="1" pivotButton="0" quotePrefix="0" xfId="0"/>
    <xf numFmtId="1" fontId="4" fillId="2" borderId="1" pivotButton="0" quotePrefix="0" xfId="0"/>
    <xf numFmtId="4" fontId="4" fillId="2" borderId="1" pivotButton="0" quotePrefix="0" xfId="0"/>
    <xf numFmtId="0" fontId="6" fillId="3" borderId="0" applyAlignment="1" pivotButton="0" quotePrefix="0" xfId="0">
      <alignment horizontal="center"/>
    </xf>
    <xf numFmtId="166" fontId="0" fillId="2" borderId="1" pivotButton="0" quotePrefix="0" xfId="0"/>
    <xf numFmtId="4" fontId="0" fillId="0" borderId="1" pivotButton="0" quotePrefix="0" xfId="0"/>
    <xf numFmtId="4" fontId="0" fillId="4" borderId="1" pivotButton="0" quotePrefix="0" xfId="0"/>
    <xf numFmtId="0" fontId="4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2" fontId="0" fillId="0" borderId="0" pivotButton="0" quotePrefix="0" xfId="0"/>
    <xf numFmtId="4" fontId="0" fillId="2" borderId="0" pivotButton="0" quotePrefix="0" xfId="0"/>
    <xf numFmtId="16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1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0" customWidth="1" min="5" max="5"/>
  </cols>
  <sheetData>
    <row r="2">
      <c r="B2" s="1" t="inlineStr">
        <is>
          <t>Resumen del modelo</t>
        </is>
      </c>
    </row>
    <row r="3">
      <c r="B3" s="2" t="inlineStr">
        <is>
          <t>San Martin paga el PPDI por hitos funcionales y cierra todo el PPDMO a la vez.</t>
        </is>
      </c>
    </row>
    <row r="6">
      <c r="B6" s="3" t="inlineStr">
        <is>
          <t>PPD Inversiones, anual</t>
        </is>
      </c>
      <c r="C6" s="4" t="n"/>
      <c r="D6" s="5">
        <f>p_ppdi</f>
        <v/>
      </c>
      <c r="E6" s="4" t="n"/>
    </row>
    <row r="7">
      <c r="B7" s="3" t="inlineStr">
        <is>
          <t>PPD Inversiones, cuota trimestral</t>
        </is>
      </c>
      <c r="C7" s="4" t="n"/>
      <c r="D7" s="5">
        <f>p_ppdi/4</f>
        <v/>
      </c>
      <c r="E7" s="4" t="n"/>
    </row>
    <row r="8">
      <c r="B8" s="3" t="inlineStr">
        <is>
          <t>PPD MO, referencia mensual</t>
        </is>
      </c>
      <c r="C8" s="4" t="n"/>
      <c r="D8" s="5">
        <f>p_ref</f>
        <v/>
      </c>
      <c r="E8" s="4" t="n"/>
    </row>
    <row r="9">
      <c r="B9" s="3" t="inlineStr">
        <is>
          <t>PPD MO fijo, anual</t>
        </is>
      </c>
      <c r="C9" s="4" t="n"/>
      <c r="D9" s="5">
        <f>Hitos!E10*12</f>
        <v/>
      </c>
      <c r="E9" s="4" t="n"/>
    </row>
    <row r="10">
      <c r="B10" s="3" t="inlineStr">
        <is>
          <t>Precio unitario, S/ por kg DBO</t>
        </is>
      </c>
      <c r="C10" s="4" t="n"/>
      <c r="D10" s="6" t="n">
        <v>3.647796950645631</v>
      </c>
      <c r="E10" s="4" t="n"/>
    </row>
    <row r="11">
      <c r="B11" s="7" t="inlineStr">
        <is>
          <t>VAN financiero, debe ser cero</t>
        </is>
      </c>
      <c r="C11" s="4" t="n"/>
      <c r="D11" s="5">
        <f>Flujo!$D$31</f>
        <v/>
      </c>
      <c r="E11" s="4" t="n"/>
    </row>
    <row r="12">
      <c r="B12" s="7" t="inlineStr">
        <is>
          <t>Ke</t>
        </is>
      </c>
      <c r="C12" s="4" t="n"/>
      <c r="D12" s="8">
        <f>p_ke</f>
        <v/>
      </c>
      <c r="E12" s="4" t="n"/>
    </row>
    <row r="13">
      <c r="B13" s="7" t="inlineStr">
        <is>
          <t>Kd</t>
        </is>
      </c>
      <c r="C13" s="4" t="n"/>
      <c r="D13" s="8">
        <f>p_kd</f>
        <v/>
      </c>
      <c r="E13" s="4" t="n"/>
    </row>
    <row r="14">
      <c r="B14" s="7" t="inlineStr">
        <is>
          <t>WACC</t>
        </is>
      </c>
      <c r="C14" s="4" t="n"/>
      <c r="D14" s="8">
        <f>p_wacc</f>
        <v/>
      </c>
      <c r="E1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2" customWidth="1" min="2" max="2"/>
    <col width="20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7" t="inlineStr">
        <is>
          <t>Ke, costo del patrimonio</t>
        </is>
      </c>
      <c r="C6" s="4" t="n"/>
      <c r="D6" s="9" t="n">
        <v>0.1197326670945649</v>
      </c>
      <c r="E6" s="10" t="inlineStr">
        <is>
          <t>CAPM en USD + riesgo pais + devaluacion</t>
        </is>
      </c>
    </row>
    <row r="7">
      <c r="B7" s="7" t="inlineStr">
        <is>
          <t>Kd, costo de la deuda</t>
        </is>
      </c>
      <c r="C7" s="4" t="n"/>
      <c r="D7" s="9" t="n">
        <v>0.10002308808</v>
      </c>
      <c r="E7" s="10" t="inlineStr">
        <is>
          <t>soberano a vida media + spread</t>
        </is>
      </c>
    </row>
    <row r="8">
      <c r="B8" s="7" t="inlineStr">
        <is>
          <t>WACC</t>
        </is>
      </c>
      <c r="C8" s="4" t="n"/>
      <c r="D8" s="9" t="n">
        <v>0.09863578555337094</v>
      </c>
      <c r="E8" s="10" t="inlineStr">
        <is>
          <t>despues de impuestos</t>
        </is>
      </c>
    </row>
    <row r="9">
      <c r="B9" s="7" t="inlineStr">
        <is>
          <t>TIR objetivo del cierre</t>
        </is>
      </c>
      <c r="C9" s="4" t="n"/>
      <c r="D9" s="9" t="n">
        <v>0.1197</v>
      </c>
      <c r="E9" s="10" t="inlineStr">
        <is>
          <t>Ke redondeado a 4 decimales, Control!M12</t>
        </is>
      </c>
    </row>
    <row r="10">
      <c r="B10" s="7" t="inlineStr">
        <is>
          <t>Cobertura minima, RCSD</t>
        </is>
      </c>
      <c r="C10" s="4" t="n"/>
      <c r="D10" s="11" t="n">
        <v>1.25</v>
      </c>
      <c r="E10" s="10" t="inlineStr">
        <is>
          <t>dimensiona la amortizacion</t>
        </is>
      </c>
    </row>
    <row r="11">
      <c r="B11" s="7" t="inlineStr">
        <is>
          <t>Cuenta de reserva, CRSD</t>
        </is>
      </c>
      <c r="C11" s="4" t="n"/>
      <c r="D11" s="12" t="n">
        <v>0.5</v>
      </c>
      <c r="E11" s="10" t="inlineStr">
        <is>
          <t>del servicio del ano siguiente</t>
        </is>
      </c>
    </row>
    <row r="12">
      <c r="B12" s="7" t="inlineStr">
        <is>
          <t>Impuesto a la Renta</t>
        </is>
      </c>
      <c r="C12" s="4" t="n"/>
      <c r="D12" s="12" t="n">
        <v>0.295</v>
      </c>
      <c r="E12" s="10" t="inlineStr"/>
    </row>
    <row r="13">
      <c r="B13" s="7" t="inlineStr">
        <is>
          <t>Participacion de trabajadores</t>
        </is>
      </c>
      <c r="C13" s="4" t="n"/>
      <c r="D13" s="12" t="n">
        <v>0.05</v>
      </c>
      <c r="E13" s="10" t="inlineStr"/>
    </row>
    <row r="14">
      <c r="B14" s="7" t="inlineStr">
        <is>
          <t>Arrastre de perdidas</t>
        </is>
      </c>
      <c r="C14" s="4" t="n"/>
      <c r="D14" s="12" t="n">
        <v>0.5</v>
      </c>
      <c r="E14" s="10" t="inlineStr">
        <is>
          <t>sistema B</t>
        </is>
      </c>
    </row>
    <row r="15">
      <c r="B15" s="7" t="inlineStr">
        <is>
          <t>IPM, reajuste</t>
        </is>
      </c>
      <c r="C15" s="4" t="n"/>
      <c r="D15" s="9" t="n">
        <v>0.0267</v>
      </c>
      <c r="E15" s="10" t="inlineStr">
        <is>
          <t>anual</t>
        </is>
      </c>
    </row>
    <row r="16">
      <c r="B16" s="7" t="inlineStr">
        <is>
          <t>Tipo de cambio</t>
        </is>
      </c>
      <c r="C16" s="4" t="n"/>
      <c r="D16" s="13" t="n">
        <v>3.3805</v>
      </c>
      <c r="E16" s="10" t="inlineStr">
        <is>
          <t>solo entra por los reembolsos en dolares</t>
        </is>
      </c>
    </row>
    <row r="17">
      <c r="B17" s="7" t="inlineStr">
        <is>
          <t>Cuotas del PPDI</t>
        </is>
      </c>
      <c r="C17" s="4" t="n"/>
      <c r="D17" s="14" t="n">
        <v>60</v>
      </c>
      <c r="E17" s="10" t="inlineStr">
        <is>
          <t>trimestrales</t>
        </is>
      </c>
    </row>
    <row r="18">
      <c r="B18" s="7" t="inlineStr">
        <is>
          <t>PPDI anual</t>
        </is>
      </c>
      <c r="C18" s="4" t="n"/>
      <c r="D18" s="15" t="n">
        <v>96490727.18805897</v>
      </c>
      <c r="E18" s="10" t="inlineStr">
        <is>
          <t>S/ - LA CIERRA Solver</t>
        </is>
      </c>
    </row>
    <row r="19">
      <c r="B19" s="7" t="inlineStr">
        <is>
          <t>PPDMO referencia mensual</t>
        </is>
      </c>
      <c r="C19" s="4" t="n"/>
      <c r="D19" s="15" t="n">
        <v>5479810.061962893</v>
      </c>
      <c r="E19" s="10" t="inlineStr">
        <is>
          <t>S/ - LA CIERRA Solver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42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Hitos funcionales</t>
        </is>
      </c>
    </row>
    <row r="3">
      <c r="B3" s="2" t="inlineStr">
        <is>
          <t>El PPDI se reparte por la participacion de cada hito en el CAPEX, y el PPDMO fijo por el VAN de su operacion y mantenimiento.</t>
        </is>
      </c>
    </row>
    <row r="5">
      <c r="B5" s="16" t="inlineStr">
        <is>
          <t>Hito</t>
        </is>
      </c>
      <c r="C5" s="16" t="inlineStr">
        <is>
          <t>% del CAPEX</t>
        </is>
      </c>
      <c r="D5" s="16" t="inlineStr">
        <is>
          <t>Cuota trimestral del PPDI</t>
        </is>
      </c>
      <c r="E5" s="16" t="inlineStr">
        <is>
          <t>PPDMO fijo mensual</t>
        </is>
      </c>
    </row>
    <row r="6">
      <c r="B6" s="3" t="inlineStr">
        <is>
          <t>Hito 1</t>
        </is>
      </c>
      <c r="C6" s="17" t="n">
        <v>0.7596493958055023</v>
      </c>
      <c r="D6" s="18">
        <f>p_ppdi*C6/4</f>
        <v/>
      </c>
      <c r="E6" s="19" t="n">
        <v>2683129.185106663</v>
      </c>
    </row>
    <row r="7">
      <c r="B7" s="3" t="inlineStr">
        <is>
          <t>Hito 2</t>
        </is>
      </c>
      <c r="C7" s="17" t="n">
        <v>0.06251337369777438</v>
      </c>
      <c r="D7" s="18">
        <f>p_ppdi*C7/4</f>
        <v/>
      </c>
      <c r="E7" s="19" t="n">
        <v>179543.0528269921</v>
      </c>
    </row>
    <row r="8">
      <c r="B8" s="3" t="inlineStr">
        <is>
          <t>Hito 3</t>
        </is>
      </c>
      <c r="C8" s="17" t="n">
        <v>0.02282498436332182</v>
      </c>
      <c r="D8" s="18">
        <f>p_ppdi*C8/4</f>
        <v/>
      </c>
      <c r="E8" s="19" t="n">
        <v>56494.3967935427</v>
      </c>
    </row>
    <row r="9">
      <c r="B9" s="3" t="inlineStr">
        <is>
          <t>Hito 4</t>
        </is>
      </c>
      <c r="C9" s="17" t="n">
        <v>0.1550122461334009</v>
      </c>
      <c r="D9" s="18">
        <f>p_ppdi*C9/4</f>
        <v/>
      </c>
      <c r="E9" s="19" t="n">
        <v>1047025.710911186</v>
      </c>
    </row>
    <row r="10">
      <c r="B10" s="20" t="inlineStr">
        <is>
          <t>Total</t>
        </is>
      </c>
      <c r="C10" s="21">
        <f>SUM(C6:C9)</f>
        <v/>
      </c>
      <c r="D10" s="22">
        <f>SUM(D6:D9)</f>
        <v/>
      </c>
      <c r="E10" s="22">
        <f>SUM(E6:E9)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E31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2">
      <c r="B2" s="1" t="inlineStr">
        <is>
          <t>Flujo de caja anual</t>
        </is>
      </c>
    </row>
    <row r="3">
      <c r="B3" s="2" t="inlineStr">
        <is>
          <t>El VAN de la ultima fila es la celda que Solver lleva a cero.</t>
        </is>
      </c>
    </row>
    <row r="5">
      <c r="B5" s="23" t="inlineStr">
        <is>
          <t>Ano</t>
        </is>
      </c>
      <c r="C5" s="24" t="n"/>
      <c r="D5" s="16" t="n">
        <v>2025</v>
      </c>
      <c r="E5" s="16" t="n">
        <v>2026</v>
      </c>
      <c r="F5" s="16" t="n">
        <v>2027</v>
      </c>
      <c r="G5" s="16" t="n">
        <v>2028</v>
      </c>
      <c r="H5" s="16" t="n">
        <v>2029</v>
      </c>
      <c r="I5" s="16" t="n">
        <v>2030</v>
      </c>
      <c r="J5" s="16" t="n">
        <v>2031</v>
      </c>
      <c r="K5" s="16" t="n">
        <v>2032</v>
      </c>
      <c r="L5" s="16" t="n">
        <v>2033</v>
      </c>
      <c r="M5" s="16" t="n">
        <v>2034</v>
      </c>
      <c r="N5" s="16" t="n">
        <v>2035</v>
      </c>
      <c r="O5" s="16" t="n">
        <v>2036</v>
      </c>
      <c r="P5" s="16" t="n">
        <v>2037</v>
      </c>
      <c r="Q5" s="16" t="n">
        <v>2038</v>
      </c>
      <c r="R5" s="16" t="n">
        <v>2039</v>
      </c>
      <c r="S5" s="16" t="n">
        <v>2040</v>
      </c>
      <c r="T5" s="16" t="n">
        <v>2041</v>
      </c>
      <c r="U5" s="16" t="n">
        <v>2042</v>
      </c>
      <c r="V5" s="16" t="n">
        <v>2043</v>
      </c>
      <c r="W5" s="16" t="n">
        <v>2044</v>
      </c>
      <c r="X5" s="16" t="n">
        <v>2045</v>
      </c>
      <c r="Y5" s="16" t="n">
        <v>2046</v>
      </c>
      <c r="Z5" s="16" t="n">
        <v>2047</v>
      </c>
      <c r="AA5" s="16" t="n">
        <v>2048</v>
      </c>
      <c r="AB5" s="16" t="n">
        <v>2049</v>
      </c>
      <c r="AC5" s="16" t="n">
        <v>2050</v>
      </c>
      <c r="AD5" s="16" t="n">
        <v>2051</v>
      </c>
      <c r="AE5" s="16" t="n">
        <v>2052</v>
      </c>
    </row>
    <row r="7">
      <c r="B7" s="25" t="inlineStr">
        <is>
          <t>PPD Inversiones</t>
        </is>
      </c>
      <c r="D7" s="26">
        <f>p_ppdi*0.0</f>
        <v/>
      </c>
      <c r="E7" s="26">
        <f>p_ppdi*0.0</f>
        <v/>
      </c>
      <c r="F7" s="26">
        <f>p_ppdi*0.0</f>
        <v/>
      </c>
      <c r="G7" s="26">
        <f>p_ppdi*0.0</f>
        <v/>
      </c>
      <c r="H7" s="26">
        <f>p_ppdi*0.0</f>
        <v/>
      </c>
      <c r="I7" s="26">
        <f>p_ppdi*0.9999999999999993</f>
        <v/>
      </c>
      <c r="J7" s="26">
        <f>p_ppdi*0.9999999999999993</f>
        <v/>
      </c>
      <c r="K7" s="26">
        <f>p_ppdi*0.9999999999999993</f>
        <v/>
      </c>
      <c r="L7" s="26">
        <f>p_ppdi*0.9999999999999993</f>
        <v/>
      </c>
      <c r="M7" s="26">
        <f>p_ppdi*0.9999999999999993</f>
        <v/>
      </c>
      <c r="N7" s="26">
        <f>p_ppdi*0.9999999999999993</f>
        <v/>
      </c>
      <c r="O7" s="26">
        <f>p_ppdi*0.9999999999999993</f>
        <v/>
      </c>
      <c r="P7" s="26">
        <f>p_ppdi*0.9999999999999993</f>
        <v/>
      </c>
      <c r="Q7" s="26">
        <f>p_ppdi*0.9999999999999993</f>
        <v/>
      </c>
      <c r="R7" s="26">
        <f>p_ppdi*0.9999999999999993</f>
        <v/>
      </c>
      <c r="S7" s="26">
        <f>p_ppdi*0.9999999999999993</f>
        <v/>
      </c>
      <c r="T7" s="26">
        <f>p_ppdi*0.9999999999999993</f>
        <v/>
      </c>
      <c r="U7" s="26">
        <f>p_ppdi*0.9999999999999993</f>
        <v/>
      </c>
      <c r="V7" s="26">
        <f>p_ppdi*0.9999999999999993</f>
        <v/>
      </c>
      <c r="W7" s="26">
        <f>p_ppdi*0.9999999999999993</f>
        <v/>
      </c>
      <c r="X7" s="26">
        <f>p_ppdi*0.0</f>
        <v/>
      </c>
      <c r="Y7" s="26">
        <f>p_ppdi*0.0</f>
        <v/>
      </c>
      <c r="Z7" s="26">
        <f>p_ppdi*0.0</f>
        <v/>
      </c>
      <c r="AA7" s="26">
        <f>p_ppdi*0.0</f>
        <v/>
      </c>
      <c r="AB7" s="26">
        <f>p_ppdi*0.0</f>
        <v/>
      </c>
      <c r="AC7" s="26">
        <f>p_ppdi*0.0</f>
        <v/>
      </c>
      <c r="AD7" s="26">
        <f>p_ppdi*0.0</f>
        <v/>
      </c>
      <c r="AE7" s="26">
        <f>p_ppdi*0.0</f>
        <v/>
      </c>
    </row>
    <row r="8">
      <c r="B8" s="25" t="inlineStr">
        <is>
          <t>PPD MO fijo</t>
        </is>
      </c>
      <c r="D8" s="26">
        <f>p_ref*0.0</f>
        <v/>
      </c>
      <c r="E8" s="26">
        <f>p_ref*0.0</f>
        <v/>
      </c>
      <c r="F8" s="26">
        <f>p_ref*0.0</f>
        <v/>
      </c>
      <c r="G8" s="26">
        <f>p_ref*0.0</f>
        <v/>
      </c>
      <c r="H8" s="26">
        <f>p_ref*0.0</f>
        <v/>
      </c>
      <c r="I8" s="26">
        <f>p_ref*9.65859213679519</f>
        <v/>
      </c>
      <c r="J8" s="26">
        <f>p_ref*9.90551788154506</f>
        <v/>
      </c>
      <c r="K8" s="26">
        <f>p_ref*10.15850892627442</f>
        <v/>
      </c>
      <c r="L8" s="26">
        <f>p_ref*10.417695551889748</f>
        <v/>
      </c>
      <c r="M8" s="26">
        <f>p_ref*10.738273435770067</f>
        <v/>
      </c>
      <c r="N8" s="26">
        <f>p_ref*11.013672796414117</f>
        <v/>
      </c>
      <c r="O8" s="26">
        <f>p_ref*11.295846764195161</f>
        <v/>
      </c>
      <c r="P8" s="26">
        <f>p_ref*11.584969046988517</f>
        <v/>
      </c>
      <c r="Q8" s="26">
        <f>p_ref*11.881184401356936</f>
        <v/>
      </c>
      <c r="R8" s="26">
        <f>p_ref*12.184637583863173</f>
        <v/>
      </c>
      <c r="S8" s="26">
        <f>p_ref*12.49550230238254</f>
        <v/>
      </c>
      <c r="T8" s="26">
        <f>p_ref*12.880091538313742</f>
        <v/>
      </c>
      <c r="U8" s="26">
        <f>p_ref*13.21042601452385</f>
        <v/>
      </c>
      <c r="V8" s="26">
        <f>p_ref*13.548866858248306</f>
        <v/>
      </c>
      <c r="W8" s="26">
        <f>p_ref*13.895631204331263</f>
        <v/>
      </c>
      <c r="X8" s="26">
        <f>p_ref*14.25090723630429</f>
        <v/>
      </c>
      <c r="Y8" s="26">
        <f>p_ref*14.61488313769898</f>
        <v/>
      </c>
      <c r="Z8" s="26">
        <f>p_ref*14.98777604335946</f>
        <v/>
      </c>
      <c r="AA8" s="26">
        <f>p_ref*15.449057306238997</f>
        <v/>
      </c>
      <c r="AB8" s="26">
        <f>p_ref*13.170418968913564</f>
        <v/>
      </c>
      <c r="AC8" s="26">
        <f>p_ref*0.0</f>
        <v/>
      </c>
      <c r="AD8" s="26">
        <f>p_ref*0.0</f>
        <v/>
      </c>
      <c r="AE8" s="26">
        <f>p_ref*0.0</f>
        <v/>
      </c>
    </row>
    <row r="9">
      <c r="B9" s="25" t="inlineStr">
        <is>
          <t>PPD MO variable</t>
        </is>
      </c>
      <c r="D9" s="26">
        <f>p_ref*0.0</f>
        <v/>
      </c>
      <c r="E9" s="26">
        <f>p_ref*0.0</f>
        <v/>
      </c>
      <c r="F9" s="26">
        <f>p_ref*0.0</f>
        <v/>
      </c>
      <c r="G9" s="26">
        <f>p_ref*0.0</f>
        <v/>
      </c>
      <c r="H9" s="26">
        <f>p_ref*0.0</f>
        <v/>
      </c>
      <c r="I9" s="26">
        <f>p_ref*2.6408549964385943</f>
        <v/>
      </c>
      <c r="J9" s="26">
        <f>p_ref*2.767157216392784</f>
        <v/>
      </c>
      <c r="K9" s="26">
        <f>p_ref*2.9002645881229294</f>
        <v/>
      </c>
      <c r="L9" s="26">
        <f>p_ref*3.067679145441892</f>
        <v/>
      </c>
      <c r="M9" s="26">
        <f>p_ref*3.2226668386049213</f>
        <v/>
      </c>
      <c r="N9" s="26">
        <f>p_ref*3.3694941867331294</f>
        <v/>
      </c>
      <c r="O9" s="26">
        <f>p_ref*3.523806464247716</f>
        <v/>
      </c>
      <c r="P9" s="26">
        <f>p_ref*3.686023759558088</f>
        <v/>
      </c>
      <c r="Q9" s="26">
        <f>p_ref*3.856581011820298</f>
        <v/>
      </c>
      <c r="R9" s="26">
        <f>p_ref*4.035937078427676</f>
        <v/>
      </c>
      <c r="S9" s="26">
        <f>p_ref*4.224586201540354</f>
        <v/>
      </c>
      <c r="T9" s="26">
        <f>p_ref*4.4458811485058085</f>
        <v/>
      </c>
      <c r="U9" s="26">
        <f>p_ref*4.656652872173741</f>
        <v/>
      </c>
      <c r="V9" s="26">
        <f>p_ref*4.902550310447827</f>
        <v/>
      </c>
      <c r="W9" s="26">
        <f>p_ref*5.162887901064566</f>
        <v/>
      </c>
      <c r="X9" s="26">
        <f>p_ref*5.4385727636957135</f>
        <v/>
      </c>
      <c r="Y9" s="26">
        <f>p_ref*5.577476862301027</f>
        <v/>
      </c>
      <c r="Z9" s="26">
        <f>p_ref*5.719783956640543</f>
        <v/>
      </c>
      <c r="AA9" s="26">
        <f>p_ref*5.895822693761001</f>
        <v/>
      </c>
      <c r="AB9" s="26">
        <f>p_ref*5.026226099368686</f>
        <v/>
      </c>
      <c r="AC9" s="26">
        <f>p_ref*0.0</f>
        <v/>
      </c>
      <c r="AD9" s="26">
        <f>p_ref*0.0</f>
        <v/>
      </c>
      <c r="AE9" s="26">
        <f>p_ref*0.0</f>
        <v/>
      </c>
    </row>
    <row r="10">
      <c r="B10" s="25" t="inlineStr">
        <is>
          <t>Pago por Obras</t>
        </is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6738784.790106275</v>
      </c>
      <c r="K10" s="26" t="n">
        <v>0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26" t="n">
        <v>0</v>
      </c>
      <c r="AB10" s="26" t="n">
        <v>0</v>
      </c>
      <c r="AC10" s="26" t="n">
        <v>0</v>
      </c>
      <c r="AD10" s="26" t="n">
        <v>0</v>
      </c>
      <c r="AE10" s="26" t="n">
        <v>0</v>
      </c>
    </row>
    <row r="11">
      <c r="B11" s="25" t="inlineStr">
        <is>
          <t>CAPEX</t>
        </is>
      </c>
      <c r="D11" s="26" t="n">
        <v>-5843750.246115132</v>
      </c>
      <c r="E11" s="26" t="n">
        <v>-24597551.61708116</v>
      </c>
      <c r="F11" s="26" t="n">
        <v>-115086842.7554201</v>
      </c>
      <c r="G11" s="26" t="n">
        <v>-270595530.2645948</v>
      </c>
      <c r="H11" s="26" t="n">
        <v>-139200171.370141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6" t="n">
        <v>0</v>
      </c>
    </row>
    <row r="12">
      <c r="B12" s="25" t="inlineStr">
        <is>
          <t>Otros costos del periodo D+C+PM</t>
        </is>
      </c>
      <c r="D12" s="26" t="n">
        <v>-4272486.870306558</v>
      </c>
      <c r="E12" s="26" t="n">
        <v>-2619055.057004346</v>
      </c>
      <c r="F12" s="26" t="n">
        <v>-2976119.735574548</v>
      </c>
      <c r="G12" s="26" t="n">
        <v>-3475882.992325368</v>
      </c>
      <c r="H12" s="26" t="n">
        <v>-3504061.813642684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6" t="n">
        <v>0</v>
      </c>
    </row>
    <row r="13">
      <c r="B13" s="25" t="inlineStr">
        <is>
          <t>Variacion de IGV del periodo D+C+PM</t>
        </is>
      </c>
      <c r="D13" s="26" t="n">
        <v>-531330.4443595728</v>
      </c>
      <c r="E13" s="26" t="n">
        <v>476308.4213880335</v>
      </c>
      <c r="F13" s="26" t="n">
        <v>-2439521.322193383</v>
      </c>
      <c r="G13" s="26" t="n">
        <v>-1603943.427599815</v>
      </c>
      <c r="H13" s="26" t="n">
        <v>3915109.632470076</v>
      </c>
      <c r="I13" s="26" t="n">
        <v>183377.1402946605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0</v>
      </c>
      <c r="AA13" s="26" t="n">
        <v>0</v>
      </c>
      <c r="AB13" s="26" t="n">
        <v>0</v>
      </c>
      <c r="AC13" s="26" t="n">
        <v>0</v>
      </c>
      <c r="AD13" s="26" t="n">
        <v>0</v>
      </c>
      <c r="AE13" s="26" t="n">
        <v>0</v>
      </c>
    </row>
    <row r="14">
      <c r="B14" s="25" t="inlineStr">
        <is>
          <t>Costos de cierre de la laguna SJS</t>
        </is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-6738784.790106275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26" t="n">
        <v>0</v>
      </c>
      <c r="AB14" s="26" t="n">
        <v>0</v>
      </c>
      <c r="AC14" s="26" t="n">
        <v>0</v>
      </c>
      <c r="AD14" s="26" t="n">
        <v>0</v>
      </c>
      <c r="AE14" s="26" t="n">
        <v>0</v>
      </c>
    </row>
    <row r="15">
      <c r="B15" s="25" t="inlineStr">
        <is>
          <t>Costos de operacion y mantenimiento</t>
        </is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-58208695.69175517</v>
      </c>
      <c r="J15" s="26" t="n">
        <v>-59374668.89667466</v>
      </c>
      <c r="K15" s="26" t="n">
        <v>-60155936.68161765</v>
      </c>
      <c r="L15" s="26" t="n">
        <v>-61830243.42410477</v>
      </c>
      <c r="M15" s="26" t="n">
        <v>-63555823.74664253</v>
      </c>
      <c r="N15" s="26" t="n">
        <v>-63623040.48570278</v>
      </c>
      <c r="O15" s="26" t="n">
        <v>-65421948.89085402</v>
      </c>
      <c r="P15" s="26" t="n">
        <v>-67327680.32341753</v>
      </c>
      <c r="Q15" s="26" t="n">
        <v>-69201748.7523454</v>
      </c>
      <c r="R15" s="26" t="n">
        <v>-71174318.09057905</v>
      </c>
      <c r="S15" s="26" t="n">
        <v>-73920855.91609694</v>
      </c>
      <c r="T15" s="26" t="n">
        <v>-76011263.08863319</v>
      </c>
      <c r="U15" s="26" t="n">
        <v>-78156658.88096081</v>
      </c>
      <c r="V15" s="26" t="n">
        <v>-80365048.89333855</v>
      </c>
      <c r="W15" s="26" t="n">
        <v>-82667692.02774051</v>
      </c>
      <c r="X15" s="26" t="n">
        <v>-83719125.88589385</v>
      </c>
      <c r="Y15" s="26" t="n">
        <v>-86133142.16981487</v>
      </c>
      <c r="Z15" s="26" t="n">
        <v>-88683405.47152995</v>
      </c>
      <c r="AA15" s="26" t="n">
        <v>-91310040.04853651</v>
      </c>
      <c r="AB15" s="26" t="n">
        <v>-79951487.1538935</v>
      </c>
      <c r="AC15" s="26" t="n">
        <v>0</v>
      </c>
      <c r="AD15" s="26" t="n">
        <v>0</v>
      </c>
      <c r="AE15" s="26" t="n">
        <v>0</v>
      </c>
    </row>
    <row r="16">
      <c r="B16" s="25" t="inlineStr">
        <is>
          <t>Reposiciones</t>
        </is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-213408.1147751489</v>
      </c>
      <c r="T16" s="26" t="n">
        <v>-169841.0091920356</v>
      </c>
      <c r="U16" s="26" t="n">
        <v>-72880.52238217702</v>
      </c>
      <c r="V16" s="26" t="n">
        <v>0</v>
      </c>
      <c r="W16" s="26" t="n">
        <v>-5260935.224002867</v>
      </c>
      <c r="X16" s="26" t="n">
        <v>0</v>
      </c>
      <c r="Y16" s="26" t="n">
        <v>-6936190.87397668</v>
      </c>
      <c r="Z16" s="26" t="n">
        <v>0</v>
      </c>
      <c r="AA16" s="26" t="n">
        <v>0</v>
      </c>
      <c r="AB16" s="26" t="n">
        <v>0</v>
      </c>
      <c r="AC16" s="26" t="n">
        <v>0</v>
      </c>
      <c r="AD16" s="26" t="n">
        <v>0</v>
      </c>
      <c r="AE16" s="26" t="n">
        <v>0</v>
      </c>
    </row>
    <row r="17">
      <c r="B17" s="25" t="inlineStr">
        <is>
          <t>Variacion del capital de trabajo</t>
        </is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-37700931.33273753</v>
      </c>
      <c r="J17" s="26" t="n">
        <v>-363762.4812554428</v>
      </c>
      <c r="K17" s="26" t="n">
        <v>-1180797.106650627</v>
      </c>
      <c r="L17" s="26" t="n">
        <v>-1177360.038883144</v>
      </c>
      <c r="M17" s="26" t="n">
        <v>-605194.9966403097</v>
      </c>
      <c r="N17" s="26" t="n">
        <v>-1322499.512058467</v>
      </c>
      <c r="O17" s="26" t="n">
        <v>-640546.2587584127</v>
      </c>
      <c r="P17" s="26" t="n">
        <v>-1010134.110644422</v>
      </c>
      <c r="Q17" s="26" t="n">
        <v>-1563330.157274808</v>
      </c>
      <c r="R17" s="26" t="n">
        <v>-182179.2897041431</v>
      </c>
      <c r="S17" s="26" t="n">
        <v>-1293761.14272538</v>
      </c>
      <c r="T17" s="26" t="n">
        <v>-1296760.505858217</v>
      </c>
      <c r="U17" s="26" t="n">
        <v>-892660.1899250075</v>
      </c>
      <c r="V17" s="26" t="n">
        <v>-1611916.332378053</v>
      </c>
      <c r="W17" s="26" t="n">
        <v>-497143.0087781427</v>
      </c>
      <c r="X17" s="26" t="n">
        <v>29611935.13396047</v>
      </c>
      <c r="Y17" s="26" t="n">
        <v>-1031965.49517638</v>
      </c>
      <c r="Z17" s="26" t="n">
        <v>-210723.7484453693</v>
      </c>
      <c r="AA17" s="26" t="n">
        <v>-793327.556594694</v>
      </c>
      <c r="AB17" s="26" t="n">
        <v>23763058.13052808</v>
      </c>
      <c r="AC17" s="26" t="n">
        <v>0</v>
      </c>
      <c r="AD17" s="26" t="n">
        <v>0</v>
      </c>
      <c r="AE17" s="26" t="n">
        <v>0</v>
      </c>
    </row>
    <row r="18">
      <c r="B18" s="25" t="inlineStr">
        <is>
          <t>Otros del periodo operativo</t>
        </is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-10133000</v>
      </c>
      <c r="I18" s="26" t="n">
        <v>10133000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  <c r="AD18" s="26" t="n">
        <v>0</v>
      </c>
      <c r="AE18" s="26" t="n">
        <v>0</v>
      </c>
    </row>
    <row r="19">
      <c r="B19" s="25" t="inlineStr">
        <is>
          <t>Participacion de trabajadores</t>
        </is>
      </c>
      <c r="D19" s="26" t="n">
        <v>-0</v>
      </c>
      <c r="E19" s="26" t="n">
        <v>-0</v>
      </c>
      <c r="F19" s="26" t="n">
        <v>-0</v>
      </c>
      <c r="G19" s="26" t="n">
        <v>-0</v>
      </c>
      <c r="H19" s="26" t="n">
        <v>-0</v>
      </c>
      <c r="I19" s="26" t="n">
        <v>-4084.930958561413</v>
      </c>
      <c r="J19" s="26" t="n">
        <v>-770202.8988687998</v>
      </c>
      <c r="K19" s="26" t="n">
        <v>-665623.2257252517</v>
      </c>
      <c r="L19" s="26" t="n">
        <v>-863409.7969265166</v>
      </c>
      <c r="M19" s="26" t="n">
        <v>-1089282.964325405</v>
      </c>
      <c r="N19" s="26" t="n">
        <v>-1401176.311401032</v>
      </c>
      <c r="O19" s="26" t="n">
        <v>-1641336.14871804</v>
      </c>
      <c r="P19" s="26" t="n">
        <v>-1896607.064327413</v>
      </c>
      <c r="Q19" s="26" t="n">
        <v>-2174636.480151005</v>
      </c>
      <c r="R19" s="26" t="n">
        <v>-2471992.704799519</v>
      </c>
      <c r="S19" s="26" t="n">
        <v>-3062720.69927137</v>
      </c>
      <c r="T19" s="26" t="n">
        <v>-3424088.485495405</v>
      </c>
      <c r="U19" s="26" t="n">
        <v>-3769926.717094515</v>
      </c>
      <c r="V19" s="26" t="n">
        <v>-4010717.500149642</v>
      </c>
      <c r="W19" s="26" t="n">
        <v>-3798878.747297607</v>
      </c>
      <c r="X19" s="26" t="n">
        <v>-1208774.236646166</v>
      </c>
      <c r="Y19" s="26" t="n">
        <v>-879048.2229492767</v>
      </c>
      <c r="Z19" s="26" t="n">
        <v>-1239504.50875852</v>
      </c>
      <c r="AA19" s="26" t="n">
        <v>-1282792.4073427</v>
      </c>
      <c r="AB19" s="26" t="n">
        <v>-988133.5792623513</v>
      </c>
      <c r="AC19" s="26" t="n">
        <v>-0</v>
      </c>
      <c r="AD19" s="26" t="n">
        <v>-0</v>
      </c>
      <c r="AE19" s="26" t="n">
        <v>-0</v>
      </c>
    </row>
    <row r="20">
      <c r="B20" s="25" t="inlineStr">
        <is>
          <t>Impuesto a la Renta</t>
        </is>
      </c>
      <c r="D20" s="26" t="n">
        <v>-0</v>
      </c>
      <c r="E20" s="26" t="n">
        <v>-0</v>
      </c>
      <c r="F20" s="26" t="n">
        <v>-0</v>
      </c>
      <c r="G20" s="26" t="n">
        <v>-0</v>
      </c>
      <c r="H20" s="26" t="n">
        <v>-0</v>
      </c>
      <c r="I20" s="26" t="n">
        <v>-11448.01901136836</v>
      </c>
      <c r="J20" s="26" t="n">
        <v>-2158493.624079811</v>
      </c>
      <c r="K20" s="26" t="n">
        <v>-1865409.090095018</v>
      </c>
      <c r="L20" s="26" t="n">
        <v>-2419705.955886562</v>
      </c>
      <c r="M20" s="26" t="n">
        <v>-3052715.507521946</v>
      </c>
      <c r="N20" s="26" t="n">
        <v>-6966983.520014014</v>
      </c>
      <c r="O20" s="26" t="n">
        <v>-9199689.113564612</v>
      </c>
      <c r="P20" s="26" t="n">
        <v>-10630482.59555515</v>
      </c>
      <c r="Q20" s="26" t="n">
        <v>-12188837.47124638</v>
      </c>
      <c r="R20" s="26" t="n">
        <v>-13855519.11040131</v>
      </c>
      <c r="S20" s="26" t="n">
        <v>-17166549.51941602</v>
      </c>
      <c r="T20" s="26" t="n">
        <v>-19192015.96120174</v>
      </c>
      <c r="U20" s="26" t="n">
        <v>-21130439.24931476</v>
      </c>
      <c r="V20" s="26" t="n">
        <v>-22480071.58833874</v>
      </c>
      <c r="W20" s="26" t="n">
        <v>-21292715.37860309</v>
      </c>
      <c r="X20" s="26" t="n">
        <v>-6775179.596401758</v>
      </c>
      <c r="Y20" s="26" t="n">
        <v>-4927065.289630695</v>
      </c>
      <c r="Z20" s="26" t="n">
        <v>-6947422.771591507</v>
      </c>
      <c r="AA20" s="26" t="n">
        <v>-7190051.443155834</v>
      </c>
      <c r="AB20" s="26" t="n">
        <v>-5538488.711765479</v>
      </c>
      <c r="AC20" s="26" t="n">
        <v>-0</v>
      </c>
      <c r="AD20" s="26" t="n">
        <v>-0</v>
      </c>
      <c r="AE20" s="26" t="n">
        <v>-0</v>
      </c>
    </row>
    <row r="21">
      <c r="B21" s="25" t="inlineStr">
        <is>
          <t>Desembolsos de deuda</t>
        </is>
      </c>
      <c r="D21" s="26" t="n">
        <v>0</v>
      </c>
      <c r="E21" s="26" t="n">
        <v>0</v>
      </c>
      <c r="F21" s="26" t="n">
        <v>33313425.7095183</v>
      </c>
      <c r="G21" s="26" t="n">
        <v>297766908.2880813</v>
      </c>
      <c r="H21" s="26" t="n">
        <v>224366180.8307832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6" t="n">
        <v>0</v>
      </c>
      <c r="AB21" s="26" t="n">
        <v>0</v>
      </c>
      <c r="AC21" s="26" t="n">
        <v>0</v>
      </c>
      <c r="AD21" s="26" t="n">
        <v>0</v>
      </c>
      <c r="AE21" s="26" t="n">
        <v>0</v>
      </c>
    </row>
    <row r="22">
      <c r="B22" s="25" t="inlineStr">
        <is>
          <t>Intereses de construccion</t>
        </is>
      </c>
      <c r="D22" s="26" t="n">
        <v>0</v>
      </c>
      <c r="E22" s="26" t="n">
        <v>0</v>
      </c>
      <c r="F22" s="26" t="n">
        <v>-445040.344917296</v>
      </c>
      <c r="G22" s="26" t="n">
        <v>-18466490.73718739</v>
      </c>
      <c r="H22" s="26" t="n">
        <v>-44329472.01031574</v>
      </c>
      <c r="I22" s="26" t="n">
        <v>0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  <c r="Z22" s="26" t="n">
        <v>0</v>
      </c>
      <c r="AA22" s="26" t="n">
        <v>0</v>
      </c>
      <c r="AB22" s="26" t="n">
        <v>0</v>
      </c>
      <c r="AC22" s="26" t="n">
        <v>0</v>
      </c>
      <c r="AD22" s="26" t="n">
        <v>0</v>
      </c>
      <c r="AE22" s="26" t="n">
        <v>0</v>
      </c>
    </row>
    <row r="23">
      <c r="B23" s="25" t="inlineStr">
        <is>
          <t>Comisiones de construccion</t>
        </is>
      </c>
      <c r="D23" s="26" t="n">
        <v>0</v>
      </c>
      <c r="E23" s="26" t="n">
        <v>0</v>
      </c>
      <c r="F23" s="26" t="n">
        <v>-13839664.44502998</v>
      </c>
      <c r="G23" s="26" t="n">
        <v>-3625060.866373982</v>
      </c>
      <c r="H23" s="26" t="n">
        <v>-922861.107822115</v>
      </c>
      <c r="I23" s="26" t="n">
        <v>0</v>
      </c>
      <c r="J23" s="26" t="n">
        <v>0</v>
      </c>
      <c r="K23" s="26" t="n">
        <v>0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0</v>
      </c>
      <c r="W23" s="26" t="n">
        <v>0</v>
      </c>
      <c r="X23" s="26" t="n">
        <v>0</v>
      </c>
      <c r="Y23" s="26" t="n">
        <v>0</v>
      </c>
      <c r="Z23" s="26" t="n">
        <v>0</v>
      </c>
      <c r="AA23" s="26" t="n">
        <v>0</v>
      </c>
      <c r="AB23" s="26" t="n">
        <v>0</v>
      </c>
      <c r="AC23" s="26" t="n">
        <v>0</v>
      </c>
      <c r="AD23" s="26" t="n">
        <v>0</v>
      </c>
      <c r="AE23" s="26" t="n">
        <v>0</v>
      </c>
    </row>
    <row r="24">
      <c r="B24" s="25" t="inlineStr">
        <is>
          <t>Intereses del periodo operativo</t>
        </is>
      </c>
      <c r="D24" s="26" t="n">
        <v>-0</v>
      </c>
      <c r="E24" s="26" t="n">
        <v>-0</v>
      </c>
      <c r="F24" s="26" t="n">
        <v>-0</v>
      </c>
      <c r="G24" s="26" t="n">
        <v>-0</v>
      </c>
      <c r="H24" s="26" t="n">
        <v>-0</v>
      </c>
      <c r="I24" s="26" t="n">
        <v>-55514492.18483587</v>
      </c>
      <c r="J24" s="26" t="n">
        <v>-54548947.55831539</v>
      </c>
      <c r="K24" s="26" t="n">
        <v>-51236234.43355981</v>
      </c>
      <c r="L24" s="26" t="n">
        <v>-47943889.721736</v>
      </c>
      <c r="M24" s="26" t="n">
        <v>-44306855.08542582</v>
      </c>
      <c r="N24" s="26" t="n">
        <v>-40315493.57201273</v>
      </c>
      <c r="O24" s="26" t="n">
        <v>-36105250.13940074</v>
      </c>
      <c r="P24" s="26" t="n">
        <v>-31567355.55610464</v>
      </c>
      <c r="Q24" s="26" t="n">
        <v>-26690524.03716811</v>
      </c>
      <c r="R24" s="26" t="n">
        <v>-21416533.18726569</v>
      </c>
      <c r="S24" s="26" t="n">
        <v>-15703368.64224271</v>
      </c>
      <c r="T24" s="26" t="n">
        <v>-9749303.092630163</v>
      </c>
      <c r="U24" s="26" t="n">
        <v>-3749262.353812387</v>
      </c>
      <c r="V24" s="26" t="n">
        <v>-0</v>
      </c>
      <c r="W24" s="26" t="n">
        <v>-0</v>
      </c>
      <c r="X24" s="26" t="n">
        <v>-0</v>
      </c>
      <c r="Y24" s="26" t="n">
        <v>-0</v>
      </c>
      <c r="Z24" s="26" t="n">
        <v>-0</v>
      </c>
      <c r="AA24" s="26" t="n">
        <v>-0</v>
      </c>
      <c r="AB24" s="26" t="n">
        <v>-0</v>
      </c>
      <c r="AC24" s="26" t="n">
        <v>-0</v>
      </c>
      <c r="AD24" s="26" t="n">
        <v>-0</v>
      </c>
      <c r="AE24" s="26" t="n">
        <v>-0</v>
      </c>
    </row>
    <row r="25">
      <c r="B25" s="25" t="inlineStr">
        <is>
          <t>Amortizacion de deuda</t>
        </is>
      </c>
      <c r="D25" s="26" t="n">
        <v>-0</v>
      </c>
      <c r="E25" s="26" t="n">
        <v>-0</v>
      </c>
      <c r="F25" s="26" t="n">
        <v>-0</v>
      </c>
      <c r="G25" s="26" t="n">
        <v>-0</v>
      </c>
      <c r="H25" s="26" t="n">
        <v>-0</v>
      </c>
      <c r="I25" s="26" t="n">
        <v>-1718942.792011991</v>
      </c>
      <c r="J25" s="26" t="n">
        <v>-33456041.71444689</v>
      </c>
      <c r="K25" s="26" t="n">
        <v>-32109813.23448777</v>
      </c>
      <c r="L25" s="26" t="n">
        <v>-35333950.2206925</v>
      </c>
      <c r="M25" s="26" t="n">
        <v>-39445953.68490361</v>
      </c>
      <c r="N25" s="26" t="n">
        <v>-41279746.84080756</v>
      </c>
      <c r="O25" s="26" t="n">
        <v>-44531623.18234805</v>
      </c>
      <c r="P25" s="26" t="n">
        <v>-47879014.94916851</v>
      </c>
      <c r="Q25" s="26" t="n">
        <v>-51391187.63561712</v>
      </c>
      <c r="R25" s="26" t="n">
        <v>-56737375.80298761</v>
      </c>
      <c r="S25" s="26" t="n">
        <v>-58261704.17094194</v>
      </c>
      <c r="T25" s="26" t="n">
        <v>-63322534.98753496</v>
      </c>
      <c r="U25" s="26" t="n">
        <v>-49978625.61243416</v>
      </c>
      <c r="V25" s="26" t="n">
        <v>-0</v>
      </c>
      <c r="W25" s="26" t="n">
        <v>-0</v>
      </c>
      <c r="X25" s="26" t="n">
        <v>-0</v>
      </c>
      <c r="Y25" s="26" t="n">
        <v>-0</v>
      </c>
      <c r="Z25" s="26" t="n">
        <v>-0</v>
      </c>
      <c r="AA25" s="26" t="n">
        <v>-0</v>
      </c>
      <c r="AB25" s="26" t="n">
        <v>-0</v>
      </c>
      <c r="AC25" s="26" t="n">
        <v>-0</v>
      </c>
      <c r="AD25" s="26" t="n">
        <v>-0</v>
      </c>
      <c r="AE25" s="26" t="n">
        <v>-0</v>
      </c>
    </row>
    <row r="26">
      <c r="B26" s="25" t="inlineStr">
        <is>
          <t>Cuenta de reserva CRSD</t>
        </is>
      </c>
      <c r="D26" s="26" t="n">
        <v>-0</v>
      </c>
      <c r="E26" s="26" t="n">
        <v>-0</v>
      </c>
      <c r="F26" s="26" t="n">
        <v>-0</v>
      </c>
      <c r="G26" s="26" t="n">
        <v>-0</v>
      </c>
      <c r="H26" s="26" t="n">
        <v>-28616717.48842393</v>
      </c>
      <c r="I26" s="26" t="n">
        <v>-15385777.14795721</v>
      </c>
      <c r="J26" s="26" t="n">
        <v>2329470.802357353</v>
      </c>
      <c r="K26" s="26" t="n">
        <v>34103.86280953884</v>
      </c>
      <c r="L26" s="26" t="n">
        <v>-237484.4139504656</v>
      </c>
      <c r="M26" s="26" t="n">
        <v>1078784.178754568</v>
      </c>
      <c r="N26" s="26" t="n">
        <v>479183.5455357507</v>
      </c>
      <c r="O26" s="26" t="n">
        <v>595251.4082378224</v>
      </c>
      <c r="P26" s="26" t="n">
        <v>682329.4162439555</v>
      </c>
      <c r="Q26" s="26" t="n">
        <v>-36098.65873403102</v>
      </c>
      <c r="R26" s="26" t="n">
        <v>2094418.088534325</v>
      </c>
      <c r="S26" s="26" t="n">
        <v>446617.3665097654</v>
      </c>
      <c r="T26" s="26" t="n">
        <v>9671975.056959283</v>
      </c>
      <c r="U26" s="26" t="n">
        <v>26863943.98312328</v>
      </c>
      <c r="V26" s="26" t="n">
        <v>-0</v>
      </c>
      <c r="W26" s="26" t="n">
        <v>-0</v>
      </c>
      <c r="X26" s="26" t="n">
        <v>-0</v>
      </c>
      <c r="Y26" s="26" t="n">
        <v>-0</v>
      </c>
      <c r="Z26" s="26" t="n">
        <v>-0</v>
      </c>
      <c r="AA26" s="26" t="n">
        <v>-0</v>
      </c>
      <c r="AB26" s="26" t="n">
        <v>-0</v>
      </c>
      <c r="AC26" s="26" t="n">
        <v>-0</v>
      </c>
      <c r="AD26" s="26" t="n">
        <v>-0</v>
      </c>
      <c r="AE26" s="26" t="n">
        <v>-0</v>
      </c>
    </row>
    <row r="28">
      <c r="B28" s="20" t="inlineStr">
        <is>
          <t>Flujo de caja financiero</t>
        </is>
      </c>
      <c r="D28" s="27">
        <f>SUM(D7:D26)</f>
        <v/>
      </c>
      <c r="E28" s="27">
        <f>SUM(E7:E26)</f>
        <v/>
      </c>
      <c r="F28" s="27">
        <f>SUM(F7:F26)</f>
        <v/>
      </c>
      <c r="G28" s="27">
        <f>SUM(G7:G26)</f>
        <v/>
      </c>
      <c r="H28" s="27">
        <f>SUM(H7:H26)</f>
        <v/>
      </c>
      <c r="I28" s="27">
        <f>SUM(I7:I26)</f>
        <v/>
      </c>
      <c r="J28" s="27">
        <f>SUM(J7:J26)</f>
        <v/>
      </c>
      <c r="K28" s="27">
        <f>SUM(K7:K26)</f>
        <v/>
      </c>
      <c r="L28" s="27">
        <f>SUM(L7:L26)</f>
        <v/>
      </c>
      <c r="M28" s="27">
        <f>SUM(M7:M26)</f>
        <v/>
      </c>
      <c r="N28" s="27">
        <f>SUM(N7:N26)</f>
        <v/>
      </c>
      <c r="O28" s="27">
        <f>SUM(O7:O26)</f>
        <v/>
      </c>
      <c r="P28" s="27">
        <f>SUM(P7:P26)</f>
        <v/>
      </c>
      <c r="Q28" s="27">
        <f>SUM(Q7:Q26)</f>
        <v/>
      </c>
      <c r="R28" s="27">
        <f>SUM(R7:R26)</f>
        <v/>
      </c>
      <c r="S28" s="27">
        <f>SUM(S7:S26)</f>
        <v/>
      </c>
      <c r="T28" s="27">
        <f>SUM(T7:T26)</f>
        <v/>
      </c>
      <c r="U28" s="27">
        <f>SUM(U7:U26)</f>
        <v/>
      </c>
      <c r="V28" s="27">
        <f>SUM(V7:V26)</f>
        <v/>
      </c>
      <c r="W28" s="27">
        <f>SUM(W7:W26)</f>
        <v/>
      </c>
      <c r="X28" s="27">
        <f>SUM(X7:X26)</f>
        <v/>
      </c>
      <c r="Y28" s="27">
        <f>SUM(Y7:Y26)</f>
        <v/>
      </c>
      <c r="Z28" s="27">
        <f>SUM(Z7:Z26)</f>
        <v/>
      </c>
      <c r="AA28" s="27">
        <f>SUM(AA7:AA26)</f>
        <v/>
      </c>
      <c r="AB28" s="27">
        <f>SUM(AB7:AB26)</f>
        <v/>
      </c>
      <c r="AC28" s="27">
        <f>SUM(AC7:AC26)</f>
        <v/>
      </c>
      <c r="AD28" s="27">
        <f>SUM(AD7:AD26)</f>
        <v/>
      </c>
      <c r="AE28" s="27">
        <f>SUM(AE7:AE26)</f>
        <v/>
      </c>
    </row>
    <row r="29">
      <c r="B29" s="25" t="inlineStr">
        <is>
          <t>Periodo de descuento</t>
        </is>
      </c>
      <c r="D29" s="28" t="n">
        <v>0.1666666666666667</v>
      </c>
      <c r="E29" s="28" t="n">
        <v>1.166666666666667</v>
      </c>
      <c r="F29" s="28" t="n">
        <v>2.166666666666667</v>
      </c>
      <c r="G29" s="28" t="n">
        <v>3.166666666666667</v>
      </c>
      <c r="H29" s="28" t="n">
        <v>4.166666666666667</v>
      </c>
      <c r="I29" s="28" t="n">
        <v>5.166666666666667</v>
      </c>
      <c r="J29" s="28" t="n">
        <v>6.166666666666667</v>
      </c>
      <c r="K29" s="28" t="n">
        <v>7.166666666666667</v>
      </c>
      <c r="L29" s="28" t="n">
        <v>8.166666666666668</v>
      </c>
      <c r="M29" s="28" t="n">
        <v>9.166666666666668</v>
      </c>
      <c r="N29" s="28" t="n">
        <v>10.16666666666667</v>
      </c>
      <c r="O29" s="28" t="n">
        <v>11.16666666666667</v>
      </c>
      <c r="P29" s="28" t="n">
        <v>12.16666666666667</v>
      </c>
      <c r="Q29" s="28" t="n">
        <v>13.16666666666667</v>
      </c>
      <c r="R29" s="28" t="n">
        <v>14.16666666666667</v>
      </c>
      <c r="S29" s="28" t="n">
        <v>15.16666666666667</v>
      </c>
      <c r="T29" s="28" t="n">
        <v>16.16666666666667</v>
      </c>
      <c r="U29" s="28" t="n">
        <v>17.16666666666667</v>
      </c>
      <c r="V29" s="28" t="n">
        <v>18.16666666666667</v>
      </c>
      <c r="W29" s="28" t="n">
        <v>19.16666666666667</v>
      </c>
      <c r="X29" s="28" t="n">
        <v>20.16666666666667</v>
      </c>
      <c r="Y29" s="28" t="n">
        <v>21.16666666666667</v>
      </c>
      <c r="Z29" s="28" t="n">
        <v>22.16666666666667</v>
      </c>
      <c r="AA29" s="28" t="n">
        <v>23.16666666666667</v>
      </c>
      <c r="AB29" s="28" t="n">
        <v>24</v>
      </c>
      <c r="AC29" s="28" t="n">
        <v>24</v>
      </c>
      <c r="AD29" s="28" t="n">
        <v>24</v>
      </c>
      <c r="AE29" s="28" t="n">
        <v>24</v>
      </c>
    </row>
    <row r="31">
      <c r="B31" s="20" t="inlineStr">
        <is>
          <t>VAN del flujo de caja financiero</t>
        </is>
      </c>
      <c r="D31" s="29">
        <f>SUMPRODUCT(D28:AE28,1/(1+p_tir)^D29:AE29)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22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2">
      <c r="B2" s="1" t="inlineStr">
        <is>
          <t>Activo financiero del PPDI</t>
        </is>
      </c>
    </row>
    <row r="3">
      <c r="B3" s="2" t="inlineStr">
        <is>
          <t>CINIIF 12 p.16: el cobro es incondicional, asi que la obra es cuenta por cobrar. Se reconoce por el servicio de construccion, no por la necesidad de financiamiento.</t>
        </is>
      </c>
    </row>
    <row r="5">
      <c r="B5" s="23" t="inlineStr">
        <is>
          <t>Ano</t>
        </is>
      </c>
      <c r="C5" s="24" t="n"/>
      <c r="D5" s="16" t="n">
        <v>2025</v>
      </c>
      <c r="E5" s="16" t="n">
        <v>2026</v>
      </c>
      <c r="F5" s="16" t="n">
        <v>2027</v>
      </c>
      <c r="G5" s="16" t="n">
        <v>2028</v>
      </c>
      <c r="H5" s="16" t="n">
        <v>2029</v>
      </c>
      <c r="I5" s="16" t="n">
        <v>2030</v>
      </c>
      <c r="J5" s="16" t="n">
        <v>2031</v>
      </c>
      <c r="K5" s="16" t="n">
        <v>2032</v>
      </c>
      <c r="L5" s="16" t="n">
        <v>2033</v>
      </c>
      <c r="M5" s="16" t="n">
        <v>2034</v>
      </c>
      <c r="N5" s="16" t="n">
        <v>2035</v>
      </c>
      <c r="O5" s="16" t="n">
        <v>2036</v>
      </c>
      <c r="P5" s="16" t="n">
        <v>2037</v>
      </c>
      <c r="Q5" s="16" t="n">
        <v>2038</v>
      </c>
      <c r="R5" s="16" t="n">
        <v>2039</v>
      </c>
      <c r="S5" s="16" t="n">
        <v>2040</v>
      </c>
      <c r="T5" s="16" t="n">
        <v>2041</v>
      </c>
      <c r="U5" s="16" t="n">
        <v>2042</v>
      </c>
      <c r="V5" s="16" t="n">
        <v>2043</v>
      </c>
      <c r="W5" s="16" t="n">
        <v>2044</v>
      </c>
      <c r="X5" s="16" t="n">
        <v>2045</v>
      </c>
      <c r="Y5" s="16" t="n">
        <v>2046</v>
      </c>
      <c r="Z5" s="16" t="n">
        <v>2047</v>
      </c>
      <c r="AA5" s="16" t="n">
        <v>2048</v>
      </c>
      <c r="AB5" s="16" t="n">
        <v>2049</v>
      </c>
      <c r="AC5" s="16" t="n">
        <v>2050</v>
      </c>
      <c r="AD5" s="16" t="n">
        <v>2051</v>
      </c>
      <c r="AE5" s="16" t="n">
        <v>2052</v>
      </c>
    </row>
    <row r="7">
      <c r="B7" s="25" t="inlineStr">
        <is>
          <t>Servicio de construccion (CAPEX)</t>
        </is>
      </c>
      <c r="D7" s="26">
        <f>-Flujo!D11</f>
        <v/>
      </c>
      <c r="E7" s="26">
        <f>-Flujo!E11</f>
        <v/>
      </c>
      <c r="F7" s="26">
        <f>-Flujo!F11</f>
        <v/>
      </c>
      <c r="G7" s="26">
        <f>-Flujo!G11</f>
        <v/>
      </c>
      <c r="H7" s="26">
        <f>-Flujo!H11</f>
        <v/>
      </c>
      <c r="I7" s="26">
        <f>-Flujo!I11</f>
        <v/>
      </c>
      <c r="J7" s="26">
        <f>-Flujo!J11</f>
        <v/>
      </c>
      <c r="K7" s="26">
        <f>-Flujo!K11</f>
        <v/>
      </c>
      <c r="L7" s="26">
        <f>-Flujo!L11</f>
        <v/>
      </c>
      <c r="M7" s="26">
        <f>-Flujo!M11</f>
        <v/>
      </c>
      <c r="N7" s="26">
        <f>-Flujo!N11</f>
        <v/>
      </c>
      <c r="O7" s="26">
        <f>-Flujo!O11</f>
        <v/>
      </c>
      <c r="P7" s="26">
        <f>-Flujo!P11</f>
        <v/>
      </c>
      <c r="Q7" s="26">
        <f>-Flujo!Q11</f>
        <v/>
      </c>
      <c r="R7" s="26">
        <f>-Flujo!R11</f>
        <v/>
      </c>
      <c r="S7" s="26">
        <f>-Flujo!S11</f>
        <v/>
      </c>
      <c r="T7" s="26">
        <f>-Flujo!T11</f>
        <v/>
      </c>
      <c r="U7" s="26">
        <f>-Flujo!U11</f>
        <v/>
      </c>
      <c r="V7" s="26">
        <f>-Flujo!V11</f>
        <v/>
      </c>
      <c r="W7" s="26">
        <f>-Flujo!W11</f>
        <v/>
      </c>
      <c r="X7" s="26">
        <f>-Flujo!X11</f>
        <v/>
      </c>
      <c r="Y7" s="26">
        <f>-Flujo!Y11</f>
        <v/>
      </c>
      <c r="Z7" s="26">
        <f>-Flujo!Z11</f>
        <v/>
      </c>
      <c r="AA7" s="26">
        <f>-Flujo!AA11</f>
        <v/>
      </c>
      <c r="AB7" s="26">
        <f>-Flujo!AB11</f>
        <v/>
      </c>
      <c r="AC7" s="26">
        <f>-Flujo!AC11</f>
        <v/>
      </c>
      <c r="AD7" s="26">
        <f>-Flujo!AD11</f>
        <v/>
      </c>
      <c r="AE7" s="26">
        <f>-Flujo!AE11</f>
        <v/>
      </c>
    </row>
    <row r="8">
      <c r="B8" s="25" t="inlineStr">
        <is>
          <t>Otros costos del periodo D+C+PM</t>
        </is>
      </c>
      <c r="D8" s="26">
        <f>-Flujo!D12</f>
        <v/>
      </c>
      <c r="E8" s="26">
        <f>-Flujo!E12</f>
        <v/>
      </c>
      <c r="F8" s="26">
        <f>-Flujo!F12</f>
        <v/>
      </c>
      <c r="G8" s="26">
        <f>-Flujo!G12</f>
        <v/>
      </c>
      <c r="H8" s="26">
        <f>-Flujo!H12</f>
        <v/>
      </c>
      <c r="I8" s="26">
        <f>-Flujo!I12</f>
        <v/>
      </c>
      <c r="J8" s="26">
        <f>-Flujo!J12</f>
        <v/>
      </c>
      <c r="K8" s="26">
        <f>-Flujo!K12</f>
        <v/>
      </c>
      <c r="L8" s="26">
        <f>-Flujo!L12</f>
        <v/>
      </c>
      <c r="M8" s="26">
        <f>-Flujo!M12</f>
        <v/>
      </c>
      <c r="N8" s="26">
        <f>-Flujo!N12</f>
        <v/>
      </c>
      <c r="O8" s="26">
        <f>-Flujo!O12</f>
        <v/>
      </c>
      <c r="P8" s="26">
        <f>-Flujo!P12</f>
        <v/>
      </c>
      <c r="Q8" s="26">
        <f>-Flujo!Q12</f>
        <v/>
      </c>
      <c r="R8" s="26">
        <f>-Flujo!R12</f>
        <v/>
      </c>
      <c r="S8" s="26">
        <f>-Flujo!S12</f>
        <v/>
      </c>
      <c r="T8" s="26">
        <f>-Flujo!T12</f>
        <v/>
      </c>
      <c r="U8" s="26">
        <f>-Flujo!U12</f>
        <v/>
      </c>
      <c r="V8" s="26">
        <f>-Flujo!V12</f>
        <v/>
      </c>
      <c r="W8" s="26">
        <f>-Flujo!W12</f>
        <v/>
      </c>
      <c r="X8" s="26">
        <f>-Flujo!X12</f>
        <v/>
      </c>
      <c r="Y8" s="26">
        <f>-Flujo!Y12</f>
        <v/>
      </c>
      <c r="Z8" s="26">
        <f>-Flujo!Z12</f>
        <v/>
      </c>
      <c r="AA8" s="26">
        <f>-Flujo!AA12</f>
        <v/>
      </c>
      <c r="AB8" s="26">
        <f>-Flujo!AB12</f>
        <v/>
      </c>
      <c r="AC8" s="26">
        <f>-Flujo!AC12</f>
        <v/>
      </c>
      <c r="AD8" s="26">
        <f>-Flujo!AD12</f>
        <v/>
      </c>
      <c r="AE8" s="26">
        <f>-Flujo!AE12</f>
        <v/>
      </c>
    </row>
    <row r="9">
      <c r="B9" s="25" t="inlineStr">
        <is>
          <t>PPD Inversiones cobrado</t>
        </is>
      </c>
      <c r="D9" s="26">
        <f>-Flujo!D7</f>
        <v/>
      </c>
      <c r="E9" s="26">
        <f>-Flujo!E7</f>
        <v/>
      </c>
      <c r="F9" s="26">
        <f>-Flujo!F7</f>
        <v/>
      </c>
      <c r="G9" s="26">
        <f>-Flujo!G7</f>
        <v/>
      </c>
      <c r="H9" s="26">
        <f>-Flujo!H7</f>
        <v/>
      </c>
      <c r="I9" s="26">
        <f>-Flujo!I7</f>
        <v/>
      </c>
      <c r="J9" s="26">
        <f>-Flujo!J7</f>
        <v/>
      </c>
      <c r="K9" s="26">
        <f>-Flujo!K7</f>
        <v/>
      </c>
      <c r="L9" s="26">
        <f>-Flujo!L7</f>
        <v/>
      </c>
      <c r="M9" s="26">
        <f>-Flujo!M7</f>
        <v/>
      </c>
      <c r="N9" s="26">
        <f>-Flujo!N7</f>
        <v/>
      </c>
      <c r="O9" s="26">
        <f>-Flujo!O7</f>
        <v/>
      </c>
      <c r="P9" s="26">
        <f>-Flujo!P7</f>
        <v/>
      </c>
      <c r="Q9" s="26">
        <f>-Flujo!Q7</f>
        <v/>
      </c>
      <c r="R9" s="26">
        <f>-Flujo!R7</f>
        <v/>
      </c>
      <c r="S9" s="26">
        <f>-Flujo!S7</f>
        <v/>
      </c>
      <c r="T9" s="26">
        <f>-Flujo!T7</f>
        <v/>
      </c>
      <c r="U9" s="26">
        <f>-Flujo!U7</f>
        <v/>
      </c>
      <c r="V9" s="26">
        <f>-Flujo!V7</f>
        <v/>
      </c>
      <c r="W9" s="26">
        <f>-Flujo!W7</f>
        <v/>
      </c>
      <c r="X9" s="26">
        <f>-Flujo!X7</f>
        <v/>
      </c>
      <c r="Y9" s="26">
        <f>-Flujo!Y7</f>
        <v/>
      </c>
      <c r="Z9" s="26">
        <f>-Flujo!Z7</f>
        <v/>
      </c>
      <c r="AA9" s="26">
        <f>-Flujo!AA7</f>
        <v/>
      </c>
      <c r="AB9" s="26">
        <f>-Flujo!AB7</f>
        <v/>
      </c>
      <c r="AC9" s="26">
        <f>-Flujo!AC7</f>
        <v/>
      </c>
      <c r="AD9" s="26">
        <f>-Flujo!AD7</f>
        <v/>
      </c>
      <c r="AE9" s="26">
        <f>-Flujo!AE7</f>
        <v/>
      </c>
    </row>
    <row r="10">
      <c r="B10" s="20" t="inlineStr">
        <is>
          <t>Total del periodo</t>
        </is>
      </c>
      <c r="D10" s="27">
        <f>SUM(D7:D9)</f>
        <v/>
      </c>
      <c r="E10" s="27">
        <f>SUM(E7:E9)</f>
        <v/>
      </c>
      <c r="F10" s="27">
        <f>SUM(F7:F9)</f>
        <v/>
      </c>
      <c r="G10" s="27">
        <f>SUM(G7:G9)</f>
        <v/>
      </c>
      <c r="H10" s="27">
        <f>SUM(H7:H9)</f>
        <v/>
      </c>
      <c r="I10" s="27">
        <f>SUM(I7:I9)</f>
        <v/>
      </c>
      <c r="J10" s="27">
        <f>SUM(J7:J9)</f>
        <v/>
      </c>
      <c r="K10" s="27">
        <f>SUM(K7:K9)</f>
        <v/>
      </c>
      <c r="L10" s="27">
        <f>SUM(L7:L9)</f>
        <v/>
      </c>
      <c r="M10" s="27">
        <f>SUM(M7:M9)</f>
        <v/>
      </c>
      <c r="N10" s="27">
        <f>SUM(N7:N9)</f>
        <v/>
      </c>
      <c r="O10" s="27">
        <f>SUM(O7:O9)</f>
        <v/>
      </c>
      <c r="P10" s="27">
        <f>SUM(P7:P9)</f>
        <v/>
      </c>
      <c r="Q10" s="27">
        <f>SUM(Q7:Q9)</f>
        <v/>
      </c>
      <c r="R10" s="27">
        <f>SUM(R7:R9)</f>
        <v/>
      </c>
      <c r="S10" s="27">
        <f>SUM(S7:S9)</f>
        <v/>
      </c>
      <c r="T10" s="27">
        <f>SUM(T7:T9)</f>
        <v/>
      </c>
      <c r="U10" s="27">
        <f>SUM(U7:U9)</f>
        <v/>
      </c>
      <c r="V10" s="27">
        <f>SUM(V7:V9)</f>
        <v/>
      </c>
      <c r="W10" s="27">
        <f>SUM(W7:W9)</f>
        <v/>
      </c>
      <c r="X10" s="27">
        <f>SUM(X7:X9)</f>
        <v/>
      </c>
      <c r="Y10" s="27">
        <f>SUM(Y7:Y9)</f>
        <v/>
      </c>
      <c r="Z10" s="27">
        <f>SUM(Z7:Z9)</f>
        <v/>
      </c>
      <c r="AA10" s="27">
        <f>SUM(AA7:AA9)</f>
        <v/>
      </c>
      <c r="AB10" s="27">
        <f>SUM(AB7:AB9)</f>
        <v/>
      </c>
      <c r="AC10" s="27">
        <f>SUM(AC7:AC9)</f>
        <v/>
      </c>
      <c r="AD10" s="27">
        <f>SUM(AD7:AD9)</f>
        <v/>
      </c>
      <c r="AE10" s="27">
        <f>SUM(AE7:AE9)</f>
        <v/>
      </c>
    </row>
    <row r="12">
      <c r="B12" s="20" t="inlineStr">
        <is>
          <t>Tasa implicita anual</t>
        </is>
      </c>
      <c r="D12" s="30">
        <f>IFERROR(IRR($D$10:$AE$10),0)</f>
        <v/>
      </c>
    </row>
    <row r="14">
      <c r="B14" s="25" t="inlineStr">
        <is>
          <t>Saldo inicial del activo</t>
        </is>
      </c>
      <c r="D14" s="22" t="n">
        <v>0</v>
      </c>
      <c r="E14" s="22">
        <f>D16</f>
        <v/>
      </c>
      <c r="F14" s="22">
        <f>E16</f>
        <v/>
      </c>
      <c r="G14" s="22">
        <f>F16</f>
        <v/>
      </c>
      <c r="H14" s="22">
        <f>G16</f>
        <v/>
      </c>
      <c r="I14" s="22">
        <f>H16</f>
        <v/>
      </c>
      <c r="J14" s="22">
        <f>I16</f>
        <v/>
      </c>
      <c r="K14" s="22">
        <f>J16</f>
        <v/>
      </c>
      <c r="L14" s="22">
        <f>K16</f>
        <v/>
      </c>
      <c r="M14" s="22">
        <f>L16</f>
        <v/>
      </c>
      <c r="N14" s="22">
        <f>M16</f>
        <v/>
      </c>
      <c r="O14" s="22">
        <f>N16</f>
        <v/>
      </c>
      <c r="P14" s="22">
        <f>O16</f>
        <v/>
      </c>
      <c r="Q14" s="22">
        <f>P16</f>
        <v/>
      </c>
      <c r="R14" s="22">
        <f>Q16</f>
        <v/>
      </c>
      <c r="S14" s="22">
        <f>R16</f>
        <v/>
      </c>
      <c r="T14" s="22">
        <f>S16</f>
        <v/>
      </c>
      <c r="U14" s="22">
        <f>T16</f>
        <v/>
      </c>
      <c r="V14" s="22">
        <f>U16</f>
        <v/>
      </c>
      <c r="W14" s="22">
        <f>V16</f>
        <v/>
      </c>
      <c r="X14" s="22">
        <f>W16</f>
        <v/>
      </c>
      <c r="Y14" s="22">
        <f>X16</f>
        <v/>
      </c>
      <c r="Z14" s="22">
        <f>Y16</f>
        <v/>
      </c>
      <c r="AA14" s="22">
        <f>Z16</f>
        <v/>
      </c>
      <c r="AB14" s="22">
        <f>AA16</f>
        <v/>
      </c>
      <c r="AC14" s="22">
        <f>AB16</f>
        <v/>
      </c>
      <c r="AD14" s="22">
        <f>AC16</f>
        <v/>
      </c>
      <c r="AE14" s="22">
        <f>AD16</f>
        <v/>
      </c>
    </row>
    <row r="15">
      <c r="B15" s="25" t="inlineStr">
        <is>
          <t>Ingreso financiero devengado</t>
        </is>
      </c>
      <c r="D15" s="22">
        <f>D14*$D$12</f>
        <v/>
      </c>
      <c r="E15" s="22">
        <f>E14*$D$12</f>
        <v/>
      </c>
      <c r="F15" s="22">
        <f>F14*$D$12</f>
        <v/>
      </c>
      <c r="G15" s="22">
        <f>G14*$D$12</f>
        <v/>
      </c>
      <c r="H15" s="22">
        <f>H14*$D$12</f>
        <v/>
      </c>
      <c r="I15" s="22">
        <f>I14*$D$12</f>
        <v/>
      </c>
      <c r="J15" s="22">
        <f>J14*$D$12</f>
        <v/>
      </c>
      <c r="K15" s="22">
        <f>K14*$D$12</f>
        <v/>
      </c>
      <c r="L15" s="22">
        <f>L14*$D$12</f>
        <v/>
      </c>
      <c r="M15" s="22">
        <f>M14*$D$12</f>
        <v/>
      </c>
      <c r="N15" s="22">
        <f>N14*$D$12</f>
        <v/>
      </c>
      <c r="O15" s="22">
        <f>O14*$D$12</f>
        <v/>
      </c>
      <c r="P15" s="22">
        <f>P14*$D$12</f>
        <v/>
      </c>
      <c r="Q15" s="22">
        <f>Q14*$D$12</f>
        <v/>
      </c>
      <c r="R15" s="22">
        <f>R14*$D$12</f>
        <v/>
      </c>
      <c r="S15" s="22">
        <f>S14*$D$12</f>
        <v/>
      </c>
      <c r="T15" s="22">
        <f>T14*$D$12</f>
        <v/>
      </c>
      <c r="U15" s="22">
        <f>U14*$D$12</f>
        <v/>
      </c>
      <c r="V15" s="22">
        <f>V14*$D$12</f>
        <v/>
      </c>
      <c r="W15" s="22">
        <f>W14*$D$12</f>
        <v/>
      </c>
      <c r="X15" s="22">
        <f>X14*$D$12</f>
        <v/>
      </c>
      <c r="Y15" s="22">
        <f>Y14*$D$12</f>
        <v/>
      </c>
      <c r="Z15" s="22">
        <f>Z14*$D$12</f>
        <v/>
      </c>
      <c r="AA15" s="22">
        <f>AA14*$D$12</f>
        <v/>
      </c>
      <c r="AB15" s="22">
        <f>AB14*$D$12</f>
        <v/>
      </c>
      <c r="AC15" s="22">
        <f>AC14*$D$12</f>
        <v/>
      </c>
      <c r="AD15" s="22">
        <f>AD14*$D$12</f>
        <v/>
      </c>
      <c r="AE15" s="22">
        <f>AE14*$D$12</f>
        <v/>
      </c>
    </row>
    <row r="16">
      <c r="B16" s="20" t="inlineStr">
        <is>
          <t>Saldo final del activo</t>
        </is>
      </c>
      <c r="D16" s="27">
        <f>D14+D10+D15</f>
        <v/>
      </c>
      <c r="E16" s="27">
        <f>E14+E10+E15</f>
        <v/>
      </c>
      <c r="F16" s="27">
        <f>F14+F10+F15</f>
        <v/>
      </c>
      <c r="G16" s="27">
        <f>G14+G10+G15</f>
        <v/>
      </c>
      <c r="H16" s="27">
        <f>H14+H10+H15</f>
        <v/>
      </c>
      <c r="I16" s="27">
        <f>I14+I10+I15</f>
        <v/>
      </c>
      <c r="J16" s="27">
        <f>J14+J10+J15</f>
        <v/>
      </c>
      <c r="K16" s="27">
        <f>K14+K10+K15</f>
        <v/>
      </c>
      <c r="L16" s="27">
        <f>L14+L10+L15</f>
        <v/>
      </c>
      <c r="M16" s="27">
        <f>M14+M10+M15</f>
        <v/>
      </c>
      <c r="N16" s="27">
        <f>N14+N10+N15</f>
        <v/>
      </c>
      <c r="O16" s="27">
        <f>O14+O10+O15</f>
        <v/>
      </c>
      <c r="P16" s="27">
        <f>P14+P10+P15</f>
        <v/>
      </c>
      <c r="Q16" s="27">
        <f>Q14+Q10+Q15</f>
        <v/>
      </c>
      <c r="R16" s="27">
        <f>R14+R10+R15</f>
        <v/>
      </c>
      <c r="S16" s="27">
        <f>S14+S10+S15</f>
        <v/>
      </c>
      <c r="T16" s="27">
        <f>T14+T10+T15</f>
        <v/>
      </c>
      <c r="U16" s="27">
        <f>U14+U10+U15</f>
        <v/>
      </c>
      <c r="V16" s="27">
        <f>V14+V10+V15</f>
        <v/>
      </c>
      <c r="W16" s="27">
        <f>W14+W10+W15</f>
        <v/>
      </c>
      <c r="X16" s="27">
        <f>X14+X10+X15</f>
        <v/>
      </c>
      <c r="Y16" s="27">
        <f>Y14+Y10+Y15</f>
        <v/>
      </c>
      <c r="Z16" s="27">
        <f>Z14+Z10+Z15</f>
        <v/>
      </c>
      <c r="AA16" s="27">
        <f>AA14+AA10+AA15</f>
        <v/>
      </c>
      <c r="AB16" s="27">
        <f>AB14+AB10+AB15</f>
        <v/>
      </c>
      <c r="AC16" s="27">
        <f>AC14+AC10+AC15</f>
        <v/>
      </c>
      <c r="AD16" s="27">
        <f>AD14+AD10+AD15</f>
        <v/>
      </c>
      <c r="AE16" s="27">
        <f>AE14+AE10+AE15</f>
        <v/>
      </c>
    </row>
    <row r="18">
      <c r="B18" s="20" t="inlineStr">
        <is>
          <t>Saldo maximo del activo</t>
        </is>
      </c>
      <c r="D18" s="31">
        <f>MAX($D$16:$AE$16)</f>
        <v/>
      </c>
    </row>
    <row r="19">
      <c r="B19" s="20" t="inlineStr">
        <is>
          <t>Ingreso financiero acumulado</t>
        </is>
      </c>
      <c r="D19" s="31">
        <f>SUM($D$15:$AE$15)</f>
        <v/>
      </c>
    </row>
    <row r="20">
      <c r="B20" s="20" t="inlineStr">
        <is>
          <t>Saldo final, debe ser cero</t>
        </is>
      </c>
      <c r="D20" s="31">
        <f>AE16</f>
        <v/>
      </c>
    </row>
    <row r="21">
      <c r="B21" s="20" t="inlineStr">
        <is>
          <t>Check AF</t>
        </is>
      </c>
      <c r="D21" s="32">
        <f>IF(ROUND(AE16,2)=0,"OK","ERROR")</f>
        <v/>
      </c>
    </row>
    <row r="22">
      <c r="B22" s="20" t="inlineStr">
        <is>
          <t>Anos con saldo negativo</t>
        </is>
      </c>
      <c r="D22" s="33">
        <f>SUMPRODUCT(--(ROUND($D$16:$AE$16,2)&lt;0))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2026-09-18T04:50:15Z</dcterms:created>
  <dcterms:modified xsi:type="dcterms:W3CDTF">2026-09-18T04:50:15Z</dcterms:modified>
</cp:coreProperties>
</file>