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puts" sheetId="2" state="visible" r:id="rId2"/>
    <sheet name="Hitos" sheetId="3" state="visible" r:id="rId3"/>
    <sheet name="Flujo" sheetId="4" state="visible" r:id="rId4"/>
    <sheet name="Activo financiero" sheetId="5" state="visible" r:id="rId5"/>
  </sheets>
  <definedNames>
    <definedName name="p_ke">Inputs!$D$6</definedName>
    <definedName name="p_kd">Inputs!$D$7</definedName>
    <definedName name="p_wacc">Inputs!$D$8</definedName>
    <definedName name="p_tir">Inputs!$D$9</definedName>
    <definedName name="p_rcsd">Inputs!$D$10</definedName>
    <definedName name="p_crsd">Inputs!$D$11</definedName>
    <definedName name="p_ir">Inputs!$D$12</definedName>
    <definedName name="p_pt">Inputs!$D$13</definedName>
    <definedName name="p_arr">Inputs!$D$14</definedName>
    <definedName name="p_ipm">Inputs!$D$15</definedName>
    <definedName name="p_fx">Inputs!$D$16</definedName>
    <definedName name="p_cuotas">Inputs!$D$17</definedName>
    <definedName name="p_ppdi">Inputs!$D$18</definedName>
    <definedName name="p_ref">Inputs!$D$19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%"/>
    <numFmt numFmtId="165" formatCode="0.0000"/>
    <numFmt numFmtId="166" formatCode="0.0000%"/>
    <numFmt numFmtId="167" formatCode="#,##0.000000"/>
  </numFmts>
  <fonts count="7">
    <font>
      <name val="Calibri"/>
      <family val="2"/>
      <color theme="1"/>
      <sz val="11"/>
      <scheme val="minor"/>
    </font>
    <font>
      <b val="1"/>
      <color rgb="001A4B4B"/>
      <sz val="13"/>
    </font>
    <font>
      <i val="1"/>
      <color rgb="006B7B7B"/>
      <sz val="9"/>
    </font>
    <font>
      <sz val="9"/>
    </font>
    <font>
      <b val="1"/>
      <sz val="9"/>
    </font>
    <font>
      <i val="1"/>
      <color rgb="006B7B7B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FFF3D6"/>
      </patternFill>
    </fill>
    <fill>
      <patternFill patternType="solid">
        <fgColor rgb="001A4B4B"/>
      </patternFill>
    </fill>
    <fill>
      <patternFill patternType="solid">
        <fgColor rgb="00F2F7F7"/>
      </patternFill>
    </fill>
  </fills>
  <borders count="2">
    <border>
      <left/>
      <right/>
      <top/>
      <bottom/>
      <diagonal/>
    </border>
    <border>
      <bottom style="thin">
        <color rgb="00D5DED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4" fontId="4" fillId="4" borderId="1" pivotButton="0" quotePrefix="0" xfId="0"/>
    <xf numFmtId="167" fontId="4" fillId="4" borderId="1" pivotButton="0" quotePrefix="0" xfId="0"/>
    <xf numFmtId="0" fontId="3" fillId="0" borderId="1" pivotButton="0" quotePrefix="0" xfId="0"/>
    <xf numFmtId="164" fontId="4" fillId="4" borderId="1" pivotButton="0" quotePrefix="0" xfId="0"/>
    <xf numFmtId="164" fontId="4" fillId="2" borderId="1" pivotButton="0" quotePrefix="0" xfId="0"/>
    <xf numFmtId="0" fontId="5" fillId="0" borderId="1" pivotButton="0" quotePrefix="0" xfId="0"/>
    <xf numFmtId="2" fontId="4" fillId="2" borderId="1" pivotButton="0" quotePrefix="0" xfId="0"/>
    <xf numFmtId="10" fontId="4" fillId="2" borderId="1" pivotButton="0" quotePrefix="0" xfId="0"/>
    <xf numFmtId="165" fontId="4" fillId="2" borderId="1" pivotButton="0" quotePrefix="0" xfId="0"/>
    <xf numFmtId="1" fontId="4" fillId="2" borderId="1" pivotButton="0" quotePrefix="0" xfId="0"/>
    <xf numFmtId="4" fontId="4" fillId="2" borderId="1" pivotButton="0" quotePrefix="0" xfId="0"/>
    <xf numFmtId="0" fontId="6" fillId="3" borderId="0" applyAlignment="1" pivotButton="0" quotePrefix="0" xfId="0">
      <alignment horizontal="center"/>
    </xf>
    <xf numFmtId="166" fontId="0" fillId="2" borderId="1" pivotButton="0" quotePrefix="0" xfId="0"/>
    <xf numFmtId="4" fontId="0" fillId="0" borderId="1" pivotButton="0" quotePrefix="0" xfId="0"/>
    <xf numFmtId="4" fontId="0" fillId="4" borderId="1" pivotButton="0" quotePrefix="0" xfId="0"/>
    <xf numFmtId="0" fontId="4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4" fontId="3" fillId="0" borderId="0" pivotButton="0" quotePrefix="0" xfId="0"/>
    <xf numFmtId="4" fontId="4" fillId="0" borderId="0" pivotButton="0" quotePrefix="0" xfId="0"/>
    <xf numFmtId="2" fontId="0" fillId="0" borderId="0" pivotButton="0" quotePrefix="0" xfId="0"/>
    <xf numFmtId="4" fontId="0" fillId="2" borderId="0" pivotButton="0" quotePrefix="0" xfId="0"/>
    <xf numFmtId="164" fontId="0" fillId="4" borderId="0" pivotButton="0" quotePrefix="0" xfId="0"/>
    <xf numFmtId="4" fontId="0" fillId="4" borderId="0" pivotButton="0" quotePrefix="0" xfId="0"/>
    <xf numFmtId="0" fontId="0" fillId="4" borderId="0" pivotButton="0" quotePrefix="0" xfId="0"/>
    <xf numFmtId="1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4" max="4"/>
    <col width="40" customWidth="1" min="5" max="5"/>
  </cols>
  <sheetData>
    <row r="2">
      <c r="B2" s="1" t="inlineStr">
        <is>
          <t>Resumen del modelo</t>
        </is>
      </c>
    </row>
    <row r="3">
      <c r="B3" s="2" t="inlineStr">
        <is>
          <t>San Martin paga el PPDI por hitos funcionales y cierra todo el PPDMO a la vez.</t>
        </is>
      </c>
    </row>
    <row r="6">
      <c r="B6" s="3" t="inlineStr">
        <is>
          <t>PPD Inversiones, anual</t>
        </is>
      </c>
      <c r="C6" s="4" t="n"/>
      <c r="D6" s="5">
        <f>p_ppdi</f>
        <v/>
      </c>
      <c r="E6" s="4" t="n"/>
    </row>
    <row r="7">
      <c r="B7" s="3" t="inlineStr">
        <is>
          <t>PPD Inversiones, cuota trimestral</t>
        </is>
      </c>
      <c r="C7" s="4" t="n"/>
      <c r="D7" s="5">
        <f>p_ppdi/4</f>
        <v/>
      </c>
      <c r="E7" s="4" t="n"/>
    </row>
    <row r="8">
      <c r="B8" s="3" t="inlineStr">
        <is>
          <t>PPD MO, referencia mensual</t>
        </is>
      </c>
      <c r="C8" s="4" t="n"/>
      <c r="D8" s="5">
        <f>p_ref</f>
        <v/>
      </c>
      <c r="E8" s="4" t="n"/>
    </row>
    <row r="9">
      <c r="B9" s="3" t="inlineStr">
        <is>
          <t>PPD MO fijo, anual</t>
        </is>
      </c>
      <c r="C9" s="4" t="n"/>
      <c r="D9" s="5">
        <f>Hitos!E10*12</f>
        <v/>
      </c>
      <c r="E9" s="4" t="n"/>
    </row>
    <row r="10">
      <c r="B10" s="3" t="inlineStr">
        <is>
          <t>Precio unitario, S/ miles por kg DBO</t>
        </is>
      </c>
      <c r="C10" s="4" t="n"/>
      <c r="D10" s="6" t="n">
        <v>0.002153682115069065</v>
      </c>
      <c r="E10" s="4" t="n"/>
    </row>
    <row r="11">
      <c r="B11" s="7" t="inlineStr">
        <is>
          <t>VAN financiero, debe ser cero</t>
        </is>
      </c>
      <c r="C11" s="4" t="n"/>
      <c r="D11" s="5">
        <f>Flujo!$D$31</f>
        <v/>
      </c>
      <c r="E11" s="4" t="n"/>
    </row>
    <row r="12">
      <c r="B12" s="7" t="inlineStr">
        <is>
          <t>Ke</t>
        </is>
      </c>
      <c r="C12" s="4" t="n"/>
      <c r="D12" s="8">
        <f>p_ke</f>
        <v/>
      </c>
      <c r="E12" s="4" t="n"/>
    </row>
    <row r="13">
      <c r="B13" s="7" t="inlineStr">
        <is>
          <t>Kd</t>
        </is>
      </c>
      <c r="C13" s="4" t="n"/>
      <c r="D13" s="8">
        <f>p_kd</f>
        <v/>
      </c>
      <c r="E13" s="4" t="n"/>
    </row>
    <row r="14">
      <c r="B14" s="7" t="inlineStr">
        <is>
          <t>WACC</t>
        </is>
      </c>
      <c r="C14" s="4" t="n"/>
      <c r="D14" s="8">
        <f>p_wacc</f>
        <v/>
      </c>
      <c r="E1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9"/>
  <sheetViews>
    <sheetView workbookViewId="0">
      <selection activeCell="A1" sqref="A1"/>
    </sheetView>
  </sheetViews>
  <sheetFormatPr baseColWidth="8" defaultRowHeight="15"/>
  <cols>
    <col width="42" customWidth="1" min="2" max="2"/>
    <col width="20" customWidth="1" min="4" max="4"/>
    <col width="46" customWidth="1" min="5" max="5"/>
  </cols>
  <sheetData>
    <row r="2">
      <c r="B2" s="1" t="inlineStr">
        <is>
          <t>Parametros del modelo</t>
        </is>
      </c>
    </row>
    <row r="3">
      <c r="B3" s="2" t="inlineStr">
        <is>
          <t>Las celdas en ambar son de entrada. Las dos ultimas las resuelve el cierre.</t>
        </is>
      </c>
    </row>
    <row r="6">
      <c r="B6" s="7" t="inlineStr">
        <is>
          <t>Ke, costo del patrimonio</t>
        </is>
      </c>
      <c r="C6" s="4" t="n"/>
      <c r="D6" s="9" t="n">
        <v>0.1262264856013662</v>
      </c>
      <c r="E6" s="10" t="inlineStr">
        <is>
          <t>CAPM en USD + riesgo pais + devaluacion</t>
        </is>
      </c>
    </row>
    <row r="7">
      <c r="B7" s="7" t="inlineStr">
        <is>
          <t>Kd, costo de la deuda</t>
        </is>
      </c>
      <c r="C7" s="4" t="n"/>
      <c r="D7" s="9" t="n">
        <v>0.1009295682936526</v>
      </c>
      <c r="E7" s="10" t="inlineStr">
        <is>
          <t>soberano a vida media + spread</t>
        </is>
      </c>
    </row>
    <row r="8">
      <c r="B8" s="7" t="inlineStr">
        <is>
          <t>WACC</t>
        </is>
      </c>
      <c r="C8" s="4" t="n"/>
      <c r="D8" s="9" t="n">
        <v>0.0973034785069435</v>
      </c>
      <c r="E8" s="10" t="inlineStr">
        <is>
          <t>despues de impuestos</t>
        </is>
      </c>
    </row>
    <row r="9">
      <c r="B9" s="7" t="inlineStr">
        <is>
          <t>TIR objetivo del cierre</t>
        </is>
      </c>
      <c r="C9" s="4" t="n"/>
      <c r="D9" s="9" t="n">
        <v>0.1262</v>
      </c>
      <c r="E9" s="10" t="inlineStr">
        <is>
          <t>Ke redondeado a 4 decimales, Control!M12</t>
        </is>
      </c>
    </row>
    <row r="10">
      <c r="B10" s="7" t="inlineStr">
        <is>
          <t>Cobertura minima, RCSD</t>
        </is>
      </c>
      <c r="C10" s="4" t="n"/>
      <c r="D10" s="11" t="n">
        <v>1.25</v>
      </c>
      <c r="E10" s="10" t="inlineStr">
        <is>
          <t>dimensiona la amortizacion</t>
        </is>
      </c>
    </row>
    <row r="11">
      <c r="B11" s="7" t="inlineStr">
        <is>
          <t>Cuenta de reserva, CRSD</t>
        </is>
      </c>
      <c r="C11" s="4" t="n"/>
      <c r="D11" s="12" t="n">
        <v>0.5</v>
      </c>
      <c r="E11" s="10" t="inlineStr">
        <is>
          <t>del servicio del ano siguiente</t>
        </is>
      </c>
    </row>
    <row r="12">
      <c r="B12" s="7" t="inlineStr">
        <is>
          <t>Impuesto a la Renta</t>
        </is>
      </c>
      <c r="C12" s="4" t="n"/>
      <c r="D12" s="12" t="n">
        <v>0.295</v>
      </c>
      <c r="E12" s="10" t="inlineStr"/>
    </row>
    <row r="13">
      <c r="B13" s="7" t="inlineStr">
        <is>
          <t>Participacion de trabajadores</t>
        </is>
      </c>
      <c r="C13" s="4" t="n"/>
      <c r="D13" s="12" t="n">
        <v>0.05</v>
      </c>
      <c r="E13" s="10" t="inlineStr"/>
    </row>
    <row r="14">
      <c r="B14" s="7" t="inlineStr">
        <is>
          <t>Arrastre de perdidas</t>
        </is>
      </c>
      <c r="C14" s="4" t="n"/>
      <c r="D14" s="12" t="n">
        <v>0.5</v>
      </c>
      <c r="E14" s="10" t="inlineStr">
        <is>
          <t>sistema B</t>
        </is>
      </c>
    </row>
    <row r="15">
      <c r="B15" s="7" t="inlineStr">
        <is>
          <t>IPM, reajuste</t>
        </is>
      </c>
      <c r="C15" s="4" t="n"/>
      <c r="D15" s="9" t="n">
        <v>0.0267</v>
      </c>
      <c r="E15" s="10" t="inlineStr">
        <is>
          <t>anual</t>
        </is>
      </c>
    </row>
    <row r="16">
      <c r="B16" s="7" t="inlineStr">
        <is>
          <t>Tipo de cambio</t>
        </is>
      </c>
      <c r="C16" s="4" t="n"/>
      <c r="D16" s="13" t="n">
        <v>0</v>
      </c>
      <c r="E16" s="10" t="inlineStr">
        <is>
          <t>solo entra por los reembolsos en dolares</t>
        </is>
      </c>
    </row>
    <row r="17">
      <c r="B17" s="7" t="inlineStr">
        <is>
          <t>Cuotas del PPDI</t>
        </is>
      </c>
      <c r="C17" s="4" t="n"/>
      <c r="D17" s="14" t="n">
        <v>60</v>
      </c>
      <c r="E17" s="10" t="inlineStr">
        <is>
          <t>trimestrales</t>
        </is>
      </c>
    </row>
    <row r="18">
      <c r="B18" s="7" t="inlineStr">
        <is>
          <t>PPDI anual</t>
        </is>
      </c>
      <c r="C18" s="4" t="n"/>
      <c r="D18" s="15" t="n">
        <v>32104.86508771306</v>
      </c>
      <c r="E18" s="10" t="inlineStr">
        <is>
          <t>S/ - LA CIERRA Solver</t>
        </is>
      </c>
    </row>
    <row r="19">
      <c r="B19" s="7" t="inlineStr">
        <is>
          <t>PPDMO referencia mensual</t>
        </is>
      </c>
      <c r="C19" s="4" t="n"/>
      <c r="D19" s="15" t="n">
        <v>1474.95802052138</v>
      </c>
      <c r="E19" s="10" t="inlineStr">
        <is>
          <t>S/ - LA CIERRA Solver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0"/>
  <sheetViews>
    <sheetView workbookViewId="0">
      <selection activeCell="A1" sqref="A1"/>
    </sheetView>
  </sheetViews>
  <sheetFormatPr baseColWidth="8" defaultRowHeight="15"/>
  <cols>
    <col width="42" customWidth="1" min="2" max="2"/>
    <col width="18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Hitos funcionales</t>
        </is>
      </c>
    </row>
    <row r="3">
      <c r="B3" s="2" t="inlineStr">
        <is>
          <t>El PPDI se reparte por la participacion de cada hito en el CAPEX, y el PPDMO fijo por el VAN de su operacion y mantenimiento.</t>
        </is>
      </c>
    </row>
    <row r="5">
      <c r="B5" s="16" t="inlineStr">
        <is>
          <t>Hito</t>
        </is>
      </c>
      <c r="C5" s="16" t="inlineStr">
        <is>
          <t>% del CAPEX</t>
        </is>
      </c>
      <c r="D5" s="16" t="inlineStr">
        <is>
          <t>Cuota trimestral del PPDI</t>
        </is>
      </c>
      <c r="E5" s="16" t="inlineStr">
        <is>
          <t>PPDMO fijo mensual</t>
        </is>
      </c>
    </row>
    <row r="6">
      <c r="B6" s="3" t="inlineStr">
        <is>
          <t>Hito 1</t>
        </is>
      </c>
      <c r="C6" s="17" t="n">
        <v>0.45</v>
      </c>
      <c r="D6" s="18">
        <f>p_ppdi*C6/4</f>
        <v/>
      </c>
      <c r="E6" s="19" t="n">
        <v>405.9353600608539</v>
      </c>
    </row>
    <row r="7">
      <c r="B7" s="3" t="inlineStr">
        <is>
          <t>Hito 2</t>
        </is>
      </c>
      <c r="C7" s="17" t="n">
        <v>0.2</v>
      </c>
      <c r="D7" s="18">
        <f>p_ppdi*C7/4</f>
        <v/>
      </c>
      <c r="E7" s="19" t="n">
        <v>180.4157155826016</v>
      </c>
    </row>
    <row r="8">
      <c r="B8" s="3" t="inlineStr">
        <is>
          <t>Hito 3</t>
        </is>
      </c>
      <c r="C8" s="17" t="n">
        <v>0.2</v>
      </c>
      <c r="D8" s="18">
        <f>p_ppdi*C8/4</f>
        <v/>
      </c>
      <c r="E8" s="19" t="n">
        <v>180.4157155826016</v>
      </c>
    </row>
    <row r="9">
      <c r="B9" s="3" t="inlineStr">
        <is>
          <t>Hito 4</t>
        </is>
      </c>
      <c r="C9" s="17" t="n">
        <v>0.15</v>
      </c>
      <c r="D9" s="18">
        <f>p_ppdi*C9/4</f>
        <v/>
      </c>
      <c r="E9" s="19" t="n">
        <v>135.3117866869513</v>
      </c>
    </row>
    <row r="10">
      <c r="B10" s="20" t="inlineStr">
        <is>
          <t>Total</t>
        </is>
      </c>
      <c r="C10" s="21">
        <f>SUM(C6:C9)</f>
        <v/>
      </c>
      <c r="D10" s="22">
        <f>SUM(D6:D9)</f>
        <v/>
      </c>
      <c r="E10" s="22">
        <f>SUM(E6:E9)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C31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2">
      <c r="B2" s="1" t="inlineStr">
        <is>
          <t>Flujo de caja anual</t>
        </is>
      </c>
    </row>
    <row r="3">
      <c r="B3" s="2" t="inlineStr">
        <is>
          <t>El VAN de la ultima fila es la celda que Solver lleva a cero.</t>
        </is>
      </c>
    </row>
    <row r="5">
      <c r="B5" s="23" t="inlineStr">
        <is>
          <t>Ano</t>
        </is>
      </c>
      <c r="C5" s="24" t="n"/>
      <c r="D5" s="16" t="n">
        <v>2027</v>
      </c>
      <c r="E5" s="16" t="n">
        <v>2028</v>
      </c>
      <c r="F5" s="16" t="n">
        <v>2029</v>
      </c>
      <c r="G5" s="16" t="n">
        <v>2030</v>
      </c>
      <c r="H5" s="16" t="n">
        <v>2031</v>
      </c>
      <c r="I5" s="16" t="n">
        <v>2032</v>
      </c>
      <c r="J5" s="16" t="n">
        <v>2033</v>
      </c>
      <c r="K5" s="16" t="n">
        <v>2034</v>
      </c>
      <c r="L5" s="16" t="n">
        <v>2035</v>
      </c>
      <c r="M5" s="16" t="n">
        <v>2036</v>
      </c>
      <c r="N5" s="16" t="n">
        <v>2037</v>
      </c>
      <c r="O5" s="16" t="n">
        <v>2038</v>
      </c>
      <c r="P5" s="16" t="n">
        <v>2039</v>
      </c>
      <c r="Q5" s="16" t="n">
        <v>2040</v>
      </c>
      <c r="R5" s="16" t="n">
        <v>2041</v>
      </c>
      <c r="S5" s="16" t="n">
        <v>2042</v>
      </c>
      <c r="T5" s="16" t="n">
        <v>2043</v>
      </c>
      <c r="U5" s="16" t="n">
        <v>2044</v>
      </c>
      <c r="V5" s="16" t="n">
        <v>2045</v>
      </c>
      <c r="W5" s="16" t="n">
        <v>2046</v>
      </c>
      <c r="X5" s="16" t="n">
        <v>2047</v>
      </c>
      <c r="Y5" s="16" t="n">
        <v>2048</v>
      </c>
      <c r="Z5" s="16" t="n">
        <v>2049</v>
      </c>
      <c r="AA5" s="16" t="n">
        <v>2050</v>
      </c>
      <c r="AB5" s="16" t="n">
        <v>2051</v>
      </c>
      <c r="AC5" s="16" t="n">
        <v>2052</v>
      </c>
    </row>
    <row r="7">
      <c r="B7" s="25" t="inlineStr">
        <is>
          <t>PPD Inversiones</t>
        </is>
      </c>
      <c r="D7" s="26">
        <f>p_ppdi*0.0</f>
        <v/>
      </c>
      <c r="E7" s="26">
        <f>p_ppdi*0.0</f>
        <v/>
      </c>
      <c r="F7" s="26">
        <f>p_ppdi*0.0</f>
        <v/>
      </c>
      <c r="G7" s="26">
        <f>p_ppdi*0.0</f>
        <v/>
      </c>
      <c r="H7" s="26">
        <f>p_ppdi*0.7500000000000001</f>
        <v/>
      </c>
      <c r="I7" s="26">
        <f>p_ppdi*1.0</f>
        <v/>
      </c>
      <c r="J7" s="26">
        <f>p_ppdi*1.0</f>
        <v/>
      </c>
      <c r="K7" s="26">
        <f>p_ppdi*1.0</f>
        <v/>
      </c>
      <c r="L7" s="26">
        <f>p_ppdi*1.0</f>
        <v/>
      </c>
      <c r="M7" s="26">
        <f>p_ppdi*1.0</f>
        <v/>
      </c>
      <c r="N7" s="26">
        <f>p_ppdi*1.0</f>
        <v/>
      </c>
      <c r="O7" s="26">
        <f>p_ppdi*1.0</f>
        <v/>
      </c>
      <c r="P7" s="26">
        <f>p_ppdi*1.0</f>
        <v/>
      </c>
      <c r="Q7" s="26">
        <f>p_ppdi*1.0</f>
        <v/>
      </c>
      <c r="R7" s="26">
        <f>p_ppdi*1.0</f>
        <v/>
      </c>
      <c r="S7" s="26">
        <f>p_ppdi*1.0</f>
        <v/>
      </c>
      <c r="T7" s="26">
        <f>p_ppdi*1.0</f>
        <v/>
      </c>
      <c r="U7" s="26">
        <f>p_ppdi*1.0</f>
        <v/>
      </c>
      <c r="V7" s="26">
        <f>p_ppdi*1.0</f>
        <v/>
      </c>
      <c r="W7" s="26">
        <f>p_ppdi*0.25</f>
        <v/>
      </c>
      <c r="X7" s="26">
        <f>p_ppdi*0.0</f>
        <v/>
      </c>
      <c r="Y7" s="26">
        <f>p_ppdi*0.0</f>
        <v/>
      </c>
      <c r="Z7" s="26">
        <f>p_ppdi*0.0</f>
        <v/>
      </c>
      <c r="AA7" s="26">
        <f>p_ppdi*0.0</f>
        <v/>
      </c>
      <c r="AB7" s="26">
        <f>p_ppdi*0.0</f>
        <v/>
      </c>
      <c r="AC7" s="26">
        <f>p_ppdi*0.0</f>
        <v/>
      </c>
    </row>
    <row r="8">
      <c r="B8" s="25" t="inlineStr">
        <is>
          <t>PPD MO fijo</t>
        </is>
      </c>
      <c r="D8" s="26">
        <f>p_ref*0.0</f>
        <v/>
      </c>
      <c r="E8" s="26">
        <f>p_ref*0.0</f>
        <v/>
      </c>
      <c r="F8" s="26">
        <f>p_ref*0.0</f>
        <v/>
      </c>
      <c r="G8" s="26">
        <f>p_ref*0.0</f>
        <v/>
      </c>
      <c r="H8" s="26">
        <f>p_ref*6.090212837260705</f>
        <v/>
      </c>
      <c r="I8" s="26">
        <f>p_ref*8.306416941099005</f>
        <v/>
      </c>
      <c r="J8" s="26">
        <f>p_ref*8.54013227602211</f>
        <v/>
      </c>
      <c r="K8" s="26">
        <f>p_ref*8.781046097081305</f>
        <v/>
      </c>
      <c r="L8" s="26">
        <f>p_ref*9.006113463103452</f>
        <v/>
      </c>
      <c r="M8" s="26">
        <f>p_ref*9.236734121743755</f>
        <v/>
      </c>
      <c r="N8" s="26">
        <f>p_ref*9.473024276261844</f>
        <v/>
      </c>
      <c r="O8" s="26">
        <f>p_ref*9.715112361839417</f>
        <v/>
      </c>
      <c r="P8" s="26">
        <f>p_ref*9.963139045580236</f>
        <v/>
      </c>
      <c r="Q8" s="26">
        <f>p_ref*10.243476351459506</f>
        <v/>
      </c>
      <c r="R8" s="26">
        <f>p_ref*10.532424930473537</f>
        <v/>
      </c>
      <c r="S8" s="26">
        <f>p_ref*10.802426262206684</f>
        <v/>
      </c>
      <c r="T8" s="26">
        <f>p_ref*11.079063411660862</f>
        <v/>
      </c>
      <c r="U8" s="26">
        <f>p_ref*11.362477045939835</f>
        <v/>
      </c>
      <c r="V8" s="26">
        <f>p_ref*11.652832295991507</f>
        <v/>
      </c>
      <c r="W8" s="26">
        <f>p_ref*11.950306524685834</f>
        <v/>
      </c>
      <c r="X8" s="26">
        <f>p_ref*12.286549830369681</f>
        <v/>
      </c>
      <c r="Y8" s="26">
        <f>p_ref*12.633153574043789</f>
        <v/>
      </c>
      <c r="Z8" s="26">
        <f>p_ref*12.956999826713318</f>
        <v/>
      </c>
      <c r="AA8" s="26">
        <f>p_ref*13.288796828726023</f>
        <v/>
      </c>
      <c r="AB8" s="26">
        <f>p_ref*3.364047670551248</f>
        <v/>
      </c>
      <c r="AC8" s="26">
        <f>p_ref*0.0</f>
        <v/>
      </c>
    </row>
    <row r="9">
      <c r="B9" s="25" t="inlineStr">
        <is>
          <t>PPD MO variable</t>
        </is>
      </c>
      <c r="D9" s="26">
        <f>p_ref*0.0</f>
        <v/>
      </c>
      <c r="E9" s="26">
        <f>p_ref*0.0</f>
        <v/>
      </c>
      <c r="F9" s="26">
        <f>p_ref*0.0</f>
        <v/>
      </c>
      <c r="G9" s="26">
        <f>p_ref*0.0</f>
        <v/>
      </c>
      <c r="H9" s="26">
        <f>p_ref*3.867687162739295</f>
        <v/>
      </c>
      <c r="I9" s="26">
        <f>p_ref*5.3384245356078095</f>
        <v/>
      </c>
      <c r="J9" s="26">
        <f>p_ref*5.554493860225613</f>
        <v/>
      </c>
      <c r="K9" s="26">
        <f>p_ref*5.779718186657692</f>
        <v/>
      </c>
      <c r="L9" s="26">
        <f>p_ref*5.998992690016349</f>
        <v/>
      </c>
      <c r="M9" s="26">
        <f>p_ref*6.226440951628152</f>
        <v/>
      </c>
      <c r="N9" s="26">
        <f>p_ref*6.462351759637901</f>
        <v/>
      </c>
      <c r="O9" s="26">
        <f>p_ref*6.707030542233988</f>
        <v/>
      </c>
      <c r="P9" s="26">
        <f>p_ref*6.96080007014243</f>
        <v/>
      </c>
      <c r="Q9" s="26">
        <f>p_ref*7.242539130136988</f>
        <v/>
      </c>
      <c r="R9" s="26">
        <f>p_ref*7.5361991419559455</f>
        <v/>
      </c>
      <c r="S9" s="26">
        <f>p_ref*7.82214417842708</f>
        <v/>
      </c>
      <c r="T9" s="26">
        <f>p_ref*8.118729405374099</f>
        <v/>
      </c>
      <c r="U9" s="26">
        <f>p_ref*8.426331681668218</f>
        <v/>
      </c>
      <c r="V9" s="26">
        <f>p_ref*8.745356942381678</f>
        <v/>
      </c>
      <c r="W9" s="26">
        <f>p_ref*9.076232266655323</f>
        <v/>
      </c>
      <c r="X9" s="26">
        <f>p_ref*9.443587638805932</f>
        <v/>
      </c>
      <c r="Y9" s="26">
        <f>p_ref*9.826511275583695</f>
        <v/>
      </c>
      <c r="Z9" s="26">
        <f>p_ref*10.199351207002673</f>
        <v/>
      </c>
      <c r="AA9" s="26">
        <f>p_ref*10.586057967183692</f>
        <v/>
      </c>
      <c r="AB9" s="26">
        <f>p_ref*2.7120098345289936</f>
        <v/>
      </c>
      <c r="AC9" s="26">
        <f>p_ref*0.0</f>
        <v/>
      </c>
    </row>
    <row r="10">
      <c r="B10" s="25" t="inlineStr">
        <is>
          <t>Pago por Obras</t>
        </is>
      </c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  <c r="L10" s="26" t="n">
        <v>0</v>
      </c>
      <c r="M10" s="26" t="n">
        <v>0</v>
      </c>
      <c r="N10" s="26" t="n">
        <v>0</v>
      </c>
      <c r="O10" s="26" t="n">
        <v>0</v>
      </c>
      <c r="P10" s="26" t="n">
        <v>0</v>
      </c>
      <c r="Q10" s="26" t="n">
        <v>0</v>
      </c>
      <c r="R10" s="26" t="n">
        <v>0</v>
      </c>
      <c r="S10" s="26" t="n">
        <v>0</v>
      </c>
      <c r="T10" s="26" t="n">
        <v>0</v>
      </c>
      <c r="U10" s="26" t="n">
        <v>0</v>
      </c>
      <c r="V10" s="26" t="n">
        <v>0</v>
      </c>
      <c r="W10" s="26" t="n">
        <v>0</v>
      </c>
      <c r="X10" s="26" t="n">
        <v>0</v>
      </c>
      <c r="Y10" s="26" t="n">
        <v>0</v>
      </c>
      <c r="Z10" s="26" t="n">
        <v>0</v>
      </c>
      <c r="AA10" s="26" t="n">
        <v>0</v>
      </c>
      <c r="AB10" s="26" t="n">
        <v>0</v>
      </c>
      <c r="AC10" s="26" t="n">
        <v>0</v>
      </c>
    </row>
    <row r="11">
      <c r="B11" s="25" t="inlineStr">
        <is>
          <t>CAPEX</t>
        </is>
      </c>
      <c r="D11" s="26" t="n">
        <v>-4767.215973024759</v>
      </c>
      <c r="E11" s="26" t="n">
        <v>-34643.06794160401</v>
      </c>
      <c r="F11" s="26" t="n">
        <v>-82277.84878561215</v>
      </c>
      <c r="G11" s="26" t="n">
        <v>-68292.30382049685</v>
      </c>
      <c r="H11" s="26" t="n">
        <v>-10758.6323290776</v>
      </c>
      <c r="I11" s="26" t="n">
        <v>-0</v>
      </c>
      <c r="J11" s="26" t="n">
        <v>-0</v>
      </c>
      <c r="K11" s="26" t="n">
        <v>-0</v>
      </c>
      <c r="L11" s="26" t="n">
        <v>-0</v>
      </c>
      <c r="M11" s="26" t="n">
        <v>-0</v>
      </c>
      <c r="N11" s="26" t="n">
        <v>-0</v>
      </c>
      <c r="O11" s="26" t="n">
        <v>-0</v>
      </c>
      <c r="P11" s="26" t="n">
        <v>-0</v>
      </c>
      <c r="Q11" s="26" t="n">
        <v>-0</v>
      </c>
      <c r="R11" s="26" t="n">
        <v>-0</v>
      </c>
      <c r="S11" s="26" t="n">
        <v>-0</v>
      </c>
      <c r="T11" s="26" t="n">
        <v>-0</v>
      </c>
      <c r="U11" s="26" t="n">
        <v>-0</v>
      </c>
      <c r="V11" s="26" t="n">
        <v>-0</v>
      </c>
      <c r="W11" s="26" t="n">
        <v>-0</v>
      </c>
      <c r="X11" s="26" t="n">
        <v>-0</v>
      </c>
      <c r="Y11" s="26" t="n">
        <v>-0</v>
      </c>
      <c r="Z11" s="26" t="n">
        <v>-0</v>
      </c>
      <c r="AA11" s="26" t="n">
        <v>-0</v>
      </c>
      <c r="AB11" s="26" t="n">
        <v>-0</v>
      </c>
      <c r="AC11" s="26" t="n">
        <v>-0</v>
      </c>
    </row>
    <row r="12">
      <c r="B12" s="25" t="inlineStr">
        <is>
          <t>Otros costos del periodo D+C+PM</t>
        </is>
      </c>
      <c r="D12" s="26" t="n">
        <v>-6232.27613886055</v>
      </c>
      <c r="E12" s="26" t="n">
        <v>-773.716941166484</v>
      </c>
      <c r="F12" s="26" t="n">
        <v>-0</v>
      </c>
      <c r="G12" s="26" t="n">
        <v>-0</v>
      </c>
      <c r="H12" s="26" t="n">
        <v>-0</v>
      </c>
      <c r="I12" s="26" t="n">
        <v>-0</v>
      </c>
      <c r="J12" s="26" t="n">
        <v>-0</v>
      </c>
      <c r="K12" s="26" t="n">
        <v>-0</v>
      </c>
      <c r="L12" s="26" t="n">
        <v>-0</v>
      </c>
      <c r="M12" s="26" t="n">
        <v>-0</v>
      </c>
      <c r="N12" s="26" t="n">
        <v>-0</v>
      </c>
      <c r="O12" s="26" t="n">
        <v>-0</v>
      </c>
      <c r="P12" s="26" t="n">
        <v>-0</v>
      </c>
      <c r="Q12" s="26" t="n">
        <v>-0</v>
      </c>
      <c r="R12" s="26" t="n">
        <v>-0</v>
      </c>
      <c r="S12" s="26" t="n">
        <v>-0</v>
      </c>
      <c r="T12" s="26" t="n">
        <v>-0</v>
      </c>
      <c r="U12" s="26" t="n">
        <v>-0</v>
      </c>
      <c r="V12" s="26" t="n">
        <v>-0</v>
      </c>
      <c r="W12" s="26" t="n">
        <v>-0</v>
      </c>
      <c r="X12" s="26" t="n">
        <v>-0</v>
      </c>
      <c r="Y12" s="26" t="n">
        <v>-0</v>
      </c>
      <c r="Z12" s="26" t="n">
        <v>-0</v>
      </c>
      <c r="AA12" s="26" t="n">
        <v>-0</v>
      </c>
      <c r="AB12" s="26" t="n">
        <v>-0</v>
      </c>
      <c r="AC12" s="26" t="n">
        <v>-0</v>
      </c>
    </row>
    <row r="13">
      <c r="B13" s="25" t="inlineStr">
        <is>
          <t>Variacion de IGV del periodo D+C+PM</t>
        </is>
      </c>
      <c r="D13" s="26" t="n">
        <v>0</v>
      </c>
      <c r="E13" s="26" t="n">
        <v>0</v>
      </c>
      <c r="F13" s="26" t="n">
        <v>0</v>
      </c>
      <c r="G13" s="26" t="n">
        <v>0</v>
      </c>
      <c r="H13" s="26" t="n">
        <v>0</v>
      </c>
      <c r="I13" s="26" t="n">
        <v>0</v>
      </c>
      <c r="J13" s="26" t="n">
        <v>0</v>
      </c>
      <c r="K13" s="26" t="n">
        <v>0</v>
      </c>
      <c r="L13" s="26" t="n">
        <v>0</v>
      </c>
      <c r="M13" s="26" t="n">
        <v>0</v>
      </c>
      <c r="N13" s="26" t="n">
        <v>0</v>
      </c>
      <c r="O13" s="26" t="n">
        <v>0</v>
      </c>
      <c r="P13" s="26" t="n">
        <v>0</v>
      </c>
      <c r="Q13" s="26" t="n">
        <v>0</v>
      </c>
      <c r="R13" s="26" t="n">
        <v>0</v>
      </c>
      <c r="S13" s="26" t="n">
        <v>0</v>
      </c>
      <c r="T13" s="26" t="n">
        <v>0</v>
      </c>
      <c r="U13" s="26" t="n">
        <v>0</v>
      </c>
      <c r="V13" s="26" t="n">
        <v>0</v>
      </c>
      <c r="W13" s="26" t="n">
        <v>0</v>
      </c>
      <c r="X13" s="26" t="n">
        <v>0</v>
      </c>
      <c r="Y13" s="26" t="n">
        <v>0</v>
      </c>
      <c r="Z13" s="26" t="n">
        <v>0</v>
      </c>
      <c r="AA13" s="26" t="n">
        <v>0</v>
      </c>
      <c r="AB13" s="26" t="n">
        <v>0</v>
      </c>
      <c r="AC13" s="26" t="n">
        <v>0</v>
      </c>
    </row>
    <row r="14">
      <c r="B14" s="25" t="inlineStr">
        <is>
          <t>Costos de cierre de la laguna SJS</t>
        </is>
      </c>
      <c r="D14" s="26" t="n">
        <v>-0</v>
      </c>
      <c r="E14" s="26" t="n">
        <v>-0</v>
      </c>
      <c r="F14" s="26" t="n">
        <v>-0</v>
      </c>
      <c r="G14" s="26" t="n">
        <v>-0</v>
      </c>
      <c r="H14" s="26" t="n">
        <v>-0</v>
      </c>
      <c r="I14" s="26" t="n">
        <v>-0</v>
      </c>
      <c r="J14" s="26" t="n">
        <v>-0</v>
      </c>
      <c r="K14" s="26" t="n">
        <v>-0</v>
      </c>
      <c r="L14" s="26" t="n">
        <v>-0</v>
      </c>
      <c r="M14" s="26" t="n">
        <v>-0</v>
      </c>
      <c r="N14" s="26" t="n">
        <v>-0</v>
      </c>
      <c r="O14" s="26" t="n">
        <v>-0</v>
      </c>
      <c r="P14" s="26" t="n">
        <v>-0</v>
      </c>
      <c r="Q14" s="26" t="n">
        <v>-0</v>
      </c>
      <c r="R14" s="26" t="n">
        <v>-0</v>
      </c>
      <c r="S14" s="26" t="n">
        <v>-0</v>
      </c>
      <c r="T14" s="26" t="n">
        <v>-0</v>
      </c>
      <c r="U14" s="26" t="n">
        <v>-0</v>
      </c>
      <c r="V14" s="26" t="n">
        <v>-0</v>
      </c>
      <c r="W14" s="26" t="n">
        <v>-0</v>
      </c>
      <c r="X14" s="26" t="n">
        <v>-0</v>
      </c>
      <c r="Y14" s="26" t="n">
        <v>-0</v>
      </c>
      <c r="Z14" s="26" t="n">
        <v>-0</v>
      </c>
      <c r="AA14" s="26" t="n">
        <v>-0</v>
      </c>
      <c r="AB14" s="26" t="n">
        <v>-0</v>
      </c>
      <c r="AC14" s="26" t="n">
        <v>-0</v>
      </c>
    </row>
    <row r="15">
      <c r="B15" s="25" t="inlineStr">
        <is>
          <t>Costos de operacion y mantenimiento</t>
        </is>
      </c>
      <c r="D15" s="26" t="n">
        <v>-0</v>
      </c>
      <c r="E15" s="26" t="n">
        <v>-0</v>
      </c>
      <c r="F15" s="26" t="n">
        <v>-0</v>
      </c>
      <c r="G15" s="26" t="n">
        <v>-0</v>
      </c>
      <c r="H15" s="26" t="n">
        <v>-7401.439488955322</v>
      </c>
      <c r="I15" s="26" t="n">
        <v>-10136.97888605075</v>
      </c>
      <c r="J15" s="26" t="n">
        <v>-10447.21373950545</v>
      </c>
      <c r="K15" s="26" t="n">
        <v>-10767.27619409944</v>
      </c>
      <c r="L15" s="26" t="n">
        <v>-11097.488907179</v>
      </c>
      <c r="M15" s="26" t="n">
        <v>-11438.18550242632</v>
      </c>
      <c r="N15" s="26" t="n">
        <v>-11789.71095441263</v>
      </c>
      <c r="O15" s="26" t="n">
        <v>-12152.4219869991</v>
      </c>
      <c r="P15" s="26" t="n">
        <v>-12526.68748609498</v>
      </c>
      <c r="Q15" s="26" t="n">
        <v>-12912.88892730137</v>
      </c>
      <c r="R15" s="26" t="n">
        <v>-13311.42081898901</v>
      </c>
      <c r="S15" s="26" t="n">
        <v>-13722.69116137877</v>
      </c>
      <c r="T15" s="26" t="n">
        <v>-14147.12192221503</v>
      </c>
      <c r="U15" s="26" t="n">
        <v>-14585.14952964398</v>
      </c>
      <c r="V15" s="26" t="n">
        <v>-15037.22538293223</v>
      </c>
      <c r="W15" s="26" t="n">
        <v>-15503.81638168447</v>
      </c>
      <c r="X15" s="26" t="n">
        <v>-15985.40547424393</v>
      </c>
      <c r="Y15" s="26" t="n">
        <v>-16482.49222598509</v>
      </c>
      <c r="Z15" s="26" t="n">
        <v>-16995.59340823439</v>
      </c>
      <c r="AA15" s="26" t="n">
        <v>-17525.2436085828</v>
      </c>
      <c r="AB15" s="26" t="n">
        <v>-4473.454379722592</v>
      </c>
      <c r="AC15" s="26" t="n">
        <v>-0</v>
      </c>
    </row>
    <row r="16">
      <c r="B16" s="25" t="inlineStr">
        <is>
          <t>Reposiciones</t>
        </is>
      </c>
      <c r="D16" s="26" t="n">
        <v>-0</v>
      </c>
      <c r="E16" s="26" t="n">
        <v>-0</v>
      </c>
      <c r="F16" s="26" t="n">
        <v>-0</v>
      </c>
      <c r="G16" s="26" t="n">
        <v>-0</v>
      </c>
      <c r="H16" s="26" t="n">
        <v>-0</v>
      </c>
      <c r="I16" s="26" t="n">
        <v>-0</v>
      </c>
      <c r="J16" s="26" t="n">
        <v>-0</v>
      </c>
      <c r="K16" s="26" t="n">
        <v>-0</v>
      </c>
      <c r="L16" s="26" t="n">
        <v>-0</v>
      </c>
      <c r="M16" s="26" t="n">
        <v>-0</v>
      </c>
      <c r="N16" s="26" t="n">
        <v>-0</v>
      </c>
      <c r="O16" s="26" t="n">
        <v>-0</v>
      </c>
      <c r="P16" s="26" t="n">
        <v>-0</v>
      </c>
      <c r="Q16" s="26" t="n">
        <v>-5121.210408121058</v>
      </c>
      <c r="R16" s="26" t="n">
        <v>-0</v>
      </c>
      <c r="S16" s="26" t="n">
        <v>-0</v>
      </c>
      <c r="T16" s="26" t="n">
        <v>-0</v>
      </c>
      <c r="U16" s="26" t="n">
        <v>-0</v>
      </c>
      <c r="V16" s="26" t="n">
        <v>-5842.388456818187</v>
      </c>
      <c r="W16" s="26" t="n">
        <v>-0</v>
      </c>
      <c r="X16" s="26" t="n">
        <v>-0</v>
      </c>
      <c r="Y16" s="26" t="n">
        <v>-0</v>
      </c>
      <c r="Z16" s="26" t="n">
        <v>-0</v>
      </c>
      <c r="AA16" s="26" t="n">
        <v>-6665.124093756142</v>
      </c>
      <c r="AB16" s="26" t="n">
        <v>-0</v>
      </c>
      <c r="AC16" s="26" t="n">
        <v>-0</v>
      </c>
    </row>
    <row r="17">
      <c r="B17" s="25" t="inlineStr">
        <is>
          <t>Variacion del capital de trabajo</t>
        </is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-12404.66997594841</v>
      </c>
      <c r="I17" s="26" t="n">
        <v>153.20070311029</v>
      </c>
      <c r="J17" s="26" t="n">
        <v>-101.3913206085658</v>
      </c>
      <c r="K17" s="26" t="n">
        <v>-158.6030980686062</v>
      </c>
      <c r="L17" s="26" t="n">
        <v>-164.5428120605998</v>
      </c>
      <c r="M17" s="26" t="n">
        <v>-170.7384231926019</v>
      </c>
      <c r="N17" s="26" t="n">
        <v>-177.1491608407516</v>
      </c>
      <c r="O17" s="26" t="n">
        <v>-183.8247507953824</v>
      </c>
      <c r="P17" s="26" t="n">
        <v>-63.02059277458068</v>
      </c>
      <c r="Q17" s="26" t="n">
        <v>-127.1874588593812</v>
      </c>
      <c r="R17" s="26" t="n">
        <v>-198.2364924882606</v>
      </c>
      <c r="S17" s="26" t="n">
        <v>-205.7611165829542</v>
      </c>
      <c r="T17" s="26" t="n">
        <v>-213.5256269314007</v>
      </c>
      <c r="U17" s="26" t="n">
        <v>-221.5816878716134</v>
      </c>
      <c r="V17" s="26" t="n">
        <v>-229.9822653317815</v>
      </c>
      <c r="W17" s="26" t="n">
        <v>7946.186877399459</v>
      </c>
      <c r="X17" s="26" t="n">
        <v>-159.8158120993771</v>
      </c>
      <c r="Y17" s="26" t="n">
        <v>-248.2379310189572</v>
      </c>
      <c r="Z17" s="26" t="n">
        <v>-257.6976692361136</v>
      </c>
      <c r="AA17" s="26" t="n">
        <v>-267.4821450829127</v>
      </c>
      <c r="AB17" s="26" t="n">
        <v>7454.060759282504</v>
      </c>
      <c r="AC17" s="26" t="n">
        <v>0</v>
      </c>
    </row>
    <row r="18">
      <c r="B18" s="25" t="inlineStr">
        <is>
          <t>Otros del periodo operativo</t>
        </is>
      </c>
      <c r="D18" s="26" t="n">
        <v>0</v>
      </c>
      <c r="E18" s="26" t="n">
        <v>0</v>
      </c>
      <c r="F18" s="26" t="n">
        <v>0</v>
      </c>
      <c r="G18" s="26" t="n">
        <v>-1200</v>
      </c>
      <c r="H18" s="26" t="n">
        <v>1200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>
        <v>0</v>
      </c>
      <c r="Y18" s="26" t="n">
        <v>0</v>
      </c>
      <c r="Z18" s="26" t="n">
        <v>0</v>
      </c>
      <c r="AA18" s="26" t="n">
        <v>0</v>
      </c>
      <c r="AB18" s="26" t="n">
        <v>0</v>
      </c>
      <c r="AC18" s="26" t="n">
        <v>0</v>
      </c>
    </row>
    <row r="19">
      <c r="B19" s="25" t="inlineStr">
        <is>
          <t>Participacion de trabajadores</t>
        </is>
      </c>
      <c r="D19" s="26" t="n">
        <v>-0</v>
      </c>
      <c r="E19" s="26" t="n">
        <v>-0</v>
      </c>
      <c r="F19" s="26" t="n">
        <v>-0</v>
      </c>
      <c r="G19" s="26" t="n">
        <v>-0</v>
      </c>
      <c r="H19" s="26" t="n">
        <v>-462.0849891950866</v>
      </c>
      <c r="I19" s="26" t="n">
        <v>-567.1851325028173</v>
      </c>
      <c r="J19" s="26" t="n">
        <v>-664.7451213769695</v>
      </c>
      <c r="K19" s="26" t="n">
        <v>-765.5266120345691</v>
      </c>
      <c r="L19" s="26" t="n">
        <v>-869.3901743942383</v>
      </c>
      <c r="M19" s="26" t="n">
        <v>-981.2487432104872</v>
      </c>
      <c r="N19" s="26" t="n">
        <v>-1101.709032919923</v>
      </c>
      <c r="O19" s="26" t="n">
        <v>-1231.42504547133</v>
      </c>
      <c r="P19" s="26" t="n">
        <v>-1371.232791454614</v>
      </c>
      <c r="Q19" s="26" t="n">
        <v>-1243.802040158949</v>
      </c>
      <c r="R19" s="26" t="n">
        <v>-1551.237289097312</v>
      </c>
      <c r="S19" s="26" t="n">
        <v>-1655.364788588114</v>
      </c>
      <c r="T19" s="26" t="n">
        <v>-1676.417197627065</v>
      </c>
      <c r="U19" s="26" t="n">
        <v>-1698.102000133394</v>
      </c>
      <c r="V19" s="26" t="n">
        <v>-1428.319318223194</v>
      </c>
      <c r="W19" s="26" t="n">
        <v>-539.5162109793081</v>
      </c>
      <c r="X19" s="26" t="n">
        <v>-803.2817536474396</v>
      </c>
      <c r="Y19" s="26" t="n">
        <v>-832.2285291097537</v>
      </c>
      <c r="Z19" s="26" t="n">
        <v>-857.9526137476777</v>
      </c>
      <c r="AA19" s="26" t="n">
        <v>-551.2020433835711</v>
      </c>
      <c r="AB19" s="26" t="n">
        <v>-224.4237685272318</v>
      </c>
      <c r="AC19" s="26" t="n">
        <v>-0</v>
      </c>
    </row>
    <row r="20">
      <c r="B20" s="25" t="inlineStr">
        <is>
          <t>Impuesto a la Renta</t>
        </is>
      </c>
      <c r="D20" s="26" t="n">
        <v>-0</v>
      </c>
      <c r="E20" s="26" t="n">
        <v>-0</v>
      </c>
      <c r="F20" s="26" t="n">
        <v>-0</v>
      </c>
      <c r="G20" s="26" t="n">
        <v>-0</v>
      </c>
      <c r="H20" s="26" t="n">
        <v>-1294.99318221923</v>
      </c>
      <c r="I20" s="26" t="n">
        <v>-1589.536333839146</v>
      </c>
      <c r="J20" s="26" t="n">
        <v>-3129.704675947625</v>
      </c>
      <c r="K20" s="26" t="n">
        <v>-4290.776660453759</v>
      </c>
      <c r="L20" s="26" t="n">
        <v>-4872.931927479705</v>
      </c>
      <c r="M20" s="26" t="n">
        <v>-5499.899205694781</v>
      </c>
      <c r="N20" s="26" t="n">
        <v>-6175.079129516168</v>
      </c>
      <c r="O20" s="26" t="n">
        <v>-6902.137379866806</v>
      </c>
      <c r="P20" s="26" t="n">
        <v>-7685.759796103111</v>
      </c>
      <c r="Q20" s="26" t="n">
        <v>-6971.510435090911</v>
      </c>
      <c r="R20" s="26" t="n">
        <v>-8694.685005390433</v>
      </c>
      <c r="S20" s="26" t="n">
        <v>-9278.319640036378</v>
      </c>
      <c r="T20" s="26" t="n">
        <v>-9396.318392699695</v>
      </c>
      <c r="U20" s="26" t="n">
        <v>-9517.861710747669</v>
      </c>
      <c r="V20" s="26" t="n">
        <v>-8005.729778641003</v>
      </c>
      <c r="W20" s="26" t="n">
        <v>-3023.988362539022</v>
      </c>
      <c r="X20" s="26" t="n">
        <v>-4502.394229193898</v>
      </c>
      <c r="Y20" s="26" t="n">
        <v>-4664.640905660169</v>
      </c>
      <c r="Z20" s="26" t="n">
        <v>-4808.824400055733</v>
      </c>
      <c r="AA20" s="26" t="n">
        <v>-3089.487453164916</v>
      </c>
      <c r="AB20" s="26" t="n">
        <v>-1257.895222595134</v>
      </c>
      <c r="AC20" s="26" t="n">
        <v>-0</v>
      </c>
    </row>
    <row r="21">
      <c r="B21" s="25" t="inlineStr">
        <is>
          <t>Desembolsos de deuda</t>
        </is>
      </c>
      <c r="D21" s="26" t="n">
        <v>0</v>
      </c>
      <c r="E21" s="26" t="n">
        <v>0</v>
      </c>
      <c r="F21" s="26" t="n">
        <v>64382.86083116481</v>
      </c>
      <c r="G21" s="26" t="n">
        <v>79338.18683172224</v>
      </c>
      <c r="H21" s="26" t="n">
        <v>22016.14693188116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  <c r="Z21" s="26" t="n">
        <v>0</v>
      </c>
      <c r="AA21" s="26" t="n">
        <v>0</v>
      </c>
      <c r="AB21" s="26" t="n">
        <v>0</v>
      </c>
      <c r="AC21" s="26" t="n">
        <v>0</v>
      </c>
    </row>
    <row r="22">
      <c r="B22" s="25" t="inlineStr">
        <is>
          <t>Intereses de construccion</t>
        </is>
      </c>
      <c r="D22" s="26" t="n">
        <v>0</v>
      </c>
      <c r="E22" s="26" t="n">
        <v>0</v>
      </c>
      <c r="F22" s="26" t="n">
        <v>-2343.226897290006</v>
      </c>
      <c r="G22" s="26" t="n">
        <v>-10628.55543059679</v>
      </c>
      <c r="H22" s="26" t="n">
        <v>-3766.445446544958</v>
      </c>
      <c r="I22" s="26" t="n">
        <v>0</v>
      </c>
      <c r="J22" s="26" t="n">
        <v>0</v>
      </c>
      <c r="K22" s="26" t="n">
        <v>0</v>
      </c>
      <c r="L22" s="26" t="n">
        <v>0</v>
      </c>
      <c r="M22" s="26" t="n">
        <v>0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  <c r="Z22" s="26" t="n">
        <v>0</v>
      </c>
      <c r="AA22" s="26" t="n">
        <v>0</v>
      </c>
      <c r="AB22" s="26" t="n">
        <v>0</v>
      </c>
      <c r="AC22" s="26" t="n">
        <v>0</v>
      </c>
    </row>
    <row r="23">
      <c r="B23" s="25" t="inlineStr">
        <is>
          <t>Comisiones de construccion</t>
        </is>
      </c>
      <c r="D23" s="26" t="n">
        <v>0</v>
      </c>
      <c r="E23" s="26" t="n">
        <v>-3314.743891895365</v>
      </c>
      <c r="F23" s="26" t="n">
        <v>-1060.990516651455</v>
      </c>
      <c r="G23" s="26" t="n">
        <v>-417.3275806758544</v>
      </c>
      <c r="H23" s="26" t="n">
        <v>-18.15311142666717</v>
      </c>
      <c r="I23" s="26" t="n">
        <v>0</v>
      </c>
      <c r="J23" s="26" t="n">
        <v>0</v>
      </c>
      <c r="K23" s="26" t="n">
        <v>0</v>
      </c>
      <c r="L23" s="26" t="n">
        <v>0</v>
      </c>
      <c r="M23" s="26" t="n">
        <v>0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0</v>
      </c>
      <c r="T23" s="26" t="n">
        <v>0</v>
      </c>
      <c r="U23" s="26" t="n">
        <v>0</v>
      </c>
      <c r="V23" s="26" t="n">
        <v>0</v>
      </c>
      <c r="W23" s="26" t="n">
        <v>0</v>
      </c>
      <c r="X23" s="26" t="n">
        <v>0</v>
      </c>
      <c r="Y23" s="26" t="n">
        <v>0</v>
      </c>
      <c r="Z23" s="26" t="n">
        <v>0</v>
      </c>
      <c r="AA23" s="26" t="n">
        <v>0</v>
      </c>
      <c r="AB23" s="26" t="n">
        <v>0</v>
      </c>
      <c r="AC23" s="26" t="n">
        <v>0</v>
      </c>
    </row>
    <row r="24">
      <c r="B24" s="25" t="inlineStr">
        <is>
          <t>Intereses del periodo operativo</t>
        </is>
      </c>
      <c r="D24" s="26" t="n">
        <v>-0</v>
      </c>
      <c r="E24" s="26" t="n">
        <v>-0</v>
      </c>
      <c r="F24" s="26" t="n">
        <v>-0</v>
      </c>
      <c r="G24" s="26" t="n">
        <v>-0</v>
      </c>
      <c r="H24" s="26" t="n">
        <v>-12545.83762548829</v>
      </c>
      <c r="I24" s="26" t="n">
        <v>-16330.59144422412</v>
      </c>
      <c r="J24" s="26" t="n">
        <v>-14732.5703043837</v>
      </c>
      <c r="K24" s="26" t="n">
        <v>-13084.41223595096</v>
      </c>
      <c r="L24" s="26" t="n">
        <v>-11332.3138797747</v>
      </c>
      <c r="M24" s="26" t="n">
        <v>-9430.07833607981</v>
      </c>
      <c r="N24" s="26" t="n">
        <v>-7365.823686883135</v>
      </c>
      <c r="O24" s="26" t="n">
        <v>-5126.753099605334</v>
      </c>
      <c r="P24" s="26" t="n">
        <v>-2696.461027883096</v>
      </c>
      <c r="Q24" s="26" t="n">
        <v>-566.7032484600528</v>
      </c>
      <c r="R24" s="26" t="n">
        <v>-0</v>
      </c>
      <c r="S24" s="26" t="n">
        <v>-0</v>
      </c>
      <c r="T24" s="26" t="n">
        <v>-0</v>
      </c>
      <c r="U24" s="26" t="n">
        <v>-0</v>
      </c>
      <c r="V24" s="26" t="n">
        <v>-0</v>
      </c>
      <c r="W24" s="26" t="n">
        <v>-0</v>
      </c>
      <c r="X24" s="26" t="n">
        <v>-0</v>
      </c>
      <c r="Y24" s="26" t="n">
        <v>-0</v>
      </c>
      <c r="Z24" s="26" t="n">
        <v>-0</v>
      </c>
      <c r="AA24" s="26" t="n">
        <v>-0</v>
      </c>
      <c r="AB24" s="26" t="n">
        <v>-0</v>
      </c>
      <c r="AC24" s="26" t="n">
        <v>-0</v>
      </c>
    </row>
    <row r="25">
      <c r="B25" s="25" t="inlineStr">
        <is>
          <t>Amortizacion de deuda</t>
        </is>
      </c>
      <c r="D25" s="26" t="n">
        <v>-0</v>
      </c>
      <c r="E25" s="26" t="n">
        <v>-0</v>
      </c>
      <c r="F25" s="26" t="n">
        <v>-0</v>
      </c>
      <c r="G25" s="26" t="n">
        <v>-0</v>
      </c>
      <c r="H25" s="26" t="n">
        <v>-0</v>
      </c>
      <c r="I25" s="26" t="n">
        <v>-15741.3556063696</v>
      </c>
      <c r="J25" s="26" t="n">
        <v>-16108.06337256353</v>
      </c>
      <c r="K25" s="26" t="n">
        <v>-16994.94663467436</v>
      </c>
      <c r="L25" s="26" t="n">
        <v>-18453.61646896358</v>
      </c>
      <c r="M25" s="26" t="n">
        <v>-20027.78351223248</v>
      </c>
      <c r="N25" s="26" t="n">
        <v>-21726.35831647838</v>
      </c>
      <c r="O25" s="26" t="n">
        <v>-23558.86875246707</v>
      </c>
      <c r="P25" s="26" t="n">
        <v>-25639.75029917119</v>
      </c>
      <c r="Q25" s="26" t="n">
        <v>-7486.451631848053</v>
      </c>
      <c r="R25" s="26" t="n">
        <v>-0</v>
      </c>
      <c r="S25" s="26" t="n">
        <v>-0</v>
      </c>
      <c r="T25" s="26" t="n">
        <v>-0</v>
      </c>
      <c r="U25" s="26" t="n">
        <v>-0</v>
      </c>
      <c r="V25" s="26" t="n">
        <v>-0</v>
      </c>
      <c r="W25" s="26" t="n">
        <v>-0</v>
      </c>
      <c r="X25" s="26" t="n">
        <v>-0</v>
      </c>
      <c r="Y25" s="26" t="n">
        <v>-0</v>
      </c>
      <c r="Z25" s="26" t="n">
        <v>-0</v>
      </c>
      <c r="AA25" s="26" t="n">
        <v>-0</v>
      </c>
      <c r="AB25" s="26" t="n">
        <v>-0</v>
      </c>
      <c r="AC25" s="26" t="n">
        <v>-0</v>
      </c>
    </row>
    <row r="26">
      <c r="B26" s="25" t="inlineStr">
        <is>
          <t>Cuenta de reserva CRSD</t>
        </is>
      </c>
      <c r="D26" s="26" t="n">
        <v>-0</v>
      </c>
      <c r="E26" s="26" t="n">
        <v>-0</v>
      </c>
      <c r="F26" s="26" t="n">
        <v>-0</v>
      </c>
      <c r="G26" s="26" t="n">
        <v>-0</v>
      </c>
      <c r="H26" s="26" t="n">
        <v>-16035.97352529686</v>
      </c>
      <c r="I26" s="26" t="n">
        <v>615.6566868232439</v>
      </c>
      <c r="J26" s="26" t="n">
        <v>380.6374031609575</v>
      </c>
      <c r="K26" s="26" t="n">
        <v>146.7142609435214</v>
      </c>
      <c r="L26" s="26" t="n">
        <v>164.0342502129934</v>
      </c>
      <c r="M26" s="26" t="n">
        <v>182.8399224753848</v>
      </c>
      <c r="N26" s="26" t="n">
        <v>203.2800756445577</v>
      </c>
      <c r="O26" s="26" t="n">
        <v>174.7052625090582</v>
      </c>
      <c r="P26" s="26" t="n">
        <v>10141.52822337309</v>
      </c>
      <c r="Q26" s="26" t="n">
        <v>4026.577440154053</v>
      </c>
      <c r="R26" s="26" t="n">
        <v>-0</v>
      </c>
      <c r="S26" s="26" t="n">
        <v>-0</v>
      </c>
      <c r="T26" s="26" t="n">
        <v>-0</v>
      </c>
      <c r="U26" s="26" t="n">
        <v>-0</v>
      </c>
      <c r="V26" s="26" t="n">
        <v>-0</v>
      </c>
      <c r="W26" s="26" t="n">
        <v>-0</v>
      </c>
      <c r="X26" s="26" t="n">
        <v>-0</v>
      </c>
      <c r="Y26" s="26" t="n">
        <v>-0</v>
      </c>
      <c r="Z26" s="26" t="n">
        <v>-0</v>
      </c>
      <c r="AA26" s="26" t="n">
        <v>-0</v>
      </c>
      <c r="AB26" s="26" t="n">
        <v>-0</v>
      </c>
      <c r="AC26" s="26" t="n">
        <v>-0</v>
      </c>
    </row>
    <row r="28">
      <c r="B28" s="20" t="inlineStr">
        <is>
          <t>Flujo de caja financiero</t>
        </is>
      </c>
      <c r="D28" s="27">
        <f>SUM(D7:D26)</f>
        <v/>
      </c>
      <c r="E28" s="27">
        <f>SUM(E7:E26)</f>
        <v/>
      </c>
      <c r="F28" s="27">
        <f>SUM(F7:F26)</f>
        <v/>
      </c>
      <c r="G28" s="27">
        <f>SUM(G7:G26)</f>
        <v/>
      </c>
      <c r="H28" s="27">
        <f>SUM(H7:H26)</f>
        <v/>
      </c>
      <c r="I28" s="27">
        <f>SUM(I7:I26)</f>
        <v/>
      </c>
      <c r="J28" s="27">
        <f>SUM(J7:J26)</f>
        <v/>
      </c>
      <c r="K28" s="27">
        <f>SUM(K7:K26)</f>
        <v/>
      </c>
      <c r="L28" s="27">
        <f>SUM(L7:L26)</f>
        <v/>
      </c>
      <c r="M28" s="27">
        <f>SUM(M7:M26)</f>
        <v/>
      </c>
      <c r="N28" s="27">
        <f>SUM(N7:N26)</f>
        <v/>
      </c>
      <c r="O28" s="27">
        <f>SUM(O7:O26)</f>
        <v/>
      </c>
      <c r="P28" s="27">
        <f>SUM(P7:P26)</f>
        <v/>
      </c>
      <c r="Q28" s="27">
        <f>SUM(Q7:Q26)</f>
        <v/>
      </c>
      <c r="R28" s="27">
        <f>SUM(R7:R26)</f>
        <v/>
      </c>
      <c r="S28" s="27">
        <f>SUM(S7:S26)</f>
        <v/>
      </c>
      <c r="T28" s="27">
        <f>SUM(T7:T26)</f>
        <v/>
      </c>
      <c r="U28" s="27">
        <f>SUM(U7:U26)</f>
        <v/>
      </c>
      <c r="V28" s="27">
        <f>SUM(V7:V26)</f>
        <v/>
      </c>
      <c r="W28" s="27">
        <f>SUM(W7:W26)</f>
        <v/>
      </c>
      <c r="X28" s="27">
        <f>SUM(X7:X26)</f>
        <v/>
      </c>
      <c r="Y28" s="27">
        <f>SUM(Y7:Y26)</f>
        <v/>
      </c>
      <c r="Z28" s="27">
        <f>SUM(Z7:Z26)</f>
        <v/>
      </c>
      <c r="AA28" s="27">
        <f>SUM(AA7:AA26)</f>
        <v/>
      </c>
      <c r="AB28" s="27">
        <f>SUM(AB7:AB26)</f>
        <v/>
      </c>
      <c r="AC28" s="27">
        <f>SUM(AC7:AC26)</f>
        <v/>
      </c>
    </row>
    <row r="29">
      <c r="B29" s="25" t="inlineStr">
        <is>
          <t>Periodo de descuento</t>
        </is>
      </c>
      <c r="D29" s="28" t="n">
        <v>0.9166666666666666</v>
      </c>
      <c r="E29" s="28" t="n">
        <v>1.916666666666667</v>
      </c>
      <c r="F29" s="28" t="n">
        <v>2.916666666666667</v>
      </c>
      <c r="G29" s="28" t="n">
        <v>3.916666666666667</v>
      </c>
      <c r="H29" s="28" t="n">
        <v>4.916666666666666</v>
      </c>
      <c r="I29" s="28" t="n">
        <v>5.916666666666666</v>
      </c>
      <c r="J29" s="28" t="n">
        <v>6.916666666666666</v>
      </c>
      <c r="K29" s="28" t="n">
        <v>7.916666666666666</v>
      </c>
      <c r="L29" s="28" t="n">
        <v>8.916666666666666</v>
      </c>
      <c r="M29" s="28" t="n">
        <v>9.916666666666666</v>
      </c>
      <c r="N29" s="28" t="n">
        <v>10.91666666666667</v>
      </c>
      <c r="O29" s="28" t="n">
        <v>11.91666666666667</v>
      </c>
      <c r="P29" s="28" t="n">
        <v>12.91666666666667</v>
      </c>
      <c r="Q29" s="28" t="n">
        <v>13.91666666666667</v>
      </c>
      <c r="R29" s="28" t="n">
        <v>14.91666666666667</v>
      </c>
      <c r="S29" s="28" t="n">
        <v>15.91666666666667</v>
      </c>
      <c r="T29" s="28" t="n">
        <v>16.91666666666666</v>
      </c>
      <c r="U29" s="28" t="n">
        <v>17.91666666666666</v>
      </c>
      <c r="V29" s="28" t="n">
        <v>18.91666666666666</v>
      </c>
      <c r="W29" s="28" t="n">
        <v>19.91666666666666</v>
      </c>
      <c r="X29" s="28" t="n">
        <v>20.91666666666666</v>
      </c>
      <c r="Y29" s="28" t="n">
        <v>21.91666666666666</v>
      </c>
      <c r="Z29" s="28" t="n">
        <v>22.91666666666666</v>
      </c>
      <c r="AA29" s="28" t="n">
        <v>23.91666666666666</v>
      </c>
      <c r="AB29" s="28" t="n">
        <v>24.16666666666666</v>
      </c>
      <c r="AC29" s="28" t="n">
        <v>24.16666666666666</v>
      </c>
    </row>
    <row r="31">
      <c r="B31" s="20" t="inlineStr">
        <is>
          <t>VAN del flujo de caja financiero</t>
        </is>
      </c>
      <c r="D31" s="29">
        <f>SUMPRODUCT(D28:AC28,1/(1+p_tir)^D29:AC29)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C22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2">
      <c r="B2" s="1" t="inlineStr">
        <is>
          <t>Activo financiero del PPDI</t>
        </is>
      </c>
    </row>
    <row r="3">
      <c r="B3" s="2" t="inlineStr">
        <is>
          <t>CINIIF 12 p.16: el cobro es incondicional, asi que la obra es cuenta por cobrar. Se reconoce por el servicio de construccion, no por la necesidad de financiamiento.</t>
        </is>
      </c>
    </row>
    <row r="5">
      <c r="B5" s="23" t="inlineStr">
        <is>
          <t>Ano</t>
        </is>
      </c>
      <c r="C5" s="24" t="n"/>
      <c r="D5" s="16" t="n">
        <v>2027</v>
      </c>
      <c r="E5" s="16" t="n">
        <v>2028</v>
      </c>
      <c r="F5" s="16" t="n">
        <v>2029</v>
      </c>
      <c r="G5" s="16" t="n">
        <v>2030</v>
      </c>
      <c r="H5" s="16" t="n">
        <v>2031</v>
      </c>
      <c r="I5" s="16" t="n">
        <v>2032</v>
      </c>
      <c r="J5" s="16" t="n">
        <v>2033</v>
      </c>
      <c r="K5" s="16" t="n">
        <v>2034</v>
      </c>
      <c r="L5" s="16" t="n">
        <v>2035</v>
      </c>
      <c r="M5" s="16" t="n">
        <v>2036</v>
      </c>
      <c r="N5" s="16" t="n">
        <v>2037</v>
      </c>
      <c r="O5" s="16" t="n">
        <v>2038</v>
      </c>
      <c r="P5" s="16" t="n">
        <v>2039</v>
      </c>
      <c r="Q5" s="16" t="n">
        <v>2040</v>
      </c>
      <c r="R5" s="16" t="n">
        <v>2041</v>
      </c>
      <c r="S5" s="16" t="n">
        <v>2042</v>
      </c>
      <c r="T5" s="16" t="n">
        <v>2043</v>
      </c>
      <c r="U5" s="16" t="n">
        <v>2044</v>
      </c>
      <c r="V5" s="16" t="n">
        <v>2045</v>
      </c>
      <c r="W5" s="16" t="n">
        <v>2046</v>
      </c>
      <c r="X5" s="16" t="n">
        <v>2047</v>
      </c>
      <c r="Y5" s="16" t="n">
        <v>2048</v>
      </c>
      <c r="Z5" s="16" t="n">
        <v>2049</v>
      </c>
      <c r="AA5" s="16" t="n">
        <v>2050</v>
      </c>
      <c r="AB5" s="16" t="n">
        <v>2051</v>
      </c>
      <c r="AC5" s="16" t="n">
        <v>2052</v>
      </c>
    </row>
    <row r="7">
      <c r="B7" s="25" t="inlineStr">
        <is>
          <t>Servicio de construccion (CAPEX)</t>
        </is>
      </c>
      <c r="D7" s="26">
        <f>-Flujo!D11</f>
        <v/>
      </c>
      <c r="E7" s="26">
        <f>-Flujo!E11</f>
        <v/>
      </c>
      <c r="F7" s="26">
        <f>-Flujo!F11</f>
        <v/>
      </c>
      <c r="G7" s="26">
        <f>-Flujo!G11</f>
        <v/>
      </c>
      <c r="H7" s="26">
        <f>-Flujo!H11</f>
        <v/>
      </c>
      <c r="I7" s="26">
        <f>-Flujo!I11</f>
        <v/>
      </c>
      <c r="J7" s="26">
        <f>-Flujo!J11</f>
        <v/>
      </c>
      <c r="K7" s="26">
        <f>-Flujo!K11</f>
        <v/>
      </c>
      <c r="L7" s="26">
        <f>-Flujo!L11</f>
        <v/>
      </c>
      <c r="M7" s="26">
        <f>-Flujo!M11</f>
        <v/>
      </c>
      <c r="N7" s="26">
        <f>-Flujo!N11</f>
        <v/>
      </c>
      <c r="O7" s="26">
        <f>-Flujo!O11</f>
        <v/>
      </c>
      <c r="P7" s="26">
        <f>-Flujo!P11</f>
        <v/>
      </c>
      <c r="Q7" s="26">
        <f>-Flujo!Q11</f>
        <v/>
      </c>
      <c r="R7" s="26">
        <f>-Flujo!R11</f>
        <v/>
      </c>
      <c r="S7" s="26">
        <f>-Flujo!S11</f>
        <v/>
      </c>
      <c r="T7" s="26">
        <f>-Flujo!T11</f>
        <v/>
      </c>
      <c r="U7" s="26">
        <f>-Flujo!U11</f>
        <v/>
      </c>
      <c r="V7" s="26">
        <f>-Flujo!V11</f>
        <v/>
      </c>
      <c r="W7" s="26">
        <f>-Flujo!W11</f>
        <v/>
      </c>
      <c r="X7" s="26">
        <f>-Flujo!X11</f>
        <v/>
      </c>
      <c r="Y7" s="26">
        <f>-Flujo!Y11</f>
        <v/>
      </c>
      <c r="Z7" s="26">
        <f>-Flujo!Z11</f>
        <v/>
      </c>
      <c r="AA7" s="26">
        <f>-Flujo!AA11</f>
        <v/>
      </c>
      <c r="AB7" s="26">
        <f>-Flujo!AB11</f>
        <v/>
      </c>
      <c r="AC7" s="26">
        <f>-Flujo!AC11</f>
        <v/>
      </c>
    </row>
    <row r="8">
      <c r="B8" s="25" t="inlineStr">
        <is>
          <t>Otros costos del periodo D+C+PM</t>
        </is>
      </c>
      <c r="D8" s="26">
        <f>-Flujo!D12</f>
        <v/>
      </c>
      <c r="E8" s="26">
        <f>-Flujo!E12</f>
        <v/>
      </c>
      <c r="F8" s="26">
        <f>-Flujo!F12</f>
        <v/>
      </c>
      <c r="G8" s="26">
        <f>-Flujo!G12</f>
        <v/>
      </c>
      <c r="H8" s="26">
        <f>-Flujo!H12</f>
        <v/>
      </c>
      <c r="I8" s="26">
        <f>-Flujo!I12</f>
        <v/>
      </c>
      <c r="J8" s="26">
        <f>-Flujo!J12</f>
        <v/>
      </c>
      <c r="K8" s="26">
        <f>-Flujo!K12</f>
        <v/>
      </c>
      <c r="L8" s="26">
        <f>-Flujo!L12</f>
        <v/>
      </c>
      <c r="M8" s="26">
        <f>-Flujo!M12</f>
        <v/>
      </c>
      <c r="N8" s="26">
        <f>-Flujo!N12</f>
        <v/>
      </c>
      <c r="O8" s="26">
        <f>-Flujo!O12</f>
        <v/>
      </c>
      <c r="P8" s="26">
        <f>-Flujo!P12</f>
        <v/>
      </c>
      <c r="Q8" s="26">
        <f>-Flujo!Q12</f>
        <v/>
      </c>
      <c r="R8" s="26">
        <f>-Flujo!R12</f>
        <v/>
      </c>
      <c r="S8" s="26">
        <f>-Flujo!S12</f>
        <v/>
      </c>
      <c r="T8" s="26">
        <f>-Flujo!T12</f>
        <v/>
      </c>
      <c r="U8" s="26">
        <f>-Flujo!U12</f>
        <v/>
      </c>
      <c r="V8" s="26">
        <f>-Flujo!V12</f>
        <v/>
      </c>
      <c r="W8" s="26">
        <f>-Flujo!W12</f>
        <v/>
      </c>
      <c r="X8" s="26">
        <f>-Flujo!X12</f>
        <v/>
      </c>
      <c r="Y8" s="26">
        <f>-Flujo!Y12</f>
        <v/>
      </c>
      <c r="Z8" s="26">
        <f>-Flujo!Z12</f>
        <v/>
      </c>
      <c r="AA8" s="26">
        <f>-Flujo!AA12</f>
        <v/>
      </c>
      <c r="AB8" s="26">
        <f>-Flujo!AB12</f>
        <v/>
      </c>
      <c r="AC8" s="26">
        <f>-Flujo!AC12</f>
        <v/>
      </c>
    </row>
    <row r="9">
      <c r="B9" s="25" t="inlineStr">
        <is>
          <t>PPD Inversiones cobrado</t>
        </is>
      </c>
      <c r="D9" s="26">
        <f>-Flujo!D7</f>
        <v/>
      </c>
      <c r="E9" s="26">
        <f>-Flujo!E7</f>
        <v/>
      </c>
      <c r="F9" s="26">
        <f>-Flujo!F7</f>
        <v/>
      </c>
      <c r="G9" s="26">
        <f>-Flujo!G7</f>
        <v/>
      </c>
      <c r="H9" s="26">
        <f>-Flujo!H7</f>
        <v/>
      </c>
      <c r="I9" s="26">
        <f>-Flujo!I7</f>
        <v/>
      </c>
      <c r="J9" s="26">
        <f>-Flujo!J7</f>
        <v/>
      </c>
      <c r="K9" s="26">
        <f>-Flujo!K7</f>
        <v/>
      </c>
      <c r="L9" s="26">
        <f>-Flujo!L7</f>
        <v/>
      </c>
      <c r="M9" s="26">
        <f>-Flujo!M7</f>
        <v/>
      </c>
      <c r="N9" s="26">
        <f>-Flujo!N7</f>
        <v/>
      </c>
      <c r="O9" s="26">
        <f>-Flujo!O7</f>
        <v/>
      </c>
      <c r="P9" s="26">
        <f>-Flujo!P7</f>
        <v/>
      </c>
      <c r="Q9" s="26">
        <f>-Flujo!Q7</f>
        <v/>
      </c>
      <c r="R9" s="26">
        <f>-Flujo!R7</f>
        <v/>
      </c>
      <c r="S9" s="26">
        <f>-Flujo!S7</f>
        <v/>
      </c>
      <c r="T9" s="26">
        <f>-Flujo!T7</f>
        <v/>
      </c>
      <c r="U9" s="26">
        <f>-Flujo!U7</f>
        <v/>
      </c>
      <c r="V9" s="26">
        <f>-Flujo!V7</f>
        <v/>
      </c>
      <c r="W9" s="26">
        <f>-Flujo!W7</f>
        <v/>
      </c>
      <c r="X9" s="26">
        <f>-Flujo!X7</f>
        <v/>
      </c>
      <c r="Y9" s="26">
        <f>-Flujo!Y7</f>
        <v/>
      </c>
      <c r="Z9" s="26">
        <f>-Flujo!Z7</f>
        <v/>
      </c>
      <c r="AA9" s="26">
        <f>-Flujo!AA7</f>
        <v/>
      </c>
      <c r="AB9" s="26">
        <f>-Flujo!AB7</f>
        <v/>
      </c>
      <c r="AC9" s="26">
        <f>-Flujo!AC7</f>
        <v/>
      </c>
    </row>
    <row r="10">
      <c r="B10" s="20" t="inlineStr">
        <is>
          <t>Total del periodo</t>
        </is>
      </c>
      <c r="D10" s="27">
        <f>SUM(D7:D9)</f>
        <v/>
      </c>
      <c r="E10" s="27">
        <f>SUM(E7:E9)</f>
        <v/>
      </c>
      <c r="F10" s="27">
        <f>SUM(F7:F9)</f>
        <v/>
      </c>
      <c r="G10" s="27">
        <f>SUM(G7:G9)</f>
        <v/>
      </c>
      <c r="H10" s="27">
        <f>SUM(H7:H9)</f>
        <v/>
      </c>
      <c r="I10" s="27">
        <f>SUM(I7:I9)</f>
        <v/>
      </c>
      <c r="J10" s="27">
        <f>SUM(J7:J9)</f>
        <v/>
      </c>
      <c r="K10" s="27">
        <f>SUM(K7:K9)</f>
        <v/>
      </c>
      <c r="L10" s="27">
        <f>SUM(L7:L9)</f>
        <v/>
      </c>
      <c r="M10" s="27">
        <f>SUM(M7:M9)</f>
        <v/>
      </c>
      <c r="N10" s="27">
        <f>SUM(N7:N9)</f>
        <v/>
      </c>
      <c r="O10" s="27">
        <f>SUM(O7:O9)</f>
        <v/>
      </c>
      <c r="P10" s="27">
        <f>SUM(P7:P9)</f>
        <v/>
      </c>
      <c r="Q10" s="27">
        <f>SUM(Q7:Q9)</f>
        <v/>
      </c>
      <c r="R10" s="27">
        <f>SUM(R7:R9)</f>
        <v/>
      </c>
      <c r="S10" s="27">
        <f>SUM(S7:S9)</f>
        <v/>
      </c>
      <c r="T10" s="27">
        <f>SUM(T7:T9)</f>
        <v/>
      </c>
      <c r="U10" s="27">
        <f>SUM(U7:U9)</f>
        <v/>
      </c>
      <c r="V10" s="27">
        <f>SUM(V7:V9)</f>
        <v/>
      </c>
      <c r="W10" s="27">
        <f>SUM(W7:W9)</f>
        <v/>
      </c>
      <c r="X10" s="27">
        <f>SUM(X7:X9)</f>
        <v/>
      </c>
      <c r="Y10" s="27">
        <f>SUM(Y7:Y9)</f>
        <v/>
      </c>
      <c r="Z10" s="27">
        <f>SUM(Z7:Z9)</f>
        <v/>
      </c>
      <c r="AA10" s="27">
        <f>SUM(AA7:AA9)</f>
        <v/>
      </c>
      <c r="AB10" s="27">
        <f>SUM(AB7:AB9)</f>
        <v/>
      </c>
      <c r="AC10" s="27">
        <f>SUM(AC7:AC9)</f>
        <v/>
      </c>
    </row>
    <row r="12">
      <c r="B12" s="20" t="inlineStr">
        <is>
          <t>Tasa implicita anual</t>
        </is>
      </c>
      <c r="D12" s="30">
        <f>IFERROR(IRR($D$10:$AC$10),0)</f>
        <v/>
      </c>
    </row>
    <row r="14">
      <c r="B14" s="25" t="inlineStr">
        <is>
          <t>Saldo inicial del activo</t>
        </is>
      </c>
      <c r="D14" s="22" t="n">
        <v>0</v>
      </c>
      <c r="E14" s="22">
        <f>D16</f>
        <v/>
      </c>
      <c r="F14" s="22">
        <f>E16</f>
        <v/>
      </c>
      <c r="G14" s="22">
        <f>F16</f>
        <v/>
      </c>
      <c r="H14" s="22">
        <f>G16</f>
        <v/>
      </c>
      <c r="I14" s="22">
        <f>H16</f>
        <v/>
      </c>
      <c r="J14" s="22">
        <f>I16</f>
        <v/>
      </c>
      <c r="K14" s="22">
        <f>J16</f>
        <v/>
      </c>
      <c r="L14" s="22">
        <f>K16</f>
        <v/>
      </c>
      <c r="M14" s="22">
        <f>L16</f>
        <v/>
      </c>
      <c r="N14" s="22">
        <f>M16</f>
        <v/>
      </c>
      <c r="O14" s="22">
        <f>N16</f>
        <v/>
      </c>
      <c r="P14" s="22">
        <f>O16</f>
        <v/>
      </c>
      <c r="Q14" s="22">
        <f>P16</f>
        <v/>
      </c>
      <c r="R14" s="22">
        <f>Q16</f>
        <v/>
      </c>
      <c r="S14" s="22">
        <f>R16</f>
        <v/>
      </c>
      <c r="T14" s="22">
        <f>S16</f>
        <v/>
      </c>
      <c r="U14" s="22">
        <f>T16</f>
        <v/>
      </c>
      <c r="V14" s="22">
        <f>U16</f>
        <v/>
      </c>
      <c r="W14" s="22">
        <f>V16</f>
        <v/>
      </c>
      <c r="X14" s="22">
        <f>W16</f>
        <v/>
      </c>
      <c r="Y14" s="22">
        <f>X16</f>
        <v/>
      </c>
      <c r="Z14" s="22">
        <f>Y16</f>
        <v/>
      </c>
      <c r="AA14" s="22">
        <f>Z16</f>
        <v/>
      </c>
      <c r="AB14" s="22">
        <f>AA16</f>
        <v/>
      </c>
      <c r="AC14" s="22">
        <f>AB16</f>
        <v/>
      </c>
    </row>
    <row r="15">
      <c r="B15" s="25" t="inlineStr">
        <is>
          <t>Ingreso financiero devengado</t>
        </is>
      </c>
      <c r="D15" s="22">
        <f>D14*$D$12</f>
        <v/>
      </c>
      <c r="E15" s="22">
        <f>E14*$D$12</f>
        <v/>
      </c>
      <c r="F15" s="22">
        <f>F14*$D$12</f>
        <v/>
      </c>
      <c r="G15" s="22">
        <f>G14*$D$12</f>
        <v/>
      </c>
      <c r="H15" s="22">
        <f>H14*$D$12</f>
        <v/>
      </c>
      <c r="I15" s="22">
        <f>I14*$D$12</f>
        <v/>
      </c>
      <c r="J15" s="22">
        <f>J14*$D$12</f>
        <v/>
      </c>
      <c r="K15" s="22">
        <f>K14*$D$12</f>
        <v/>
      </c>
      <c r="L15" s="22">
        <f>L14*$D$12</f>
        <v/>
      </c>
      <c r="M15" s="22">
        <f>M14*$D$12</f>
        <v/>
      </c>
      <c r="N15" s="22">
        <f>N14*$D$12</f>
        <v/>
      </c>
      <c r="O15" s="22">
        <f>O14*$D$12</f>
        <v/>
      </c>
      <c r="P15" s="22">
        <f>P14*$D$12</f>
        <v/>
      </c>
      <c r="Q15" s="22">
        <f>Q14*$D$12</f>
        <v/>
      </c>
      <c r="R15" s="22">
        <f>R14*$D$12</f>
        <v/>
      </c>
      <c r="S15" s="22">
        <f>S14*$D$12</f>
        <v/>
      </c>
      <c r="T15" s="22">
        <f>T14*$D$12</f>
        <v/>
      </c>
      <c r="U15" s="22">
        <f>U14*$D$12</f>
        <v/>
      </c>
      <c r="V15" s="22">
        <f>V14*$D$12</f>
        <v/>
      </c>
      <c r="W15" s="22">
        <f>W14*$D$12</f>
        <v/>
      </c>
      <c r="X15" s="22">
        <f>X14*$D$12</f>
        <v/>
      </c>
      <c r="Y15" s="22">
        <f>Y14*$D$12</f>
        <v/>
      </c>
      <c r="Z15" s="22">
        <f>Z14*$D$12</f>
        <v/>
      </c>
      <c r="AA15" s="22">
        <f>AA14*$D$12</f>
        <v/>
      </c>
      <c r="AB15" s="22">
        <f>AB14*$D$12</f>
        <v/>
      </c>
      <c r="AC15" s="22">
        <f>AC14*$D$12</f>
        <v/>
      </c>
    </row>
    <row r="16">
      <c r="B16" s="20" t="inlineStr">
        <is>
          <t>Saldo final del activo</t>
        </is>
      </c>
      <c r="D16" s="27">
        <f>D14+D10+D15</f>
        <v/>
      </c>
      <c r="E16" s="27">
        <f>E14+E10+E15</f>
        <v/>
      </c>
      <c r="F16" s="27">
        <f>F14+F10+F15</f>
        <v/>
      </c>
      <c r="G16" s="27">
        <f>G14+G10+G15</f>
        <v/>
      </c>
      <c r="H16" s="27">
        <f>H14+H10+H15</f>
        <v/>
      </c>
      <c r="I16" s="27">
        <f>I14+I10+I15</f>
        <v/>
      </c>
      <c r="J16" s="27">
        <f>J14+J10+J15</f>
        <v/>
      </c>
      <c r="K16" s="27">
        <f>K14+K10+K15</f>
        <v/>
      </c>
      <c r="L16" s="27">
        <f>L14+L10+L15</f>
        <v/>
      </c>
      <c r="M16" s="27">
        <f>M14+M10+M15</f>
        <v/>
      </c>
      <c r="N16" s="27">
        <f>N14+N10+N15</f>
        <v/>
      </c>
      <c r="O16" s="27">
        <f>O14+O10+O15</f>
        <v/>
      </c>
      <c r="P16" s="27">
        <f>P14+P10+P15</f>
        <v/>
      </c>
      <c r="Q16" s="27">
        <f>Q14+Q10+Q15</f>
        <v/>
      </c>
      <c r="R16" s="27">
        <f>R14+R10+R15</f>
        <v/>
      </c>
      <c r="S16" s="27">
        <f>S14+S10+S15</f>
        <v/>
      </c>
      <c r="T16" s="27">
        <f>T14+T10+T15</f>
        <v/>
      </c>
      <c r="U16" s="27">
        <f>U14+U10+U15</f>
        <v/>
      </c>
      <c r="V16" s="27">
        <f>V14+V10+V15</f>
        <v/>
      </c>
      <c r="W16" s="27">
        <f>W14+W10+W15</f>
        <v/>
      </c>
      <c r="X16" s="27">
        <f>X14+X10+X15</f>
        <v/>
      </c>
      <c r="Y16" s="27">
        <f>Y14+Y10+Y15</f>
        <v/>
      </c>
      <c r="Z16" s="27">
        <f>Z14+Z10+Z15</f>
        <v/>
      </c>
      <c r="AA16" s="27">
        <f>AA14+AA10+AA15</f>
        <v/>
      </c>
      <c r="AB16" s="27">
        <f>AB14+AB10+AB15</f>
        <v/>
      </c>
      <c r="AC16" s="27">
        <f>AC14+AC10+AC15</f>
        <v/>
      </c>
    </row>
    <row r="18">
      <c r="B18" s="20" t="inlineStr">
        <is>
          <t>Saldo maximo del activo</t>
        </is>
      </c>
      <c r="D18" s="31">
        <f>MAX($D$16:$AC$16)</f>
        <v/>
      </c>
    </row>
    <row r="19">
      <c r="B19" s="20" t="inlineStr">
        <is>
          <t>Ingreso financiero acumulado</t>
        </is>
      </c>
      <c r="D19" s="31">
        <f>SUM($D$15:$AC$15)</f>
        <v/>
      </c>
    </row>
    <row r="20">
      <c r="B20" s="20" t="inlineStr">
        <is>
          <t>Saldo final, debe ser cero</t>
        </is>
      </c>
      <c r="D20" s="31">
        <f>AC16</f>
        <v/>
      </c>
    </row>
    <row r="21">
      <c r="B21" s="20" t="inlineStr">
        <is>
          <t>Check AF</t>
        </is>
      </c>
      <c r="D21" s="32">
        <f>IF(ROUND(AC16,2)=0,"OK","ERROR")</f>
        <v/>
      </c>
    </row>
    <row r="22">
      <c r="B22" s="20" t="inlineStr">
        <is>
          <t>Anos con saldo negativo</t>
        </is>
      </c>
      <c r="D22" s="33">
        <f>SUMPRODUCT(--(ROUND($D$16:$AC$16,2)&lt;0))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2026-09-18T04:52:35Z</dcterms:created>
  <dcterms:modified xsi:type="dcterms:W3CDTF">2026-09-18T04:52:35Z</dcterms:modified>
</cp:coreProperties>
</file>