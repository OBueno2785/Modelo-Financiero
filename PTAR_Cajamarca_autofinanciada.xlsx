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Deuda" sheetId="3" state="visible" r:id="rId3"/>
    <sheet name="Ingresos" sheetId="4" state="visible" r:id="rId4"/>
    <sheet name="Activo intangible" sheetId="5" state="visible" r:id="rId5"/>
    <sheet name="Flujo" sheetId="6" state="visible" r:id="rId6"/>
    <sheet name="Reparto de la tarifa" sheetId="7" state="visible" r:id="rId7"/>
  </sheets>
  <definedNames>
    <definedName name="p_costo_obra">Inputs!$D$6</definedName>
    <definedName name="p_tamano_deuda">Inputs!$D$7</definedName>
    <definedName name="p_kd">Inputs!$D$8</definedName>
    <definedName name="p_spread">Inputs!$D$9</definedName>
    <definedName name="p_ke">Inputs!$D$10</definedName>
    <definedName name="p_wacc">Inputs!$D$11</definedName>
    <definedName name="p_pagos">Inputs!$D$12</definedName>
    <definedName name="p_ipm">Inputs!$D$13</definedName>
    <definedName name="p_gatillo">Inputs!$D$14</definedName>
    <definedName name="p_ipc">Inputs!$D$15</definedName>
    <definedName name="p_ir">Inputs!$D$16</definedName>
    <definedName name="p_part">Inputs!$D$17</definedName>
    <definedName name="p_superv">Inputs!$D$18</definedName>
    <definedName name="p_igv">Inputs!$D$19</definedName>
    <definedName name="p_tarifa_usuario">Inputs!$D$20</definedName>
    <definedName name="p_margen_om">Inputs!$D$21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#,##0.0000000"/>
    <numFmt numFmtId="166" formatCode="0.00000"/>
    <numFmt numFmtId="167" formatCode="0.00000000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5" fontId="4" fillId="4" borderId="1" pivotButton="0" quotePrefix="0" xfId="0"/>
    <xf numFmtId="4" fontId="4" fillId="4" borderId="1" pivotButton="0" quotePrefix="0" xfId="0"/>
    <xf numFmtId="0" fontId="3" fillId="0" borderId="1" pivotButton="0" quotePrefix="0" xfId="0"/>
    <xf numFmtId="1" fontId="4" fillId="4" borderId="1" pivotButton="0" quotePrefix="0" xfId="0"/>
    <xf numFmtId="164" fontId="4" fillId="4" borderId="1" pivotButton="0" quotePrefix="0" xfId="0"/>
    <xf numFmtId="4" fontId="4" fillId="2" borderId="1" pivotButton="0" quotePrefix="0" xfId="0"/>
    <xf numFmtId="0" fontId="5" fillId="0" borderId="1" pivotButton="0" quotePrefix="0" xfId="0"/>
    <xf numFmtId="10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165" fontId="4" fillId="2" borderId="1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" fontId="4" fillId="2" borderId="0" pivotButton="0" quotePrefix="0" xfId="0"/>
    <xf numFmtId="4" fontId="4" fillId="2" borderId="0" pivotButton="0" quotePrefix="0" xfId="0"/>
    <xf numFmtId="4" fontId="4" fillId="4" borderId="0" pivotButton="0" quotePrefix="0" xfId="0"/>
    <xf numFmtId="167" fontId="3" fillId="0" borderId="0" pivotButton="0" quotePrefix="0" xfId="0"/>
    <xf numFmtId="4" fontId="0" fillId="2" borderId="0" pivotButton="0" quotePrefix="0" xfId="0"/>
    <xf numFmtId="165" fontId="3" fillId="0" borderId="0" pivotButton="0" quotePrefix="0" xfId="0"/>
    <xf numFmtId="10" fontId="4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20" customWidth="1" min="4" max="4"/>
    <col width="40" customWidth="1" min="5" max="5"/>
  </cols>
  <sheetData>
    <row r="2">
      <c r="B2" s="1" t="inlineStr">
        <is>
          <t>Resumen del modelo, APP autofinanciada</t>
        </is>
      </c>
    </row>
    <row r="3">
      <c r="B3" s="2" t="inlineStr">
        <is>
          <t>S/ miles sin IGV. No hay PPDI ni PPDMO: el proyecto se paga con la tarifa al usuario.</t>
        </is>
      </c>
    </row>
    <row r="6">
      <c r="B6" s="3" t="inlineStr">
        <is>
          <t>Tarifa al usuario, S/ por kg DBO5</t>
        </is>
      </c>
      <c r="C6" s="4" t="n"/>
      <c r="D6" s="5">
        <f>p_tarifa_usuario</f>
        <v/>
      </c>
      <c r="E6" s="4" t="n"/>
    </row>
    <row r="7">
      <c r="B7" s="3" t="inlineStr">
        <is>
          <t>Ingreso tarifario, primer mes de operacion anualizado</t>
        </is>
      </c>
      <c r="C7" s="4" t="n"/>
      <c r="D7" s="6">
        <f>SUMPRODUCT(Ingresos!$D$15:$LI$15,Ingresos!$D$14:$LI$14)*12</f>
        <v/>
      </c>
      <c r="E7" s="4" t="n"/>
    </row>
    <row r="8">
      <c r="B8" s="3" t="inlineStr">
        <is>
          <t>Ingreso tarifario, promedio mensual de la operacion</t>
        </is>
      </c>
      <c r="C8" s="4" t="n"/>
      <c r="D8" s="6">
        <f>SUMPRODUCT(Ingresos!$D$7:$LI$7,Ingresos!$D$14:$LI$14)/SUM(Ingresos!$D$7:$LI$7)</f>
        <v/>
      </c>
      <c r="E8" s="4" t="n"/>
    </row>
    <row r="9">
      <c r="B9" s="3" t="inlineStr">
        <is>
          <t>Tarifa que paga la operacion con su margen, S/ por kg DBO5</t>
        </is>
      </c>
      <c r="C9" s="4" t="n"/>
      <c r="D9" s="5">
        <f>p_tarifa_usuario*'Reparto de la tarifa'!$D$26</f>
        <v/>
      </c>
      <c r="E9" s="4" t="n"/>
    </row>
    <row r="10">
      <c r="B10" s="3" t="inlineStr">
        <is>
          <t>Tarifa que repaga la inversion, S/ por kg DBO5</t>
        </is>
      </c>
      <c r="C10" s="4" t="n"/>
      <c r="D10" s="5">
        <f>p_tarifa_usuario*'Reparto de la tarifa'!$D$27</f>
        <v/>
      </c>
      <c r="E10" s="4" t="n"/>
    </row>
    <row r="11">
      <c r="B11" s="3" t="inlineStr">
        <is>
          <t>VAN del ingreso tarifario</t>
        </is>
      </c>
      <c r="C11" s="4" t="n"/>
      <c r="D11" s="6">
        <f>'Reparto de la tarifa'!$D$22</f>
        <v/>
      </c>
      <c r="E11" s="4" t="n"/>
    </row>
    <row r="12">
      <c r="B12" s="7" t="inlineStr">
        <is>
          <t xml:space="preserve">  del que va a la operacion</t>
        </is>
      </c>
      <c r="C12" s="4" t="n"/>
      <c r="D12" s="6">
        <f>'Reparto de la tarifa'!$D$24</f>
        <v/>
      </c>
      <c r="E12" s="4" t="n"/>
    </row>
    <row r="13">
      <c r="B13" s="7" t="inlineStr">
        <is>
          <t xml:space="preserve">  del que repaga la inversion</t>
        </is>
      </c>
      <c r="C13" s="4" t="n"/>
      <c r="D13" s="6">
        <f>'Reparto de la tarifa'!$D$25</f>
        <v/>
      </c>
      <c r="E13" s="4" t="n"/>
    </row>
    <row r="14">
      <c r="B14" s="7" t="inlineStr">
        <is>
          <t>Activo intangible al termino de obra</t>
        </is>
      </c>
      <c r="C14" s="4" t="n"/>
      <c r="D14" s="6">
        <f>'Activo intangible'!$D$8</f>
        <v/>
      </c>
      <c r="E14" s="4" t="n"/>
    </row>
    <row r="15">
      <c r="B15" s="7" t="inlineStr">
        <is>
          <t>Amortizacion lineal mensual</t>
        </is>
      </c>
      <c r="C15" s="4" t="n"/>
      <c r="D15" s="6">
        <f>'Activo intangible'!$D$9</f>
        <v/>
      </c>
      <c r="E15" s="4" t="n"/>
    </row>
    <row r="16">
      <c r="B16" s="7" t="inlineStr">
        <is>
          <t>Meses de operacion</t>
        </is>
      </c>
      <c r="C16" s="4" t="n"/>
      <c r="D16" s="8">
        <f>'Activo intangible'!$D$7</f>
        <v/>
      </c>
      <c r="E16" s="4" t="n"/>
    </row>
    <row r="17">
      <c r="B17" s="7" t="inlineStr">
        <is>
          <t>Saldo final del intangible, debe ser cero</t>
        </is>
      </c>
      <c r="C17" s="4" t="n"/>
      <c r="D17" s="6">
        <f>'Activo intangible'!$LI$18</f>
        <v/>
      </c>
      <c r="E17" s="4" t="n"/>
    </row>
    <row r="18">
      <c r="B18" s="7" t="inlineStr">
        <is>
          <t>VAN financiero, debe ser cero</t>
        </is>
      </c>
      <c r="C18" s="4" t="n"/>
      <c r="D18" s="6">
        <f>Flujo!$D$29</f>
        <v/>
      </c>
      <c r="E18" s="4" t="n"/>
    </row>
    <row r="19">
      <c r="B19" s="7" t="inlineStr">
        <is>
          <t>WACC</t>
        </is>
      </c>
      <c r="C19" s="4" t="n"/>
      <c r="D19" s="9">
        <f>p_wacc</f>
        <v/>
      </c>
      <c r="E19" s="4" t="n"/>
    </row>
    <row r="20">
      <c r="B20" s="7" t="inlineStr">
        <is>
          <t>Kd</t>
        </is>
      </c>
      <c r="C20" s="4" t="n"/>
      <c r="D20" s="9">
        <f>p_kd</f>
        <v/>
      </c>
      <c r="E20" s="4" t="n"/>
    </row>
    <row r="21">
      <c r="B21" s="7" t="inlineStr">
        <is>
          <t>Ke</t>
        </is>
      </c>
      <c r="C21" s="4" t="n"/>
      <c r="D21" s="9">
        <f>p_ke</f>
        <v/>
      </c>
      <c r="E2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7" t="inlineStr">
        <is>
          <t>Costo de obra a financiar</t>
        </is>
      </c>
      <c r="C6" s="4" t="n"/>
      <c r="D6" s="10" t="n">
        <v>261144.8116614452</v>
      </c>
      <c r="E6" s="11" t="inlineStr">
        <is>
          <t>S/ miles</t>
        </is>
      </c>
    </row>
    <row r="7">
      <c r="B7" s="7" t="inlineStr">
        <is>
          <t>Tamano de deuda</t>
        </is>
      </c>
      <c r="C7" s="4" t="n"/>
      <c r="D7" s="12" t="n">
        <v>0.8</v>
      </c>
      <c r="E7" s="11" t="inlineStr">
        <is>
          <t>% del costo de obra</t>
        </is>
      </c>
    </row>
    <row r="8">
      <c r="B8" s="7" t="inlineStr">
        <is>
          <t>Kd, costo de la deuda</t>
        </is>
      </c>
      <c r="C8" s="4" t="n"/>
      <c r="D8" s="13" t="n">
        <v>0.1009295682936526</v>
      </c>
      <c r="E8" s="11" t="inlineStr">
        <is>
          <t>soberano a vida media + spread</t>
        </is>
      </c>
    </row>
    <row r="9">
      <c r="B9" s="7" t="inlineStr">
        <is>
          <t>Spread de deuda</t>
        </is>
      </c>
      <c r="C9" s="4" t="n"/>
      <c r="D9" s="13" t="n">
        <v>0.035</v>
      </c>
      <c r="E9" s="11" t="inlineStr">
        <is>
          <t>sondeo de mercado</t>
        </is>
      </c>
    </row>
    <row r="10">
      <c r="B10" s="7" t="inlineStr">
        <is>
          <t>Ke, costo del patrimonio</t>
        </is>
      </c>
      <c r="C10" s="4" t="n"/>
      <c r="D10" s="13" t="n">
        <v>0.1262264856013662</v>
      </c>
      <c r="E10" s="11" t="inlineStr">
        <is>
          <t>CAPM en USD + riesgo pais + devaluacion</t>
        </is>
      </c>
    </row>
    <row r="11">
      <c r="B11" s="7" t="inlineStr">
        <is>
          <t>WACC</t>
        </is>
      </c>
      <c r="C11" s="4" t="n"/>
      <c r="D11" s="13" t="n">
        <v>0.0973034785069435</v>
      </c>
      <c r="E11" s="11" t="inlineStr">
        <is>
          <t>despues de impuestos</t>
        </is>
      </c>
    </row>
    <row r="12">
      <c r="B12" s="7" t="inlineStr">
        <is>
          <t>Numero de pagos de la deuda</t>
        </is>
      </c>
      <c r="C12" s="4" t="n"/>
      <c r="D12" s="14" t="n">
        <v>144</v>
      </c>
      <c r="E12" s="11" t="inlineStr">
        <is>
          <t>meses</t>
        </is>
      </c>
    </row>
    <row r="13">
      <c r="B13" s="7" t="inlineStr">
        <is>
          <t>IPM, reajuste de ingresos</t>
        </is>
      </c>
      <c r="C13" s="4" t="n"/>
      <c r="D13" s="13" t="n">
        <v>0.0267</v>
      </c>
      <c r="E13" s="11" t="inlineStr">
        <is>
          <t>anual</t>
        </is>
      </c>
    </row>
    <row r="14">
      <c r="B14" s="7" t="inlineStr">
        <is>
          <t>Gatillo del reajuste</t>
        </is>
      </c>
      <c r="C14" s="4" t="n"/>
      <c r="D14" s="12" t="n">
        <v>0.03</v>
      </c>
      <c r="E14" s="11" t="inlineStr">
        <is>
          <t>acumulado que dispara el ajuste</t>
        </is>
      </c>
    </row>
    <row r="15">
      <c r="B15" s="7" t="inlineStr">
        <is>
          <t>IPC, reajuste de costos</t>
        </is>
      </c>
      <c r="C15" s="4" t="n"/>
      <c r="D15" s="13" t="n">
        <v>0.02</v>
      </c>
      <c r="E15" s="11" t="inlineStr">
        <is>
          <t>anual, sin gatillo</t>
        </is>
      </c>
    </row>
    <row r="16">
      <c r="B16" s="7" t="inlineStr">
        <is>
          <t>Tasa de Impuesto a la Renta</t>
        </is>
      </c>
      <c r="C16" s="4" t="n"/>
      <c r="D16" s="12" t="n">
        <v>0.295</v>
      </c>
      <c r="E16" s="11" t="inlineStr"/>
    </row>
    <row r="17">
      <c r="B17" s="7" t="inlineStr">
        <is>
          <t>Participacion de trabajadores</t>
        </is>
      </c>
      <c r="C17" s="4" t="n"/>
      <c r="D17" s="12" t="n">
        <v>0.05</v>
      </c>
      <c r="E17" s="11" t="inlineStr"/>
    </row>
    <row r="18">
      <c r="B18" s="7" t="inlineStr">
        <is>
          <t>Supervision del regulador</t>
        </is>
      </c>
      <c r="C18" s="4" t="n"/>
      <c r="D18" s="12" t="n">
        <v>0.01</v>
      </c>
      <c r="E18" s="11" t="inlineStr">
        <is>
          <t>% del ingreso tarifario</t>
        </is>
      </c>
    </row>
    <row r="19">
      <c r="B19" s="7" t="inlineStr">
        <is>
          <t>IGV</t>
        </is>
      </c>
      <c r="C19" s="4" t="n"/>
      <c r="D19" s="12" t="n">
        <v>0.18</v>
      </c>
      <c r="E19" s="11" t="inlineStr">
        <is>
          <t>lo paga el usuario sobre la tarifa</t>
        </is>
      </c>
    </row>
    <row r="20">
      <c r="B20" s="7" t="inlineStr">
        <is>
          <t>Tarifa al usuario</t>
        </is>
      </c>
      <c r="C20" s="4" t="n"/>
      <c r="D20" s="15" t="n">
        <v>9.460860497023063</v>
      </c>
      <c r="E20" s="11" t="inlineStr">
        <is>
          <t>S/ por kg DBO5 - LA CIERRA Buscar Objetivo</t>
        </is>
      </c>
    </row>
    <row r="21">
      <c r="B21" s="7" t="inlineStr">
        <is>
          <t>Margen del operador</t>
        </is>
      </c>
      <c r="C21" s="4" t="n"/>
      <c r="D21" s="12" t="n">
        <v>0.15</v>
      </c>
      <c r="E21" s="11" t="inlineStr">
        <is>
          <t>sobre todo el costo de O&amp;M; aca no hay pata fija y 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I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</cols>
  <sheetData>
    <row r="2">
      <c r="B2" s="1" t="inlineStr">
        <is>
          <t>Deuda financiera</t>
        </is>
      </c>
    </row>
    <row r="3">
      <c r="B3" s="2" t="inlineStr">
        <is>
          <t>Cuota constante: el servicio sale de PMT y la amortizacion es el residuo.</t>
        </is>
      </c>
    </row>
    <row r="6">
      <c r="B6" s="16" t="inlineStr">
        <is>
          <t>Mes</t>
        </is>
      </c>
      <c r="D6" s="17" t="inlineStr">
        <is>
          <t>2026-10-31</t>
        </is>
      </c>
      <c r="E6" s="17" t="inlineStr">
        <is>
          <t>2026-11-30</t>
        </is>
      </c>
      <c r="F6" s="17" t="inlineStr">
        <is>
          <t>2026-12-31</t>
        </is>
      </c>
      <c r="G6" s="17" t="inlineStr">
        <is>
          <t>2027-01-31</t>
        </is>
      </c>
      <c r="H6" s="17" t="inlineStr">
        <is>
          <t>2027-02-28</t>
        </is>
      </c>
      <c r="I6" s="17" t="inlineStr">
        <is>
          <t>2027-03-31</t>
        </is>
      </c>
      <c r="J6" s="17" t="inlineStr">
        <is>
          <t>2027-04-30</t>
        </is>
      </c>
      <c r="K6" s="17" t="inlineStr">
        <is>
          <t>2027-05-31</t>
        </is>
      </c>
      <c r="L6" s="17" t="inlineStr">
        <is>
          <t>2027-06-30</t>
        </is>
      </c>
      <c r="M6" s="17" t="inlineStr">
        <is>
          <t>2027-07-31</t>
        </is>
      </c>
      <c r="N6" s="17" t="inlineStr">
        <is>
          <t>2027-08-31</t>
        </is>
      </c>
      <c r="O6" s="17" t="inlineStr">
        <is>
          <t>2027-09-30</t>
        </is>
      </c>
      <c r="P6" s="17" t="inlineStr">
        <is>
          <t>2027-10-31</t>
        </is>
      </c>
      <c r="Q6" s="17" t="inlineStr">
        <is>
          <t>2027-11-30</t>
        </is>
      </c>
      <c r="R6" s="17" t="inlineStr">
        <is>
          <t>2027-12-31</t>
        </is>
      </c>
      <c r="S6" s="17" t="inlineStr">
        <is>
          <t>2028-01-31</t>
        </is>
      </c>
      <c r="T6" s="17" t="inlineStr">
        <is>
          <t>2028-02-29</t>
        </is>
      </c>
      <c r="U6" s="17" t="inlineStr">
        <is>
          <t>2028-03-31</t>
        </is>
      </c>
      <c r="V6" s="17" t="inlineStr">
        <is>
          <t>2028-04-30</t>
        </is>
      </c>
      <c r="W6" s="17" t="inlineStr">
        <is>
          <t>2028-05-31</t>
        </is>
      </c>
      <c r="X6" s="17" t="inlineStr">
        <is>
          <t>2028-06-30</t>
        </is>
      </c>
      <c r="Y6" s="17" t="inlineStr">
        <is>
          <t>2028-07-31</t>
        </is>
      </c>
      <c r="Z6" s="17" t="inlineStr">
        <is>
          <t>2028-08-31</t>
        </is>
      </c>
      <c r="AA6" s="17" t="inlineStr">
        <is>
          <t>2028-09-30</t>
        </is>
      </c>
      <c r="AB6" s="17" t="inlineStr">
        <is>
          <t>2028-10-31</t>
        </is>
      </c>
      <c r="AC6" s="17" t="inlineStr">
        <is>
          <t>2028-11-30</t>
        </is>
      </c>
      <c r="AD6" s="17" t="inlineStr">
        <is>
          <t>2028-12-31</t>
        </is>
      </c>
      <c r="AE6" s="17" t="inlineStr">
        <is>
          <t>2029-01-31</t>
        </is>
      </c>
      <c r="AF6" s="17" t="inlineStr">
        <is>
          <t>2029-02-28</t>
        </is>
      </c>
      <c r="AG6" s="17" t="inlineStr">
        <is>
          <t>2029-03-31</t>
        </is>
      </c>
      <c r="AH6" s="17" t="inlineStr">
        <is>
          <t>2029-04-30</t>
        </is>
      </c>
      <c r="AI6" s="17" t="inlineStr">
        <is>
          <t>2029-05-31</t>
        </is>
      </c>
      <c r="AJ6" s="17" t="inlineStr">
        <is>
          <t>2029-06-30</t>
        </is>
      </c>
      <c r="AK6" s="17" t="inlineStr">
        <is>
          <t>2029-07-31</t>
        </is>
      </c>
      <c r="AL6" s="17" t="inlineStr">
        <is>
          <t>2029-08-31</t>
        </is>
      </c>
      <c r="AM6" s="17" t="inlineStr">
        <is>
          <t>2029-09-30</t>
        </is>
      </c>
      <c r="AN6" s="17" t="inlineStr">
        <is>
          <t>2029-10-31</t>
        </is>
      </c>
      <c r="AO6" s="17" t="inlineStr">
        <is>
          <t>2029-11-30</t>
        </is>
      </c>
      <c r="AP6" s="17" t="inlineStr">
        <is>
          <t>2029-12-31</t>
        </is>
      </c>
      <c r="AQ6" s="17" t="inlineStr">
        <is>
          <t>2030-01-31</t>
        </is>
      </c>
      <c r="AR6" s="17" t="inlineStr">
        <is>
          <t>2030-02-28</t>
        </is>
      </c>
      <c r="AS6" s="17" t="inlineStr">
        <is>
          <t>2030-03-31</t>
        </is>
      </c>
      <c r="AT6" s="17" t="inlineStr">
        <is>
          <t>2030-04-30</t>
        </is>
      </c>
      <c r="AU6" s="17" t="inlineStr">
        <is>
          <t>2030-05-31</t>
        </is>
      </c>
      <c r="AV6" s="17" t="inlineStr">
        <is>
          <t>2030-06-30</t>
        </is>
      </c>
      <c r="AW6" s="17" t="inlineStr">
        <is>
          <t>2030-07-31</t>
        </is>
      </c>
      <c r="AX6" s="17" t="inlineStr">
        <is>
          <t>2030-08-31</t>
        </is>
      </c>
      <c r="AY6" s="17" t="inlineStr">
        <is>
          <t>2030-09-30</t>
        </is>
      </c>
      <c r="AZ6" s="17" t="inlineStr">
        <is>
          <t>2030-10-31</t>
        </is>
      </c>
      <c r="BA6" s="17" t="inlineStr">
        <is>
          <t>2030-11-30</t>
        </is>
      </c>
      <c r="BB6" s="17" t="inlineStr">
        <is>
          <t>2030-12-31</t>
        </is>
      </c>
      <c r="BC6" s="17" t="inlineStr">
        <is>
          <t>2031-01-31</t>
        </is>
      </c>
      <c r="BD6" s="17" t="inlineStr">
        <is>
          <t>2031-02-28</t>
        </is>
      </c>
      <c r="BE6" s="17" t="inlineStr">
        <is>
          <t>2031-03-31</t>
        </is>
      </c>
      <c r="BF6" s="17" t="inlineStr">
        <is>
          <t>2031-04-30</t>
        </is>
      </c>
      <c r="BG6" s="17" t="inlineStr">
        <is>
          <t>2031-05-31</t>
        </is>
      </c>
      <c r="BH6" s="17" t="inlineStr">
        <is>
          <t>2031-06-30</t>
        </is>
      </c>
      <c r="BI6" s="17" t="inlineStr">
        <is>
          <t>2031-07-31</t>
        </is>
      </c>
      <c r="BJ6" s="17" t="inlineStr">
        <is>
          <t>2031-08-31</t>
        </is>
      </c>
      <c r="BK6" s="17" t="inlineStr">
        <is>
          <t>2031-09-30</t>
        </is>
      </c>
      <c r="BL6" s="17" t="inlineStr">
        <is>
          <t>2031-10-31</t>
        </is>
      </c>
      <c r="BM6" s="17" t="inlineStr">
        <is>
          <t>2031-11-30</t>
        </is>
      </c>
      <c r="BN6" s="17" t="inlineStr">
        <is>
          <t>2031-12-31</t>
        </is>
      </c>
      <c r="BO6" s="17" t="inlineStr">
        <is>
          <t>2032-01-31</t>
        </is>
      </c>
      <c r="BP6" s="17" t="inlineStr">
        <is>
          <t>2032-02-29</t>
        </is>
      </c>
      <c r="BQ6" s="17" t="inlineStr">
        <is>
          <t>2032-03-31</t>
        </is>
      </c>
      <c r="BR6" s="17" t="inlineStr">
        <is>
          <t>2032-04-30</t>
        </is>
      </c>
      <c r="BS6" s="17" t="inlineStr">
        <is>
          <t>2032-05-31</t>
        </is>
      </c>
      <c r="BT6" s="17" t="inlineStr">
        <is>
          <t>2032-06-30</t>
        </is>
      </c>
      <c r="BU6" s="17" t="inlineStr">
        <is>
          <t>2032-07-31</t>
        </is>
      </c>
      <c r="BV6" s="17" t="inlineStr">
        <is>
          <t>2032-08-31</t>
        </is>
      </c>
      <c r="BW6" s="17" t="inlineStr">
        <is>
          <t>2032-09-30</t>
        </is>
      </c>
      <c r="BX6" s="17" t="inlineStr">
        <is>
          <t>2032-10-31</t>
        </is>
      </c>
      <c r="BY6" s="17" t="inlineStr">
        <is>
          <t>2032-11-30</t>
        </is>
      </c>
      <c r="BZ6" s="17" t="inlineStr">
        <is>
          <t>2032-12-31</t>
        </is>
      </c>
      <c r="CA6" s="17" t="inlineStr">
        <is>
          <t>2033-01-31</t>
        </is>
      </c>
      <c r="CB6" s="17" t="inlineStr">
        <is>
          <t>2033-02-28</t>
        </is>
      </c>
      <c r="CC6" s="17" t="inlineStr">
        <is>
          <t>2033-03-31</t>
        </is>
      </c>
      <c r="CD6" s="17" t="inlineStr">
        <is>
          <t>2033-04-30</t>
        </is>
      </c>
      <c r="CE6" s="17" t="inlineStr">
        <is>
          <t>2033-05-31</t>
        </is>
      </c>
      <c r="CF6" s="17" t="inlineStr">
        <is>
          <t>2033-06-30</t>
        </is>
      </c>
      <c r="CG6" s="17" t="inlineStr">
        <is>
          <t>2033-07-31</t>
        </is>
      </c>
      <c r="CH6" s="17" t="inlineStr">
        <is>
          <t>2033-08-31</t>
        </is>
      </c>
      <c r="CI6" s="17" t="inlineStr">
        <is>
          <t>2033-09-30</t>
        </is>
      </c>
      <c r="CJ6" s="17" t="inlineStr">
        <is>
          <t>2033-10-31</t>
        </is>
      </c>
      <c r="CK6" s="17" t="inlineStr">
        <is>
          <t>2033-11-30</t>
        </is>
      </c>
      <c r="CL6" s="17" t="inlineStr">
        <is>
          <t>2033-12-31</t>
        </is>
      </c>
      <c r="CM6" s="17" t="inlineStr">
        <is>
          <t>2034-01-31</t>
        </is>
      </c>
      <c r="CN6" s="17" t="inlineStr">
        <is>
          <t>2034-02-28</t>
        </is>
      </c>
      <c r="CO6" s="17" t="inlineStr">
        <is>
          <t>2034-03-31</t>
        </is>
      </c>
      <c r="CP6" s="17" t="inlineStr">
        <is>
          <t>2034-04-30</t>
        </is>
      </c>
      <c r="CQ6" s="17" t="inlineStr">
        <is>
          <t>2034-05-31</t>
        </is>
      </c>
      <c r="CR6" s="17" t="inlineStr">
        <is>
          <t>2034-06-30</t>
        </is>
      </c>
      <c r="CS6" s="17" t="inlineStr">
        <is>
          <t>2034-07-31</t>
        </is>
      </c>
      <c r="CT6" s="17" t="inlineStr">
        <is>
          <t>2034-08-31</t>
        </is>
      </c>
      <c r="CU6" s="17" t="inlineStr">
        <is>
          <t>2034-09-30</t>
        </is>
      </c>
      <c r="CV6" s="17" t="inlineStr">
        <is>
          <t>2034-10-31</t>
        </is>
      </c>
      <c r="CW6" s="17" t="inlineStr">
        <is>
          <t>2034-11-30</t>
        </is>
      </c>
      <c r="CX6" s="17" t="inlineStr">
        <is>
          <t>2034-12-31</t>
        </is>
      </c>
      <c r="CY6" s="17" t="inlineStr">
        <is>
          <t>2035-01-31</t>
        </is>
      </c>
      <c r="CZ6" s="17" t="inlineStr">
        <is>
          <t>2035-02-28</t>
        </is>
      </c>
      <c r="DA6" s="17" t="inlineStr">
        <is>
          <t>2035-03-31</t>
        </is>
      </c>
      <c r="DB6" s="17" t="inlineStr">
        <is>
          <t>2035-04-30</t>
        </is>
      </c>
      <c r="DC6" s="17" t="inlineStr">
        <is>
          <t>2035-05-31</t>
        </is>
      </c>
      <c r="DD6" s="17" t="inlineStr">
        <is>
          <t>2035-06-30</t>
        </is>
      </c>
      <c r="DE6" s="17" t="inlineStr">
        <is>
          <t>2035-07-31</t>
        </is>
      </c>
      <c r="DF6" s="17" t="inlineStr">
        <is>
          <t>2035-08-31</t>
        </is>
      </c>
      <c r="DG6" s="17" t="inlineStr">
        <is>
          <t>2035-09-30</t>
        </is>
      </c>
      <c r="DH6" s="17" t="inlineStr">
        <is>
          <t>2035-10-31</t>
        </is>
      </c>
      <c r="DI6" s="17" t="inlineStr">
        <is>
          <t>2035-11-30</t>
        </is>
      </c>
      <c r="DJ6" s="17" t="inlineStr">
        <is>
          <t>2035-12-31</t>
        </is>
      </c>
      <c r="DK6" s="17" t="inlineStr">
        <is>
          <t>2036-01-31</t>
        </is>
      </c>
      <c r="DL6" s="17" t="inlineStr">
        <is>
          <t>2036-02-29</t>
        </is>
      </c>
      <c r="DM6" s="17" t="inlineStr">
        <is>
          <t>2036-03-31</t>
        </is>
      </c>
      <c r="DN6" s="17" t="inlineStr">
        <is>
          <t>2036-04-30</t>
        </is>
      </c>
      <c r="DO6" s="17" t="inlineStr">
        <is>
          <t>2036-05-31</t>
        </is>
      </c>
      <c r="DP6" s="17" t="inlineStr">
        <is>
          <t>2036-06-30</t>
        </is>
      </c>
      <c r="DQ6" s="17" t="inlineStr">
        <is>
          <t>2036-07-31</t>
        </is>
      </c>
      <c r="DR6" s="17" t="inlineStr">
        <is>
          <t>2036-08-31</t>
        </is>
      </c>
      <c r="DS6" s="17" t="inlineStr">
        <is>
          <t>2036-09-30</t>
        </is>
      </c>
      <c r="DT6" s="17" t="inlineStr">
        <is>
          <t>2036-10-31</t>
        </is>
      </c>
      <c r="DU6" s="17" t="inlineStr">
        <is>
          <t>2036-11-30</t>
        </is>
      </c>
      <c r="DV6" s="17" t="inlineStr">
        <is>
          <t>2036-12-31</t>
        </is>
      </c>
      <c r="DW6" s="17" t="inlineStr">
        <is>
          <t>2037-01-31</t>
        </is>
      </c>
      <c r="DX6" s="17" t="inlineStr">
        <is>
          <t>2037-02-28</t>
        </is>
      </c>
      <c r="DY6" s="17" t="inlineStr">
        <is>
          <t>2037-03-31</t>
        </is>
      </c>
      <c r="DZ6" s="17" t="inlineStr">
        <is>
          <t>2037-04-30</t>
        </is>
      </c>
      <c r="EA6" s="17" t="inlineStr">
        <is>
          <t>2037-05-31</t>
        </is>
      </c>
      <c r="EB6" s="17" t="inlineStr">
        <is>
          <t>2037-06-30</t>
        </is>
      </c>
      <c r="EC6" s="17" t="inlineStr">
        <is>
          <t>2037-07-31</t>
        </is>
      </c>
      <c r="ED6" s="17" t="inlineStr">
        <is>
          <t>2037-08-31</t>
        </is>
      </c>
      <c r="EE6" s="17" t="inlineStr">
        <is>
          <t>2037-09-30</t>
        </is>
      </c>
      <c r="EF6" s="17" t="inlineStr">
        <is>
          <t>2037-10-31</t>
        </is>
      </c>
      <c r="EG6" s="17" t="inlineStr">
        <is>
          <t>2037-11-30</t>
        </is>
      </c>
      <c r="EH6" s="17" t="inlineStr">
        <is>
          <t>2037-12-31</t>
        </is>
      </c>
      <c r="EI6" s="17" t="inlineStr">
        <is>
          <t>2038-01-31</t>
        </is>
      </c>
      <c r="EJ6" s="17" t="inlineStr">
        <is>
          <t>2038-02-28</t>
        </is>
      </c>
      <c r="EK6" s="17" t="inlineStr">
        <is>
          <t>2038-03-31</t>
        </is>
      </c>
      <c r="EL6" s="17" t="inlineStr">
        <is>
          <t>2038-04-30</t>
        </is>
      </c>
      <c r="EM6" s="17" t="inlineStr">
        <is>
          <t>2038-05-31</t>
        </is>
      </c>
      <c r="EN6" s="17" t="inlineStr">
        <is>
          <t>2038-06-30</t>
        </is>
      </c>
      <c r="EO6" s="17" t="inlineStr">
        <is>
          <t>2038-07-31</t>
        </is>
      </c>
      <c r="EP6" s="17" t="inlineStr">
        <is>
          <t>2038-08-31</t>
        </is>
      </c>
      <c r="EQ6" s="17" t="inlineStr">
        <is>
          <t>2038-09-30</t>
        </is>
      </c>
      <c r="ER6" s="17" t="inlineStr">
        <is>
          <t>2038-10-31</t>
        </is>
      </c>
      <c r="ES6" s="17" t="inlineStr">
        <is>
          <t>2038-11-30</t>
        </is>
      </c>
      <c r="ET6" s="17" t="inlineStr">
        <is>
          <t>2038-12-31</t>
        </is>
      </c>
      <c r="EU6" s="17" t="inlineStr">
        <is>
          <t>2039-01-31</t>
        </is>
      </c>
      <c r="EV6" s="17" t="inlineStr">
        <is>
          <t>2039-02-28</t>
        </is>
      </c>
      <c r="EW6" s="17" t="inlineStr">
        <is>
          <t>2039-03-31</t>
        </is>
      </c>
      <c r="EX6" s="17" t="inlineStr">
        <is>
          <t>2039-04-30</t>
        </is>
      </c>
      <c r="EY6" s="17" t="inlineStr">
        <is>
          <t>2039-05-31</t>
        </is>
      </c>
      <c r="EZ6" s="17" t="inlineStr">
        <is>
          <t>2039-06-30</t>
        </is>
      </c>
      <c r="FA6" s="17" t="inlineStr">
        <is>
          <t>2039-07-31</t>
        </is>
      </c>
      <c r="FB6" s="17" t="inlineStr">
        <is>
          <t>2039-08-31</t>
        </is>
      </c>
      <c r="FC6" s="17" t="inlineStr">
        <is>
          <t>2039-09-30</t>
        </is>
      </c>
      <c r="FD6" s="17" t="inlineStr">
        <is>
          <t>2039-10-31</t>
        </is>
      </c>
      <c r="FE6" s="17" t="inlineStr">
        <is>
          <t>2039-11-30</t>
        </is>
      </c>
      <c r="FF6" s="17" t="inlineStr">
        <is>
          <t>2039-12-31</t>
        </is>
      </c>
      <c r="FG6" s="17" t="inlineStr">
        <is>
          <t>2040-01-31</t>
        </is>
      </c>
      <c r="FH6" s="17" t="inlineStr">
        <is>
          <t>2040-02-29</t>
        </is>
      </c>
      <c r="FI6" s="17" t="inlineStr">
        <is>
          <t>2040-03-31</t>
        </is>
      </c>
      <c r="FJ6" s="17" t="inlineStr">
        <is>
          <t>2040-04-30</t>
        </is>
      </c>
      <c r="FK6" s="17" t="inlineStr">
        <is>
          <t>2040-05-31</t>
        </is>
      </c>
      <c r="FL6" s="17" t="inlineStr">
        <is>
          <t>2040-06-30</t>
        </is>
      </c>
      <c r="FM6" s="17" t="inlineStr">
        <is>
          <t>2040-07-31</t>
        </is>
      </c>
      <c r="FN6" s="17" t="inlineStr">
        <is>
          <t>2040-08-31</t>
        </is>
      </c>
      <c r="FO6" s="17" t="inlineStr">
        <is>
          <t>2040-09-30</t>
        </is>
      </c>
      <c r="FP6" s="17" t="inlineStr">
        <is>
          <t>2040-10-31</t>
        </is>
      </c>
      <c r="FQ6" s="17" t="inlineStr">
        <is>
          <t>2040-11-30</t>
        </is>
      </c>
      <c r="FR6" s="17" t="inlineStr">
        <is>
          <t>2040-12-31</t>
        </is>
      </c>
      <c r="FS6" s="17" t="inlineStr">
        <is>
          <t>2041-01-31</t>
        </is>
      </c>
      <c r="FT6" s="17" t="inlineStr">
        <is>
          <t>2041-02-28</t>
        </is>
      </c>
      <c r="FU6" s="17" t="inlineStr">
        <is>
          <t>2041-03-31</t>
        </is>
      </c>
      <c r="FV6" s="17" t="inlineStr">
        <is>
          <t>2041-04-30</t>
        </is>
      </c>
      <c r="FW6" s="17" t="inlineStr">
        <is>
          <t>2041-05-31</t>
        </is>
      </c>
      <c r="FX6" s="17" t="inlineStr">
        <is>
          <t>2041-06-30</t>
        </is>
      </c>
      <c r="FY6" s="17" t="inlineStr">
        <is>
          <t>2041-07-31</t>
        </is>
      </c>
      <c r="FZ6" s="17" t="inlineStr">
        <is>
          <t>2041-08-31</t>
        </is>
      </c>
      <c r="GA6" s="17" t="inlineStr">
        <is>
          <t>2041-09-30</t>
        </is>
      </c>
      <c r="GB6" s="17" t="inlineStr">
        <is>
          <t>2041-10-31</t>
        </is>
      </c>
      <c r="GC6" s="17" t="inlineStr">
        <is>
          <t>2041-11-30</t>
        </is>
      </c>
      <c r="GD6" s="17" t="inlineStr">
        <is>
          <t>2041-12-31</t>
        </is>
      </c>
      <c r="GE6" s="17" t="inlineStr">
        <is>
          <t>2042-01-31</t>
        </is>
      </c>
      <c r="GF6" s="17" t="inlineStr">
        <is>
          <t>2042-02-28</t>
        </is>
      </c>
      <c r="GG6" s="17" t="inlineStr">
        <is>
          <t>2042-03-31</t>
        </is>
      </c>
      <c r="GH6" s="17" t="inlineStr">
        <is>
          <t>2042-04-30</t>
        </is>
      </c>
      <c r="GI6" s="17" t="inlineStr">
        <is>
          <t>2042-05-31</t>
        </is>
      </c>
      <c r="GJ6" s="17" t="inlineStr">
        <is>
          <t>2042-06-30</t>
        </is>
      </c>
      <c r="GK6" s="17" t="inlineStr">
        <is>
          <t>2042-07-31</t>
        </is>
      </c>
      <c r="GL6" s="17" t="inlineStr">
        <is>
          <t>2042-08-31</t>
        </is>
      </c>
      <c r="GM6" s="17" t="inlineStr">
        <is>
          <t>2042-09-30</t>
        </is>
      </c>
      <c r="GN6" s="17" t="inlineStr">
        <is>
          <t>2042-10-31</t>
        </is>
      </c>
      <c r="GO6" s="17" t="inlineStr">
        <is>
          <t>2042-11-30</t>
        </is>
      </c>
      <c r="GP6" s="17" t="inlineStr">
        <is>
          <t>2042-12-31</t>
        </is>
      </c>
      <c r="GQ6" s="17" t="inlineStr">
        <is>
          <t>2043-01-31</t>
        </is>
      </c>
      <c r="GR6" s="17" t="inlineStr">
        <is>
          <t>2043-02-28</t>
        </is>
      </c>
      <c r="GS6" s="17" t="inlineStr">
        <is>
          <t>2043-03-31</t>
        </is>
      </c>
      <c r="GT6" s="17" t="inlineStr">
        <is>
          <t>2043-04-30</t>
        </is>
      </c>
      <c r="GU6" s="17" t="inlineStr">
        <is>
          <t>2043-05-31</t>
        </is>
      </c>
      <c r="GV6" s="17" t="inlineStr">
        <is>
          <t>2043-06-30</t>
        </is>
      </c>
      <c r="GW6" s="17" t="inlineStr">
        <is>
          <t>2043-07-31</t>
        </is>
      </c>
      <c r="GX6" s="17" t="inlineStr">
        <is>
          <t>2043-08-31</t>
        </is>
      </c>
      <c r="GY6" s="17" t="inlineStr">
        <is>
          <t>2043-09-30</t>
        </is>
      </c>
      <c r="GZ6" s="17" t="inlineStr">
        <is>
          <t>2043-10-31</t>
        </is>
      </c>
      <c r="HA6" s="17" t="inlineStr">
        <is>
          <t>2043-11-30</t>
        </is>
      </c>
      <c r="HB6" s="17" t="inlineStr">
        <is>
          <t>2043-12-31</t>
        </is>
      </c>
      <c r="HC6" s="17" t="inlineStr">
        <is>
          <t>2044-01-31</t>
        </is>
      </c>
      <c r="HD6" s="17" t="inlineStr">
        <is>
          <t>2044-02-29</t>
        </is>
      </c>
      <c r="HE6" s="17" t="inlineStr">
        <is>
          <t>2044-03-31</t>
        </is>
      </c>
      <c r="HF6" s="17" t="inlineStr">
        <is>
          <t>2044-04-30</t>
        </is>
      </c>
      <c r="HG6" s="17" t="inlineStr">
        <is>
          <t>2044-05-31</t>
        </is>
      </c>
      <c r="HH6" s="17" t="inlineStr">
        <is>
          <t>2044-06-30</t>
        </is>
      </c>
      <c r="HI6" s="17" t="inlineStr">
        <is>
          <t>2044-07-31</t>
        </is>
      </c>
      <c r="HJ6" s="17" t="inlineStr">
        <is>
          <t>2044-08-31</t>
        </is>
      </c>
      <c r="HK6" s="17" t="inlineStr">
        <is>
          <t>2044-09-30</t>
        </is>
      </c>
      <c r="HL6" s="17" t="inlineStr">
        <is>
          <t>2044-10-31</t>
        </is>
      </c>
      <c r="HM6" s="17" t="inlineStr">
        <is>
          <t>2044-11-30</t>
        </is>
      </c>
      <c r="HN6" s="17" t="inlineStr">
        <is>
          <t>2044-12-31</t>
        </is>
      </c>
      <c r="HO6" s="17" t="inlineStr">
        <is>
          <t>2045-01-31</t>
        </is>
      </c>
      <c r="HP6" s="17" t="inlineStr">
        <is>
          <t>2045-02-28</t>
        </is>
      </c>
      <c r="HQ6" s="17" t="inlineStr">
        <is>
          <t>2045-03-31</t>
        </is>
      </c>
      <c r="HR6" s="17" t="inlineStr">
        <is>
          <t>2045-04-30</t>
        </is>
      </c>
      <c r="HS6" s="17" t="inlineStr">
        <is>
          <t>2045-05-31</t>
        </is>
      </c>
      <c r="HT6" s="17" t="inlineStr">
        <is>
          <t>2045-06-30</t>
        </is>
      </c>
      <c r="HU6" s="17" t="inlineStr">
        <is>
          <t>2045-07-31</t>
        </is>
      </c>
      <c r="HV6" s="17" t="inlineStr">
        <is>
          <t>2045-08-31</t>
        </is>
      </c>
      <c r="HW6" s="17" t="inlineStr">
        <is>
          <t>2045-09-30</t>
        </is>
      </c>
      <c r="HX6" s="17" t="inlineStr">
        <is>
          <t>2045-10-31</t>
        </is>
      </c>
      <c r="HY6" s="17" t="inlineStr">
        <is>
          <t>2045-11-30</t>
        </is>
      </c>
      <c r="HZ6" s="17" t="inlineStr">
        <is>
          <t>2045-12-31</t>
        </is>
      </c>
      <c r="IA6" s="17" t="inlineStr">
        <is>
          <t>2046-01-31</t>
        </is>
      </c>
      <c r="IB6" s="17" t="inlineStr">
        <is>
          <t>2046-02-28</t>
        </is>
      </c>
      <c r="IC6" s="17" t="inlineStr">
        <is>
          <t>2046-03-31</t>
        </is>
      </c>
      <c r="ID6" s="17" t="inlineStr">
        <is>
          <t>2046-04-30</t>
        </is>
      </c>
      <c r="IE6" s="17" t="inlineStr">
        <is>
          <t>2046-05-31</t>
        </is>
      </c>
      <c r="IF6" s="17" t="inlineStr">
        <is>
          <t>2046-06-30</t>
        </is>
      </c>
      <c r="IG6" s="17" t="inlineStr">
        <is>
          <t>2046-07-31</t>
        </is>
      </c>
      <c r="IH6" s="17" t="inlineStr">
        <is>
          <t>2046-08-31</t>
        </is>
      </c>
      <c r="II6" s="17" t="inlineStr">
        <is>
          <t>2046-09-30</t>
        </is>
      </c>
      <c r="IJ6" s="17" t="inlineStr">
        <is>
          <t>2046-10-31</t>
        </is>
      </c>
      <c r="IK6" s="17" t="inlineStr">
        <is>
          <t>2046-11-30</t>
        </is>
      </c>
      <c r="IL6" s="17" t="inlineStr">
        <is>
          <t>2046-12-31</t>
        </is>
      </c>
      <c r="IM6" s="17" t="inlineStr">
        <is>
          <t>2047-01-31</t>
        </is>
      </c>
      <c r="IN6" s="17" t="inlineStr">
        <is>
          <t>2047-02-28</t>
        </is>
      </c>
      <c r="IO6" s="17" t="inlineStr">
        <is>
          <t>2047-03-31</t>
        </is>
      </c>
      <c r="IP6" s="17" t="inlineStr">
        <is>
          <t>2047-04-30</t>
        </is>
      </c>
      <c r="IQ6" s="17" t="inlineStr">
        <is>
          <t>2047-05-31</t>
        </is>
      </c>
      <c r="IR6" s="17" t="inlineStr">
        <is>
          <t>2047-06-30</t>
        </is>
      </c>
      <c r="IS6" s="17" t="inlineStr">
        <is>
          <t>2047-07-31</t>
        </is>
      </c>
      <c r="IT6" s="17" t="inlineStr">
        <is>
          <t>2047-08-31</t>
        </is>
      </c>
      <c r="IU6" s="17" t="inlineStr">
        <is>
          <t>2047-09-30</t>
        </is>
      </c>
      <c r="IV6" s="17" t="inlineStr">
        <is>
          <t>2047-10-31</t>
        </is>
      </c>
      <c r="IW6" s="17" t="inlineStr">
        <is>
          <t>2047-11-30</t>
        </is>
      </c>
      <c r="IX6" s="17" t="inlineStr">
        <is>
          <t>2047-12-31</t>
        </is>
      </c>
      <c r="IY6" s="17" t="inlineStr">
        <is>
          <t>2048-01-31</t>
        </is>
      </c>
      <c r="IZ6" s="17" t="inlineStr">
        <is>
          <t>2048-02-29</t>
        </is>
      </c>
      <c r="JA6" s="17" t="inlineStr">
        <is>
          <t>2048-03-31</t>
        </is>
      </c>
      <c r="JB6" s="17" t="inlineStr">
        <is>
          <t>2048-04-30</t>
        </is>
      </c>
      <c r="JC6" s="17" t="inlineStr">
        <is>
          <t>2048-05-31</t>
        </is>
      </c>
      <c r="JD6" s="17" t="inlineStr">
        <is>
          <t>2048-06-30</t>
        </is>
      </c>
      <c r="JE6" s="17" t="inlineStr">
        <is>
          <t>2048-07-31</t>
        </is>
      </c>
      <c r="JF6" s="17" t="inlineStr">
        <is>
          <t>2048-08-31</t>
        </is>
      </c>
      <c r="JG6" s="17" t="inlineStr">
        <is>
          <t>2048-09-30</t>
        </is>
      </c>
      <c r="JH6" s="17" t="inlineStr">
        <is>
          <t>2048-10-31</t>
        </is>
      </c>
      <c r="JI6" s="17" t="inlineStr">
        <is>
          <t>2048-11-30</t>
        </is>
      </c>
      <c r="JJ6" s="17" t="inlineStr">
        <is>
          <t>2048-12-31</t>
        </is>
      </c>
      <c r="JK6" s="17" t="inlineStr">
        <is>
          <t>2049-01-31</t>
        </is>
      </c>
      <c r="JL6" s="17" t="inlineStr">
        <is>
          <t>2049-02-28</t>
        </is>
      </c>
      <c r="JM6" s="17" t="inlineStr">
        <is>
          <t>2049-03-31</t>
        </is>
      </c>
      <c r="JN6" s="17" t="inlineStr">
        <is>
          <t>2049-04-30</t>
        </is>
      </c>
      <c r="JO6" s="17" t="inlineStr">
        <is>
          <t>2049-05-31</t>
        </is>
      </c>
      <c r="JP6" s="17" t="inlineStr">
        <is>
          <t>2049-06-30</t>
        </is>
      </c>
      <c r="JQ6" s="17" t="inlineStr">
        <is>
          <t>2049-07-31</t>
        </is>
      </c>
      <c r="JR6" s="17" t="inlineStr">
        <is>
          <t>2049-08-31</t>
        </is>
      </c>
      <c r="JS6" s="17" t="inlineStr">
        <is>
          <t>2049-09-30</t>
        </is>
      </c>
      <c r="JT6" s="17" t="inlineStr">
        <is>
          <t>2049-10-31</t>
        </is>
      </c>
      <c r="JU6" s="17" t="inlineStr">
        <is>
          <t>2049-11-30</t>
        </is>
      </c>
      <c r="JV6" s="17" t="inlineStr">
        <is>
          <t>2049-12-31</t>
        </is>
      </c>
      <c r="JW6" s="17" t="inlineStr">
        <is>
          <t>2050-01-31</t>
        </is>
      </c>
      <c r="JX6" s="17" t="inlineStr">
        <is>
          <t>2050-02-28</t>
        </is>
      </c>
      <c r="JY6" s="17" t="inlineStr">
        <is>
          <t>2050-03-31</t>
        </is>
      </c>
      <c r="JZ6" s="17" t="inlineStr">
        <is>
          <t>2050-04-30</t>
        </is>
      </c>
      <c r="KA6" s="17" t="inlineStr">
        <is>
          <t>2050-05-31</t>
        </is>
      </c>
      <c r="KB6" s="17" t="inlineStr">
        <is>
          <t>2050-06-30</t>
        </is>
      </c>
      <c r="KC6" s="17" t="inlineStr">
        <is>
          <t>2050-07-31</t>
        </is>
      </c>
      <c r="KD6" s="17" t="inlineStr">
        <is>
          <t>2050-08-31</t>
        </is>
      </c>
      <c r="KE6" s="17" t="inlineStr">
        <is>
          <t>2050-09-30</t>
        </is>
      </c>
      <c r="KF6" s="17" t="inlineStr">
        <is>
          <t>2050-10-31</t>
        </is>
      </c>
      <c r="KG6" s="17" t="inlineStr">
        <is>
          <t>2050-11-30</t>
        </is>
      </c>
      <c r="KH6" s="17" t="inlineStr">
        <is>
          <t>2050-12-31</t>
        </is>
      </c>
      <c r="KI6" s="17" t="inlineStr">
        <is>
          <t>2051-01-31</t>
        </is>
      </c>
      <c r="KJ6" s="17" t="inlineStr">
        <is>
          <t>2051-02-28</t>
        </is>
      </c>
      <c r="KK6" s="17" t="inlineStr">
        <is>
          <t>2051-03-31</t>
        </is>
      </c>
      <c r="KL6" s="17" t="inlineStr">
        <is>
          <t>2051-04-30</t>
        </is>
      </c>
      <c r="KM6" s="17" t="inlineStr">
        <is>
          <t>2051-05-31</t>
        </is>
      </c>
      <c r="KN6" s="17" t="inlineStr">
        <is>
          <t>2051-06-30</t>
        </is>
      </c>
      <c r="KO6" s="17" t="inlineStr">
        <is>
          <t>2051-07-31</t>
        </is>
      </c>
      <c r="KP6" s="17" t="inlineStr">
        <is>
          <t>2051-08-31</t>
        </is>
      </c>
      <c r="KQ6" s="17" t="inlineStr">
        <is>
          <t>2051-09-30</t>
        </is>
      </c>
      <c r="KR6" s="17" t="inlineStr">
        <is>
          <t>2051-10-31</t>
        </is>
      </c>
      <c r="KS6" s="17" t="inlineStr">
        <is>
          <t>2051-11-30</t>
        </is>
      </c>
      <c r="KT6" s="17" t="inlineStr">
        <is>
          <t>2051-12-31</t>
        </is>
      </c>
      <c r="KU6" s="17" t="inlineStr">
        <is>
          <t>2052-01-31</t>
        </is>
      </c>
      <c r="KV6" s="17" t="inlineStr">
        <is>
          <t>2052-02-29</t>
        </is>
      </c>
      <c r="KW6" s="17" t="inlineStr">
        <is>
          <t>2052-03-31</t>
        </is>
      </c>
      <c r="KX6" s="17" t="inlineStr">
        <is>
          <t>2052-04-30</t>
        </is>
      </c>
      <c r="KY6" s="17" t="inlineStr">
        <is>
          <t>2052-05-31</t>
        </is>
      </c>
      <c r="KZ6" s="17" t="inlineStr">
        <is>
          <t>2052-06-30</t>
        </is>
      </c>
      <c r="LA6" s="17" t="inlineStr">
        <is>
          <t>2052-07-31</t>
        </is>
      </c>
      <c r="LB6" s="17" t="inlineStr">
        <is>
          <t>2052-08-31</t>
        </is>
      </c>
      <c r="LC6" s="17" t="inlineStr">
        <is>
          <t>2052-09-30</t>
        </is>
      </c>
      <c r="LD6" s="17" t="inlineStr">
        <is>
          <t>2052-10-31</t>
        </is>
      </c>
      <c r="LE6" s="17" t="inlineStr">
        <is>
          <t>2052-11-30</t>
        </is>
      </c>
      <c r="LF6" s="17" t="inlineStr">
        <is>
          <t>2052-12-31</t>
        </is>
      </c>
      <c r="LG6" s="17" t="inlineStr">
        <is>
          <t>2053-01-31</t>
        </is>
      </c>
      <c r="LH6" s="17" t="inlineStr">
        <is>
          <t>2053-02-28</t>
        </is>
      </c>
      <c r="LI6" s="17" t="inlineStr">
        <is>
          <t>2053-03-31</t>
        </is>
      </c>
    </row>
    <row r="7">
      <c r="B7" s="18" t="inlineStr">
        <is>
          <t>Flag obra y puesta en marcha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1</v>
      </c>
      <c r="Z7" s="19" t="n">
        <v>1</v>
      </c>
      <c r="AA7" s="19" t="n">
        <v>1</v>
      </c>
      <c r="AB7" s="19" t="n">
        <v>1</v>
      </c>
      <c r="AC7" s="19" t="n">
        <v>1</v>
      </c>
      <c r="AD7" s="19" t="n">
        <v>1</v>
      </c>
      <c r="AE7" s="19" t="n">
        <v>1</v>
      </c>
      <c r="AF7" s="19" t="n">
        <v>1</v>
      </c>
      <c r="AG7" s="19" t="n">
        <v>1</v>
      </c>
      <c r="AH7" s="19" t="n">
        <v>1</v>
      </c>
      <c r="AI7" s="19" t="n">
        <v>1</v>
      </c>
      <c r="AJ7" s="19" t="n">
        <v>1</v>
      </c>
      <c r="AK7" s="19" t="n">
        <v>1</v>
      </c>
      <c r="AL7" s="19" t="n">
        <v>1</v>
      </c>
      <c r="AM7" s="19" t="n">
        <v>1</v>
      </c>
      <c r="AN7" s="19" t="n">
        <v>1</v>
      </c>
      <c r="AO7" s="19" t="n">
        <v>1</v>
      </c>
      <c r="AP7" s="19" t="n">
        <v>1</v>
      </c>
      <c r="AQ7" s="19" t="n">
        <v>1</v>
      </c>
      <c r="AR7" s="19" t="n">
        <v>1</v>
      </c>
      <c r="AS7" s="19" t="n">
        <v>1</v>
      </c>
      <c r="AT7" s="19" t="n">
        <v>1</v>
      </c>
      <c r="AU7" s="19" t="n">
        <v>1</v>
      </c>
      <c r="AV7" s="19" t="n">
        <v>1</v>
      </c>
      <c r="AW7" s="19" t="n">
        <v>1</v>
      </c>
      <c r="AX7" s="19" t="n">
        <v>1</v>
      </c>
      <c r="AY7" s="19" t="n">
        <v>1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9" t="n">
        <v>0</v>
      </c>
      <c r="CV7" s="19" t="n">
        <v>0</v>
      </c>
      <c r="CW7" s="19" t="n">
        <v>0</v>
      </c>
      <c r="CX7" s="19" t="n">
        <v>0</v>
      </c>
      <c r="CY7" s="19" t="n">
        <v>0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9" t="n">
        <v>0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0</v>
      </c>
      <c r="EG7" s="19" t="n">
        <v>0</v>
      </c>
      <c r="EH7" s="19" t="n">
        <v>0</v>
      </c>
      <c r="EI7" s="19" t="n">
        <v>0</v>
      </c>
      <c r="EJ7" s="19" t="n">
        <v>0</v>
      </c>
      <c r="EK7" s="19" t="n">
        <v>0</v>
      </c>
      <c r="EL7" s="19" t="n">
        <v>0</v>
      </c>
      <c r="EM7" s="19" t="n">
        <v>0</v>
      </c>
      <c r="EN7" s="19" t="n">
        <v>0</v>
      </c>
      <c r="EO7" s="19" t="n">
        <v>0</v>
      </c>
      <c r="EP7" s="19" t="n">
        <v>0</v>
      </c>
      <c r="EQ7" s="19" t="n">
        <v>0</v>
      </c>
      <c r="ER7" s="19" t="n">
        <v>0</v>
      </c>
      <c r="ES7" s="19" t="n">
        <v>0</v>
      </c>
      <c r="ET7" s="19" t="n">
        <v>0</v>
      </c>
      <c r="EU7" s="19" t="n">
        <v>0</v>
      </c>
      <c r="EV7" s="19" t="n">
        <v>0</v>
      </c>
      <c r="EW7" s="19" t="n">
        <v>0</v>
      </c>
      <c r="EX7" s="19" t="n">
        <v>0</v>
      </c>
      <c r="EY7" s="19" t="n">
        <v>0</v>
      </c>
      <c r="EZ7" s="19" t="n">
        <v>0</v>
      </c>
      <c r="FA7" s="19" t="n">
        <v>0</v>
      </c>
      <c r="FB7" s="19" t="n">
        <v>0</v>
      </c>
      <c r="FC7" s="19" t="n">
        <v>0</v>
      </c>
      <c r="FD7" s="19" t="n">
        <v>0</v>
      </c>
      <c r="FE7" s="19" t="n">
        <v>0</v>
      </c>
      <c r="FF7" s="19" t="n">
        <v>0</v>
      </c>
      <c r="FG7" s="19" t="n">
        <v>0</v>
      </c>
      <c r="FH7" s="19" t="n">
        <v>0</v>
      </c>
      <c r="FI7" s="19" t="n">
        <v>0</v>
      </c>
      <c r="FJ7" s="19" t="n">
        <v>0</v>
      </c>
      <c r="FK7" s="19" t="n">
        <v>0</v>
      </c>
      <c r="FL7" s="19" t="n">
        <v>0</v>
      </c>
      <c r="FM7" s="19" t="n">
        <v>0</v>
      </c>
      <c r="FN7" s="19" t="n">
        <v>0</v>
      </c>
      <c r="FO7" s="19" t="n">
        <v>0</v>
      </c>
      <c r="FP7" s="19" t="n">
        <v>0</v>
      </c>
      <c r="FQ7" s="19" t="n">
        <v>0</v>
      </c>
      <c r="FR7" s="19" t="n">
        <v>0</v>
      </c>
      <c r="FS7" s="19" t="n">
        <v>0</v>
      </c>
      <c r="FT7" s="19" t="n">
        <v>0</v>
      </c>
      <c r="FU7" s="19" t="n">
        <v>0</v>
      </c>
      <c r="FV7" s="19" t="n">
        <v>0</v>
      </c>
      <c r="FW7" s="19" t="n">
        <v>0</v>
      </c>
      <c r="FX7" s="19" t="n">
        <v>0</v>
      </c>
      <c r="FY7" s="19" t="n">
        <v>0</v>
      </c>
      <c r="FZ7" s="19" t="n">
        <v>0</v>
      </c>
      <c r="GA7" s="19" t="n">
        <v>0</v>
      </c>
      <c r="GB7" s="19" t="n">
        <v>0</v>
      </c>
      <c r="GC7" s="19" t="n">
        <v>0</v>
      </c>
      <c r="GD7" s="19" t="n">
        <v>0</v>
      </c>
      <c r="GE7" s="19" t="n">
        <v>0</v>
      </c>
      <c r="GF7" s="19" t="n">
        <v>0</v>
      </c>
      <c r="GG7" s="19" t="n">
        <v>0</v>
      </c>
      <c r="GH7" s="19" t="n">
        <v>0</v>
      </c>
      <c r="GI7" s="19" t="n">
        <v>0</v>
      </c>
      <c r="GJ7" s="19" t="n">
        <v>0</v>
      </c>
      <c r="GK7" s="19" t="n">
        <v>0</v>
      </c>
      <c r="GL7" s="19" t="n">
        <v>0</v>
      </c>
      <c r="GM7" s="19" t="n">
        <v>0</v>
      </c>
      <c r="GN7" s="19" t="n">
        <v>0</v>
      </c>
      <c r="GO7" s="19" t="n">
        <v>0</v>
      </c>
      <c r="GP7" s="19" t="n">
        <v>0</v>
      </c>
      <c r="GQ7" s="19" t="n">
        <v>0</v>
      </c>
      <c r="GR7" s="19" t="n">
        <v>0</v>
      </c>
      <c r="GS7" s="19" t="n">
        <v>0</v>
      </c>
      <c r="GT7" s="19" t="n">
        <v>0</v>
      </c>
      <c r="GU7" s="19" t="n">
        <v>0</v>
      </c>
      <c r="GV7" s="19" t="n">
        <v>0</v>
      </c>
      <c r="GW7" s="19" t="n">
        <v>0</v>
      </c>
      <c r="GX7" s="19" t="n">
        <v>0</v>
      </c>
      <c r="GY7" s="19" t="n">
        <v>0</v>
      </c>
      <c r="GZ7" s="19" t="n">
        <v>0</v>
      </c>
      <c r="HA7" s="19" t="n">
        <v>0</v>
      </c>
      <c r="HB7" s="19" t="n">
        <v>0</v>
      </c>
      <c r="HC7" s="19" t="n">
        <v>0</v>
      </c>
      <c r="HD7" s="19" t="n">
        <v>0</v>
      </c>
      <c r="HE7" s="19" t="n">
        <v>0</v>
      </c>
      <c r="HF7" s="19" t="n">
        <v>0</v>
      </c>
      <c r="HG7" s="19" t="n">
        <v>0</v>
      </c>
      <c r="HH7" s="19" t="n">
        <v>0</v>
      </c>
      <c r="HI7" s="19" t="n">
        <v>0</v>
      </c>
      <c r="HJ7" s="19" t="n">
        <v>0</v>
      </c>
      <c r="HK7" s="19" t="n">
        <v>0</v>
      </c>
      <c r="HL7" s="19" t="n">
        <v>0</v>
      </c>
      <c r="HM7" s="19" t="n">
        <v>0</v>
      </c>
      <c r="HN7" s="19" t="n">
        <v>0</v>
      </c>
      <c r="HO7" s="19" t="n">
        <v>0</v>
      </c>
      <c r="HP7" s="19" t="n">
        <v>0</v>
      </c>
      <c r="HQ7" s="19" t="n">
        <v>0</v>
      </c>
      <c r="HR7" s="19" t="n">
        <v>0</v>
      </c>
      <c r="HS7" s="19" t="n">
        <v>0</v>
      </c>
      <c r="HT7" s="19" t="n">
        <v>0</v>
      </c>
      <c r="HU7" s="19" t="n">
        <v>0</v>
      </c>
      <c r="HV7" s="19" t="n">
        <v>0</v>
      </c>
      <c r="HW7" s="19" t="n">
        <v>0</v>
      </c>
      <c r="HX7" s="19" t="n">
        <v>0</v>
      </c>
      <c r="HY7" s="19" t="n">
        <v>0</v>
      </c>
      <c r="HZ7" s="19" t="n">
        <v>0</v>
      </c>
      <c r="IA7" s="19" t="n">
        <v>0</v>
      </c>
      <c r="IB7" s="19" t="n">
        <v>0</v>
      </c>
      <c r="IC7" s="19" t="n">
        <v>0</v>
      </c>
      <c r="ID7" s="19" t="n">
        <v>0</v>
      </c>
      <c r="IE7" s="19" t="n">
        <v>0</v>
      </c>
      <c r="IF7" s="19" t="n">
        <v>0</v>
      </c>
      <c r="IG7" s="19" t="n">
        <v>0</v>
      </c>
      <c r="IH7" s="19" t="n">
        <v>0</v>
      </c>
      <c r="II7" s="19" t="n">
        <v>0</v>
      </c>
      <c r="IJ7" s="19" t="n">
        <v>0</v>
      </c>
      <c r="IK7" s="19" t="n">
        <v>0</v>
      </c>
      <c r="IL7" s="19" t="n">
        <v>0</v>
      </c>
      <c r="IM7" s="19" t="n">
        <v>0</v>
      </c>
      <c r="IN7" s="19" t="n">
        <v>0</v>
      </c>
      <c r="IO7" s="19" t="n">
        <v>0</v>
      </c>
      <c r="IP7" s="19" t="n">
        <v>0</v>
      </c>
      <c r="IQ7" s="19" t="n">
        <v>0</v>
      </c>
      <c r="IR7" s="19" t="n">
        <v>0</v>
      </c>
      <c r="IS7" s="19" t="n">
        <v>0</v>
      </c>
      <c r="IT7" s="19" t="n">
        <v>0</v>
      </c>
      <c r="IU7" s="19" t="n">
        <v>0</v>
      </c>
      <c r="IV7" s="19" t="n">
        <v>0</v>
      </c>
      <c r="IW7" s="19" t="n">
        <v>0</v>
      </c>
      <c r="IX7" s="19" t="n">
        <v>0</v>
      </c>
      <c r="IY7" s="19" t="n">
        <v>0</v>
      </c>
      <c r="IZ7" s="19" t="n">
        <v>0</v>
      </c>
      <c r="JA7" s="19" t="n">
        <v>0</v>
      </c>
      <c r="JB7" s="19" t="n">
        <v>0</v>
      </c>
      <c r="JC7" s="19" t="n">
        <v>0</v>
      </c>
      <c r="JD7" s="19" t="n">
        <v>0</v>
      </c>
      <c r="JE7" s="19" t="n">
        <v>0</v>
      </c>
      <c r="JF7" s="19" t="n">
        <v>0</v>
      </c>
      <c r="JG7" s="19" t="n">
        <v>0</v>
      </c>
      <c r="JH7" s="19" t="n">
        <v>0</v>
      </c>
      <c r="JI7" s="19" t="n">
        <v>0</v>
      </c>
      <c r="JJ7" s="19" t="n">
        <v>0</v>
      </c>
      <c r="JK7" s="19" t="n">
        <v>0</v>
      </c>
      <c r="JL7" s="19" t="n">
        <v>0</v>
      </c>
      <c r="JM7" s="19" t="n">
        <v>0</v>
      </c>
      <c r="JN7" s="19" t="n">
        <v>0</v>
      </c>
      <c r="JO7" s="19" t="n">
        <v>0</v>
      </c>
      <c r="JP7" s="19" t="n">
        <v>0</v>
      </c>
      <c r="JQ7" s="19" t="n">
        <v>0</v>
      </c>
      <c r="JR7" s="19" t="n">
        <v>0</v>
      </c>
      <c r="JS7" s="19" t="n">
        <v>0</v>
      </c>
      <c r="JT7" s="19" t="n">
        <v>0</v>
      </c>
      <c r="JU7" s="19" t="n">
        <v>0</v>
      </c>
      <c r="JV7" s="19" t="n">
        <v>0</v>
      </c>
      <c r="JW7" s="19" t="n">
        <v>0</v>
      </c>
      <c r="JX7" s="19" t="n">
        <v>0</v>
      </c>
      <c r="JY7" s="19" t="n">
        <v>0</v>
      </c>
      <c r="JZ7" s="19" t="n">
        <v>0</v>
      </c>
      <c r="KA7" s="19" t="n">
        <v>0</v>
      </c>
      <c r="KB7" s="19" t="n">
        <v>0</v>
      </c>
      <c r="KC7" s="19" t="n">
        <v>0</v>
      </c>
      <c r="KD7" s="19" t="n">
        <v>0</v>
      </c>
      <c r="KE7" s="19" t="n">
        <v>0</v>
      </c>
      <c r="KF7" s="19" t="n">
        <v>0</v>
      </c>
      <c r="KG7" s="19" t="n">
        <v>0</v>
      </c>
      <c r="KH7" s="19" t="n">
        <v>0</v>
      </c>
      <c r="KI7" s="19" t="n">
        <v>0</v>
      </c>
      <c r="KJ7" s="19" t="n">
        <v>0</v>
      </c>
      <c r="KK7" s="19" t="n">
        <v>0</v>
      </c>
      <c r="KL7" s="19" t="n">
        <v>0</v>
      </c>
      <c r="KM7" s="19" t="n">
        <v>0</v>
      </c>
      <c r="KN7" s="19" t="n">
        <v>0</v>
      </c>
      <c r="KO7" s="19" t="n">
        <v>0</v>
      </c>
      <c r="KP7" s="19" t="n">
        <v>0</v>
      </c>
      <c r="KQ7" s="19" t="n">
        <v>0</v>
      </c>
      <c r="KR7" s="19" t="n">
        <v>0</v>
      </c>
      <c r="KS7" s="19" t="n">
        <v>0</v>
      </c>
      <c r="KT7" s="19" t="n">
        <v>0</v>
      </c>
      <c r="KU7" s="19" t="n">
        <v>0</v>
      </c>
      <c r="KV7" s="19" t="n">
        <v>0</v>
      </c>
      <c r="KW7" s="19" t="n">
        <v>0</v>
      </c>
      <c r="KX7" s="19" t="n">
        <v>0</v>
      </c>
      <c r="KY7" s="19" t="n">
        <v>0</v>
      </c>
      <c r="KZ7" s="19" t="n">
        <v>0</v>
      </c>
      <c r="LA7" s="19" t="n">
        <v>0</v>
      </c>
      <c r="LB7" s="19" t="n">
        <v>0</v>
      </c>
      <c r="LC7" s="19" t="n">
        <v>0</v>
      </c>
      <c r="LD7" s="19" t="n">
        <v>0</v>
      </c>
      <c r="LE7" s="19" t="n">
        <v>0</v>
      </c>
      <c r="LF7" s="19" t="n">
        <v>0</v>
      </c>
      <c r="LG7" s="19" t="n">
        <v>0</v>
      </c>
      <c r="LH7" s="19" t="n">
        <v>0</v>
      </c>
      <c r="LI7" s="19" t="n">
        <v>0</v>
      </c>
    </row>
    <row r="8">
      <c r="B8" s="18" t="inlineStr">
        <is>
          <t>Flag de pago de deuda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1</v>
      </c>
      <c r="BA8" s="19" t="n">
        <v>1</v>
      </c>
      <c r="BB8" s="19" t="n">
        <v>1</v>
      </c>
      <c r="BC8" s="19" t="n">
        <v>1</v>
      </c>
      <c r="BD8" s="19" t="n">
        <v>1</v>
      </c>
      <c r="BE8" s="19" t="n">
        <v>1</v>
      </c>
      <c r="BF8" s="19" t="n">
        <v>1</v>
      </c>
      <c r="BG8" s="19" t="n">
        <v>1</v>
      </c>
      <c r="BH8" s="19" t="n">
        <v>1</v>
      </c>
      <c r="BI8" s="19" t="n">
        <v>1</v>
      </c>
      <c r="BJ8" s="19" t="n">
        <v>1</v>
      </c>
      <c r="BK8" s="19" t="n">
        <v>1</v>
      </c>
      <c r="BL8" s="19" t="n">
        <v>1</v>
      </c>
      <c r="BM8" s="19" t="n">
        <v>1</v>
      </c>
      <c r="BN8" s="19" t="n">
        <v>1</v>
      </c>
      <c r="BO8" s="19" t="n">
        <v>1</v>
      </c>
      <c r="BP8" s="19" t="n">
        <v>1</v>
      </c>
      <c r="BQ8" s="19" t="n">
        <v>1</v>
      </c>
      <c r="BR8" s="19" t="n">
        <v>1</v>
      </c>
      <c r="BS8" s="19" t="n">
        <v>1</v>
      </c>
      <c r="BT8" s="19" t="n">
        <v>1</v>
      </c>
      <c r="BU8" s="19" t="n">
        <v>1</v>
      </c>
      <c r="BV8" s="19" t="n">
        <v>1</v>
      </c>
      <c r="BW8" s="19" t="n">
        <v>1</v>
      </c>
      <c r="BX8" s="19" t="n">
        <v>1</v>
      </c>
      <c r="BY8" s="19" t="n">
        <v>1</v>
      </c>
      <c r="BZ8" s="19" t="n">
        <v>1</v>
      </c>
      <c r="CA8" s="19" t="n">
        <v>1</v>
      </c>
      <c r="CB8" s="19" t="n">
        <v>1</v>
      </c>
      <c r="CC8" s="19" t="n">
        <v>1</v>
      </c>
      <c r="CD8" s="19" t="n">
        <v>1</v>
      </c>
      <c r="CE8" s="19" t="n">
        <v>1</v>
      </c>
      <c r="CF8" s="19" t="n">
        <v>1</v>
      </c>
      <c r="CG8" s="19" t="n">
        <v>1</v>
      </c>
      <c r="CH8" s="19" t="n">
        <v>1</v>
      </c>
      <c r="CI8" s="19" t="n">
        <v>1</v>
      </c>
      <c r="CJ8" s="19" t="n">
        <v>1</v>
      </c>
      <c r="CK8" s="19" t="n">
        <v>1</v>
      </c>
      <c r="CL8" s="19" t="n">
        <v>1</v>
      </c>
      <c r="CM8" s="19" t="n">
        <v>1</v>
      </c>
      <c r="CN8" s="19" t="n">
        <v>1</v>
      </c>
      <c r="CO8" s="19" t="n">
        <v>1</v>
      </c>
      <c r="CP8" s="19" t="n">
        <v>1</v>
      </c>
      <c r="CQ8" s="19" t="n">
        <v>1</v>
      </c>
      <c r="CR8" s="19" t="n">
        <v>1</v>
      </c>
      <c r="CS8" s="19" t="n">
        <v>1</v>
      </c>
      <c r="CT8" s="19" t="n">
        <v>1</v>
      </c>
      <c r="CU8" s="19" t="n">
        <v>1</v>
      </c>
      <c r="CV8" s="19" t="n">
        <v>1</v>
      </c>
      <c r="CW8" s="19" t="n">
        <v>1</v>
      </c>
      <c r="CX8" s="19" t="n">
        <v>1</v>
      </c>
      <c r="CY8" s="19" t="n">
        <v>1</v>
      </c>
      <c r="CZ8" s="19" t="n">
        <v>1</v>
      </c>
      <c r="DA8" s="19" t="n">
        <v>1</v>
      </c>
      <c r="DB8" s="19" t="n">
        <v>1</v>
      </c>
      <c r="DC8" s="19" t="n">
        <v>1</v>
      </c>
      <c r="DD8" s="19" t="n">
        <v>1</v>
      </c>
      <c r="DE8" s="19" t="n">
        <v>1</v>
      </c>
      <c r="DF8" s="19" t="n">
        <v>1</v>
      </c>
      <c r="DG8" s="19" t="n">
        <v>1</v>
      </c>
      <c r="DH8" s="19" t="n">
        <v>1</v>
      </c>
      <c r="DI8" s="19" t="n">
        <v>1</v>
      </c>
      <c r="DJ8" s="19" t="n">
        <v>1</v>
      </c>
      <c r="DK8" s="19" t="n">
        <v>1</v>
      </c>
      <c r="DL8" s="19" t="n">
        <v>1</v>
      </c>
      <c r="DM8" s="19" t="n">
        <v>1</v>
      </c>
      <c r="DN8" s="19" t="n">
        <v>1</v>
      </c>
      <c r="DO8" s="19" t="n">
        <v>1</v>
      </c>
      <c r="DP8" s="19" t="n">
        <v>1</v>
      </c>
      <c r="DQ8" s="19" t="n">
        <v>1</v>
      </c>
      <c r="DR8" s="19" t="n">
        <v>1</v>
      </c>
      <c r="DS8" s="19" t="n">
        <v>1</v>
      </c>
      <c r="DT8" s="19" t="n">
        <v>1</v>
      </c>
      <c r="DU8" s="19" t="n">
        <v>1</v>
      </c>
      <c r="DV8" s="19" t="n">
        <v>1</v>
      </c>
      <c r="DW8" s="19" t="n">
        <v>1</v>
      </c>
      <c r="DX8" s="19" t="n">
        <v>1</v>
      </c>
      <c r="DY8" s="19" t="n">
        <v>1</v>
      </c>
      <c r="DZ8" s="19" t="n">
        <v>1</v>
      </c>
      <c r="EA8" s="19" t="n">
        <v>1</v>
      </c>
      <c r="EB8" s="19" t="n">
        <v>1</v>
      </c>
      <c r="EC8" s="19" t="n">
        <v>1</v>
      </c>
      <c r="ED8" s="19" t="n">
        <v>1</v>
      </c>
      <c r="EE8" s="19" t="n">
        <v>1</v>
      </c>
      <c r="EF8" s="19" t="n">
        <v>1</v>
      </c>
      <c r="EG8" s="19" t="n">
        <v>1</v>
      </c>
      <c r="EH8" s="19" t="n">
        <v>1</v>
      </c>
      <c r="EI8" s="19" t="n">
        <v>1</v>
      </c>
      <c r="EJ8" s="19" t="n">
        <v>1</v>
      </c>
      <c r="EK8" s="19" t="n">
        <v>1</v>
      </c>
      <c r="EL8" s="19" t="n">
        <v>1</v>
      </c>
      <c r="EM8" s="19" t="n">
        <v>1</v>
      </c>
      <c r="EN8" s="19" t="n">
        <v>1</v>
      </c>
      <c r="EO8" s="19" t="n">
        <v>1</v>
      </c>
      <c r="EP8" s="19" t="n">
        <v>1</v>
      </c>
      <c r="EQ8" s="19" t="n">
        <v>1</v>
      </c>
      <c r="ER8" s="19" t="n">
        <v>1</v>
      </c>
      <c r="ES8" s="19" t="n">
        <v>1</v>
      </c>
      <c r="ET8" s="19" t="n">
        <v>1</v>
      </c>
      <c r="EU8" s="19" t="n">
        <v>1</v>
      </c>
      <c r="EV8" s="19" t="n">
        <v>1</v>
      </c>
      <c r="EW8" s="19" t="n">
        <v>1</v>
      </c>
      <c r="EX8" s="19" t="n">
        <v>1</v>
      </c>
      <c r="EY8" s="19" t="n">
        <v>1</v>
      </c>
      <c r="EZ8" s="19" t="n">
        <v>1</v>
      </c>
      <c r="FA8" s="19" t="n">
        <v>1</v>
      </c>
      <c r="FB8" s="19" t="n">
        <v>1</v>
      </c>
      <c r="FC8" s="19" t="n">
        <v>1</v>
      </c>
      <c r="FD8" s="19" t="n">
        <v>1</v>
      </c>
      <c r="FE8" s="19" t="n">
        <v>1</v>
      </c>
      <c r="FF8" s="19" t="n">
        <v>1</v>
      </c>
      <c r="FG8" s="19" t="n">
        <v>1</v>
      </c>
      <c r="FH8" s="19" t="n">
        <v>1</v>
      </c>
      <c r="FI8" s="19" t="n">
        <v>1</v>
      </c>
      <c r="FJ8" s="19" t="n">
        <v>1</v>
      </c>
      <c r="FK8" s="19" t="n">
        <v>1</v>
      </c>
      <c r="FL8" s="19" t="n">
        <v>1</v>
      </c>
      <c r="FM8" s="19" t="n">
        <v>1</v>
      </c>
      <c r="FN8" s="19" t="n">
        <v>1</v>
      </c>
      <c r="FO8" s="19" t="n">
        <v>1</v>
      </c>
      <c r="FP8" s="19" t="n">
        <v>1</v>
      </c>
      <c r="FQ8" s="19" t="n">
        <v>1</v>
      </c>
      <c r="FR8" s="19" t="n">
        <v>1</v>
      </c>
      <c r="FS8" s="19" t="n">
        <v>1</v>
      </c>
      <c r="FT8" s="19" t="n">
        <v>1</v>
      </c>
      <c r="FU8" s="19" t="n">
        <v>1</v>
      </c>
      <c r="FV8" s="19" t="n">
        <v>1</v>
      </c>
      <c r="FW8" s="19" t="n">
        <v>1</v>
      </c>
      <c r="FX8" s="19" t="n">
        <v>1</v>
      </c>
      <c r="FY8" s="19" t="n">
        <v>1</v>
      </c>
      <c r="FZ8" s="19" t="n">
        <v>1</v>
      </c>
      <c r="GA8" s="19" t="n">
        <v>1</v>
      </c>
      <c r="GB8" s="19" t="n">
        <v>1</v>
      </c>
      <c r="GC8" s="19" t="n">
        <v>1</v>
      </c>
      <c r="GD8" s="19" t="n">
        <v>1</v>
      </c>
      <c r="GE8" s="19" t="n">
        <v>1</v>
      </c>
      <c r="GF8" s="19" t="n">
        <v>1</v>
      </c>
      <c r="GG8" s="19" t="n">
        <v>1</v>
      </c>
      <c r="GH8" s="19" t="n">
        <v>1</v>
      </c>
      <c r="GI8" s="19" t="n">
        <v>1</v>
      </c>
      <c r="GJ8" s="19" t="n">
        <v>1</v>
      </c>
      <c r="GK8" s="19" t="n">
        <v>1</v>
      </c>
      <c r="GL8" s="19" t="n">
        <v>1</v>
      </c>
      <c r="GM8" s="19" t="n">
        <v>1</v>
      </c>
      <c r="GN8" s="19" t="n">
        <v>0</v>
      </c>
      <c r="GO8" s="19" t="n">
        <v>0</v>
      </c>
      <c r="GP8" s="19" t="n">
        <v>0</v>
      </c>
      <c r="GQ8" s="19" t="n">
        <v>0</v>
      </c>
      <c r="GR8" s="19" t="n">
        <v>0</v>
      </c>
      <c r="GS8" s="19" t="n">
        <v>0</v>
      </c>
      <c r="GT8" s="19" t="n">
        <v>0</v>
      </c>
      <c r="GU8" s="19" t="n">
        <v>0</v>
      </c>
      <c r="GV8" s="19" t="n">
        <v>0</v>
      </c>
      <c r="GW8" s="19" t="n">
        <v>0</v>
      </c>
      <c r="GX8" s="19" t="n">
        <v>0</v>
      </c>
      <c r="GY8" s="19" t="n">
        <v>0</v>
      </c>
      <c r="GZ8" s="19" t="n">
        <v>0</v>
      </c>
      <c r="HA8" s="19" t="n">
        <v>0</v>
      </c>
      <c r="HB8" s="19" t="n">
        <v>0</v>
      </c>
      <c r="HC8" s="19" t="n">
        <v>0</v>
      </c>
      <c r="HD8" s="19" t="n">
        <v>0</v>
      </c>
      <c r="HE8" s="19" t="n">
        <v>0</v>
      </c>
      <c r="HF8" s="19" t="n">
        <v>0</v>
      </c>
      <c r="HG8" s="19" t="n">
        <v>0</v>
      </c>
      <c r="HH8" s="19" t="n">
        <v>0</v>
      </c>
      <c r="HI8" s="19" t="n">
        <v>0</v>
      </c>
      <c r="HJ8" s="19" t="n">
        <v>0</v>
      </c>
      <c r="HK8" s="19" t="n">
        <v>0</v>
      </c>
      <c r="HL8" s="19" t="n">
        <v>0</v>
      </c>
      <c r="HM8" s="19" t="n">
        <v>0</v>
      </c>
      <c r="HN8" s="19" t="n">
        <v>0</v>
      </c>
      <c r="HO8" s="19" t="n">
        <v>0</v>
      </c>
      <c r="HP8" s="19" t="n">
        <v>0</v>
      </c>
      <c r="HQ8" s="19" t="n">
        <v>0</v>
      </c>
      <c r="HR8" s="19" t="n">
        <v>0</v>
      </c>
      <c r="HS8" s="19" t="n">
        <v>0</v>
      </c>
      <c r="HT8" s="19" t="n">
        <v>0</v>
      </c>
      <c r="HU8" s="19" t="n">
        <v>0</v>
      </c>
      <c r="HV8" s="19" t="n">
        <v>0</v>
      </c>
      <c r="HW8" s="19" t="n">
        <v>0</v>
      </c>
      <c r="HX8" s="19" t="n">
        <v>0</v>
      </c>
      <c r="HY8" s="19" t="n">
        <v>0</v>
      </c>
      <c r="HZ8" s="19" t="n">
        <v>0</v>
      </c>
      <c r="IA8" s="19" t="n">
        <v>0</v>
      </c>
      <c r="IB8" s="19" t="n">
        <v>0</v>
      </c>
      <c r="IC8" s="19" t="n">
        <v>0</v>
      </c>
      <c r="ID8" s="19" t="n">
        <v>0</v>
      </c>
      <c r="IE8" s="19" t="n">
        <v>0</v>
      </c>
      <c r="IF8" s="19" t="n">
        <v>0</v>
      </c>
      <c r="IG8" s="19" t="n">
        <v>0</v>
      </c>
      <c r="IH8" s="19" t="n">
        <v>0</v>
      </c>
      <c r="II8" s="19" t="n">
        <v>0</v>
      </c>
      <c r="IJ8" s="19" t="n">
        <v>0</v>
      </c>
      <c r="IK8" s="19" t="n">
        <v>0</v>
      </c>
      <c r="IL8" s="19" t="n">
        <v>0</v>
      </c>
      <c r="IM8" s="19" t="n">
        <v>0</v>
      </c>
      <c r="IN8" s="19" t="n">
        <v>0</v>
      </c>
      <c r="IO8" s="19" t="n">
        <v>0</v>
      </c>
      <c r="IP8" s="19" t="n">
        <v>0</v>
      </c>
      <c r="IQ8" s="19" t="n">
        <v>0</v>
      </c>
      <c r="IR8" s="19" t="n">
        <v>0</v>
      </c>
      <c r="IS8" s="19" t="n">
        <v>0</v>
      </c>
      <c r="IT8" s="19" t="n">
        <v>0</v>
      </c>
      <c r="IU8" s="19" t="n">
        <v>0</v>
      </c>
      <c r="IV8" s="19" t="n">
        <v>0</v>
      </c>
      <c r="IW8" s="19" t="n">
        <v>0</v>
      </c>
      <c r="IX8" s="19" t="n">
        <v>0</v>
      </c>
      <c r="IY8" s="19" t="n">
        <v>0</v>
      </c>
      <c r="IZ8" s="19" t="n">
        <v>0</v>
      </c>
      <c r="JA8" s="19" t="n">
        <v>0</v>
      </c>
      <c r="JB8" s="19" t="n">
        <v>0</v>
      </c>
      <c r="JC8" s="19" t="n">
        <v>0</v>
      </c>
      <c r="JD8" s="19" t="n">
        <v>0</v>
      </c>
      <c r="JE8" s="19" t="n">
        <v>0</v>
      </c>
      <c r="JF8" s="19" t="n">
        <v>0</v>
      </c>
      <c r="JG8" s="19" t="n">
        <v>0</v>
      </c>
      <c r="JH8" s="19" t="n">
        <v>0</v>
      </c>
      <c r="JI8" s="19" t="n">
        <v>0</v>
      </c>
      <c r="JJ8" s="19" t="n">
        <v>0</v>
      </c>
      <c r="JK8" s="19" t="n">
        <v>0</v>
      </c>
      <c r="JL8" s="19" t="n">
        <v>0</v>
      </c>
      <c r="JM8" s="19" t="n">
        <v>0</v>
      </c>
      <c r="JN8" s="19" t="n">
        <v>0</v>
      </c>
      <c r="JO8" s="19" t="n">
        <v>0</v>
      </c>
      <c r="JP8" s="19" t="n">
        <v>0</v>
      </c>
      <c r="JQ8" s="19" t="n">
        <v>0</v>
      </c>
      <c r="JR8" s="19" t="n">
        <v>0</v>
      </c>
      <c r="JS8" s="19" t="n">
        <v>0</v>
      </c>
      <c r="JT8" s="19" t="n">
        <v>0</v>
      </c>
      <c r="JU8" s="19" t="n">
        <v>0</v>
      </c>
      <c r="JV8" s="19" t="n">
        <v>0</v>
      </c>
      <c r="JW8" s="19" t="n">
        <v>0</v>
      </c>
      <c r="JX8" s="19" t="n">
        <v>0</v>
      </c>
      <c r="JY8" s="19" t="n">
        <v>0</v>
      </c>
      <c r="JZ8" s="19" t="n">
        <v>0</v>
      </c>
      <c r="KA8" s="19" t="n">
        <v>0</v>
      </c>
      <c r="KB8" s="19" t="n">
        <v>0</v>
      </c>
      <c r="KC8" s="19" t="n">
        <v>0</v>
      </c>
      <c r="KD8" s="19" t="n">
        <v>0</v>
      </c>
      <c r="KE8" s="19" t="n">
        <v>0</v>
      </c>
      <c r="KF8" s="19" t="n">
        <v>0</v>
      </c>
      <c r="KG8" s="19" t="n">
        <v>0</v>
      </c>
      <c r="KH8" s="19" t="n">
        <v>0</v>
      </c>
      <c r="KI8" s="19" t="n">
        <v>0</v>
      </c>
      <c r="KJ8" s="19" t="n">
        <v>0</v>
      </c>
      <c r="KK8" s="19" t="n">
        <v>0</v>
      </c>
      <c r="KL8" s="19" t="n">
        <v>0</v>
      </c>
      <c r="KM8" s="19" t="n">
        <v>0</v>
      </c>
      <c r="KN8" s="19" t="n">
        <v>0</v>
      </c>
      <c r="KO8" s="19" t="n">
        <v>0</v>
      </c>
      <c r="KP8" s="19" t="n">
        <v>0</v>
      </c>
      <c r="KQ8" s="19" t="n">
        <v>0</v>
      </c>
      <c r="KR8" s="19" t="n">
        <v>0</v>
      </c>
      <c r="KS8" s="19" t="n">
        <v>0</v>
      </c>
      <c r="KT8" s="19" t="n">
        <v>0</v>
      </c>
      <c r="KU8" s="19" t="n">
        <v>0</v>
      </c>
      <c r="KV8" s="19" t="n">
        <v>0</v>
      </c>
      <c r="KW8" s="19" t="n">
        <v>0</v>
      </c>
      <c r="KX8" s="19" t="n">
        <v>0</v>
      </c>
      <c r="KY8" s="19" t="n">
        <v>0</v>
      </c>
      <c r="KZ8" s="19" t="n">
        <v>0</v>
      </c>
      <c r="LA8" s="19" t="n">
        <v>0</v>
      </c>
      <c r="LB8" s="19" t="n">
        <v>0</v>
      </c>
      <c r="LC8" s="19" t="n">
        <v>0</v>
      </c>
      <c r="LD8" s="19" t="n">
        <v>0</v>
      </c>
      <c r="LE8" s="19" t="n">
        <v>0</v>
      </c>
      <c r="LF8" s="19" t="n">
        <v>0</v>
      </c>
      <c r="LG8" s="19" t="n">
        <v>0</v>
      </c>
      <c r="LH8" s="19" t="n">
        <v>0</v>
      </c>
      <c r="LI8" s="19" t="n">
        <v>0</v>
      </c>
    </row>
    <row r="9">
      <c r="B9" s="18" t="inlineStr">
        <is>
          <t>Inversion a financiarse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42887.0652593744</v>
      </c>
      <c r="Z9" s="20" t="n">
        <v>6255.756247463378</v>
      </c>
      <c r="AA9" s="20" t="n">
        <v>6266.088137511056</v>
      </c>
      <c r="AB9" s="20" t="n">
        <v>6276.437091515154</v>
      </c>
      <c r="AC9" s="20" t="n">
        <v>6286.803137658179</v>
      </c>
      <c r="AD9" s="20" t="n">
        <v>6297.186304169192</v>
      </c>
      <c r="AE9" s="20" t="n">
        <v>15790.50374910309</v>
      </c>
      <c r="AF9" s="20" t="n">
        <v>15816.58304984301</v>
      </c>
      <c r="AG9" s="20" t="n">
        <v>15842.7054226684</v>
      </c>
      <c r="AH9" s="20" t="n">
        <v>15868.87093871631</v>
      </c>
      <c r="AI9" s="20" t="n">
        <v>15642.80537884239</v>
      </c>
      <c r="AJ9" s="20" t="n">
        <v>15633.19171559247</v>
      </c>
      <c r="AK9" s="20" t="n">
        <v>13673.05473781815</v>
      </c>
      <c r="AL9" s="20" t="n">
        <v>13671.28114176584</v>
      </c>
      <c r="AM9" s="20" t="n">
        <v>13091.90239484596</v>
      </c>
      <c r="AN9" s="20" t="n">
        <v>13113.52473604785</v>
      </c>
      <c r="AO9" s="20" t="n">
        <v>14842.49088005057</v>
      </c>
      <c r="AP9" s="20" t="n">
        <v>14831.20269700295</v>
      </c>
      <c r="AQ9" s="20" t="n">
        <v>2451.270904620299</v>
      </c>
      <c r="AR9" s="20" t="n">
        <v>2455.319377812309</v>
      </c>
      <c r="AS9" s="20" t="n">
        <v>1600.066988703113</v>
      </c>
      <c r="AT9" s="20" t="n">
        <v>1602.709629423475</v>
      </c>
      <c r="AU9" s="20" t="n">
        <v>188.9731074943717</v>
      </c>
      <c r="AV9" s="20" t="n">
        <v>189.2852119452752</v>
      </c>
      <c r="AW9" s="20" t="n">
        <v>189.597831862054</v>
      </c>
      <c r="AX9" s="20" t="n">
        <v>189.910968096042</v>
      </c>
      <c r="AY9" s="20" t="n">
        <v>190.224621499979</v>
      </c>
      <c r="AZ9" s="20" t="n">
        <v>0</v>
      </c>
      <c r="BA9" s="20" t="n">
        <v>0</v>
      </c>
      <c r="BB9" s="20" t="n">
        <v>0</v>
      </c>
      <c r="BC9" s="20" t="n">
        <v>0</v>
      </c>
      <c r="BD9" s="20" t="n">
        <v>0</v>
      </c>
      <c r="BE9" s="20" t="n">
        <v>0</v>
      </c>
      <c r="BF9" s="20" t="n">
        <v>0</v>
      </c>
      <c r="BG9" s="20" t="n">
        <v>0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0</v>
      </c>
      <c r="BO9" s="20" t="n">
        <v>0</v>
      </c>
      <c r="BP9" s="20" t="n">
        <v>0</v>
      </c>
      <c r="BQ9" s="20" t="n">
        <v>0</v>
      </c>
      <c r="BR9" s="20" t="n">
        <v>0</v>
      </c>
      <c r="BS9" s="20" t="n">
        <v>0</v>
      </c>
      <c r="BT9" s="20" t="n">
        <v>0</v>
      </c>
      <c r="BU9" s="20" t="n">
        <v>0</v>
      </c>
      <c r="BV9" s="20" t="n">
        <v>0</v>
      </c>
      <c r="BW9" s="20" t="n">
        <v>0</v>
      </c>
      <c r="BX9" s="20" t="n">
        <v>0</v>
      </c>
      <c r="BY9" s="20" t="n">
        <v>0</v>
      </c>
      <c r="BZ9" s="20" t="n">
        <v>0</v>
      </c>
      <c r="CA9" s="20" t="n">
        <v>0</v>
      </c>
      <c r="CB9" s="20" t="n">
        <v>0</v>
      </c>
      <c r="CC9" s="20" t="n">
        <v>0</v>
      </c>
      <c r="CD9" s="20" t="n">
        <v>0</v>
      </c>
      <c r="CE9" s="20" t="n">
        <v>0</v>
      </c>
      <c r="CF9" s="20" t="n">
        <v>0</v>
      </c>
      <c r="CG9" s="20" t="n">
        <v>0</v>
      </c>
      <c r="CH9" s="20" t="n">
        <v>0</v>
      </c>
      <c r="CI9" s="20" t="n">
        <v>0</v>
      </c>
      <c r="CJ9" s="20" t="n">
        <v>0</v>
      </c>
      <c r="CK9" s="20" t="n">
        <v>0</v>
      </c>
      <c r="CL9" s="20" t="n">
        <v>0</v>
      </c>
      <c r="CM9" s="20" t="n">
        <v>0</v>
      </c>
      <c r="CN9" s="20" t="n">
        <v>0</v>
      </c>
      <c r="CO9" s="20" t="n">
        <v>0</v>
      </c>
      <c r="CP9" s="20" t="n">
        <v>0</v>
      </c>
      <c r="CQ9" s="20" t="n">
        <v>0</v>
      </c>
      <c r="CR9" s="20" t="n">
        <v>0</v>
      </c>
      <c r="CS9" s="20" t="n">
        <v>0</v>
      </c>
      <c r="CT9" s="20" t="n">
        <v>0</v>
      </c>
      <c r="CU9" s="20" t="n">
        <v>0</v>
      </c>
      <c r="CV9" s="20" t="n">
        <v>0</v>
      </c>
      <c r="CW9" s="20" t="n">
        <v>0</v>
      </c>
      <c r="CX9" s="20" t="n">
        <v>0</v>
      </c>
      <c r="CY9" s="20" t="n">
        <v>0</v>
      </c>
      <c r="CZ9" s="20" t="n">
        <v>0</v>
      </c>
      <c r="DA9" s="20" t="n">
        <v>0</v>
      </c>
      <c r="DB9" s="20" t="n">
        <v>0</v>
      </c>
      <c r="DC9" s="20" t="n">
        <v>0</v>
      </c>
      <c r="DD9" s="20" t="n">
        <v>0</v>
      </c>
      <c r="DE9" s="20" t="n">
        <v>0</v>
      </c>
      <c r="DF9" s="20" t="n">
        <v>0</v>
      </c>
      <c r="DG9" s="20" t="n">
        <v>0</v>
      </c>
      <c r="DH9" s="20" t="n">
        <v>0</v>
      </c>
      <c r="DI9" s="20" t="n">
        <v>0</v>
      </c>
      <c r="DJ9" s="20" t="n">
        <v>0</v>
      </c>
      <c r="DK9" s="20" t="n">
        <v>0</v>
      </c>
      <c r="DL9" s="20" t="n">
        <v>0</v>
      </c>
      <c r="DM9" s="20" t="n">
        <v>0</v>
      </c>
      <c r="DN9" s="20" t="n">
        <v>0</v>
      </c>
      <c r="DO9" s="20" t="n">
        <v>0</v>
      </c>
      <c r="DP9" s="20" t="n">
        <v>0</v>
      </c>
      <c r="DQ9" s="20" t="n">
        <v>0</v>
      </c>
      <c r="DR9" s="20" t="n">
        <v>0</v>
      </c>
      <c r="DS9" s="20" t="n">
        <v>0</v>
      </c>
      <c r="DT9" s="20" t="n">
        <v>0</v>
      </c>
      <c r="DU9" s="20" t="n">
        <v>0</v>
      </c>
      <c r="DV9" s="20" t="n">
        <v>0</v>
      </c>
      <c r="DW9" s="20" t="n">
        <v>0</v>
      </c>
      <c r="DX9" s="20" t="n">
        <v>0</v>
      </c>
      <c r="DY9" s="20" t="n">
        <v>0</v>
      </c>
      <c r="DZ9" s="20" t="n">
        <v>0</v>
      </c>
      <c r="EA9" s="20" t="n">
        <v>0</v>
      </c>
      <c r="EB9" s="20" t="n">
        <v>0</v>
      </c>
      <c r="EC9" s="20" t="n">
        <v>0</v>
      </c>
      <c r="ED9" s="20" t="n">
        <v>0</v>
      </c>
      <c r="EE9" s="20" t="n">
        <v>0</v>
      </c>
      <c r="EF9" s="20" t="n">
        <v>0</v>
      </c>
      <c r="EG9" s="20" t="n">
        <v>0</v>
      </c>
      <c r="EH9" s="20" t="n">
        <v>0</v>
      </c>
      <c r="EI9" s="20" t="n">
        <v>0</v>
      </c>
      <c r="EJ9" s="20" t="n">
        <v>0</v>
      </c>
      <c r="EK9" s="20" t="n">
        <v>0</v>
      </c>
      <c r="EL9" s="20" t="n">
        <v>0</v>
      </c>
      <c r="EM9" s="20" t="n">
        <v>0</v>
      </c>
      <c r="EN9" s="20" t="n">
        <v>0</v>
      </c>
      <c r="EO9" s="20" t="n">
        <v>0</v>
      </c>
      <c r="EP9" s="20" t="n">
        <v>0</v>
      </c>
      <c r="EQ9" s="20" t="n">
        <v>0</v>
      </c>
      <c r="ER9" s="20" t="n">
        <v>0</v>
      </c>
      <c r="ES9" s="20" t="n">
        <v>0</v>
      </c>
      <c r="ET9" s="20" t="n">
        <v>0</v>
      </c>
      <c r="EU9" s="20" t="n">
        <v>0</v>
      </c>
      <c r="EV9" s="20" t="n">
        <v>0</v>
      </c>
      <c r="EW9" s="20" t="n">
        <v>0</v>
      </c>
      <c r="EX9" s="20" t="n">
        <v>0</v>
      </c>
      <c r="EY9" s="20" t="n">
        <v>0</v>
      </c>
      <c r="EZ9" s="20" t="n">
        <v>0</v>
      </c>
      <c r="FA9" s="20" t="n">
        <v>0</v>
      </c>
      <c r="FB9" s="20" t="n">
        <v>0</v>
      </c>
      <c r="FC9" s="20" t="n">
        <v>0</v>
      </c>
      <c r="FD9" s="20" t="n">
        <v>0</v>
      </c>
      <c r="FE9" s="20" t="n">
        <v>0</v>
      </c>
      <c r="FF9" s="20" t="n">
        <v>0</v>
      </c>
      <c r="FG9" s="20" t="n">
        <v>0</v>
      </c>
      <c r="FH9" s="20" t="n">
        <v>0</v>
      </c>
      <c r="FI9" s="20" t="n">
        <v>0</v>
      </c>
      <c r="FJ9" s="20" t="n">
        <v>0</v>
      </c>
      <c r="FK9" s="20" t="n">
        <v>0</v>
      </c>
      <c r="FL9" s="20" t="n">
        <v>0</v>
      </c>
      <c r="FM9" s="20" t="n">
        <v>0</v>
      </c>
      <c r="FN9" s="20" t="n">
        <v>0</v>
      </c>
      <c r="FO9" s="20" t="n">
        <v>0</v>
      </c>
      <c r="FP9" s="20" t="n">
        <v>0</v>
      </c>
      <c r="FQ9" s="20" t="n">
        <v>0</v>
      </c>
      <c r="FR9" s="20" t="n">
        <v>0</v>
      </c>
      <c r="FS9" s="20" t="n">
        <v>0</v>
      </c>
      <c r="FT9" s="20" t="n">
        <v>0</v>
      </c>
      <c r="FU9" s="20" t="n">
        <v>0</v>
      </c>
      <c r="FV9" s="20" t="n">
        <v>0</v>
      </c>
      <c r="FW9" s="20" t="n">
        <v>0</v>
      </c>
      <c r="FX9" s="20" t="n">
        <v>0</v>
      </c>
      <c r="FY9" s="20" t="n">
        <v>0</v>
      </c>
      <c r="FZ9" s="20" t="n">
        <v>0</v>
      </c>
      <c r="GA9" s="20" t="n">
        <v>0</v>
      </c>
      <c r="GB9" s="20" t="n">
        <v>0</v>
      </c>
      <c r="GC9" s="20" t="n">
        <v>0</v>
      </c>
      <c r="GD9" s="20" t="n">
        <v>0</v>
      </c>
      <c r="GE9" s="20" t="n">
        <v>0</v>
      </c>
      <c r="GF9" s="20" t="n">
        <v>0</v>
      </c>
      <c r="GG9" s="20" t="n">
        <v>0</v>
      </c>
      <c r="GH9" s="20" t="n">
        <v>0</v>
      </c>
      <c r="GI9" s="20" t="n">
        <v>0</v>
      </c>
      <c r="GJ9" s="20" t="n">
        <v>0</v>
      </c>
      <c r="GK9" s="20" t="n">
        <v>0</v>
      </c>
      <c r="GL9" s="20" t="n">
        <v>0</v>
      </c>
      <c r="GM9" s="20" t="n">
        <v>0</v>
      </c>
      <c r="GN9" s="20" t="n">
        <v>0</v>
      </c>
      <c r="GO9" s="20" t="n">
        <v>0</v>
      </c>
      <c r="GP9" s="20" t="n">
        <v>0</v>
      </c>
      <c r="GQ9" s="20" t="n">
        <v>0</v>
      </c>
      <c r="GR9" s="20" t="n">
        <v>0</v>
      </c>
      <c r="GS9" s="20" t="n">
        <v>0</v>
      </c>
      <c r="GT9" s="20" t="n">
        <v>0</v>
      </c>
      <c r="GU9" s="20" t="n">
        <v>0</v>
      </c>
      <c r="GV9" s="20" t="n">
        <v>0</v>
      </c>
      <c r="GW9" s="20" t="n">
        <v>0</v>
      </c>
      <c r="GX9" s="20" t="n">
        <v>0</v>
      </c>
      <c r="GY9" s="20" t="n">
        <v>0</v>
      </c>
      <c r="GZ9" s="20" t="n">
        <v>0</v>
      </c>
      <c r="HA9" s="20" t="n">
        <v>0</v>
      </c>
      <c r="HB9" s="20" t="n">
        <v>0</v>
      </c>
      <c r="HC9" s="20" t="n">
        <v>0</v>
      </c>
      <c r="HD9" s="20" t="n">
        <v>0</v>
      </c>
      <c r="HE9" s="20" t="n">
        <v>0</v>
      </c>
      <c r="HF9" s="20" t="n">
        <v>0</v>
      </c>
      <c r="HG9" s="20" t="n">
        <v>0</v>
      </c>
      <c r="HH9" s="20" t="n">
        <v>0</v>
      </c>
      <c r="HI9" s="20" t="n">
        <v>0</v>
      </c>
      <c r="HJ9" s="20" t="n">
        <v>0</v>
      </c>
      <c r="HK9" s="20" t="n">
        <v>0</v>
      </c>
      <c r="HL9" s="20" t="n">
        <v>0</v>
      </c>
      <c r="HM9" s="20" t="n">
        <v>0</v>
      </c>
      <c r="HN9" s="20" t="n">
        <v>0</v>
      </c>
      <c r="HO9" s="20" t="n">
        <v>0</v>
      </c>
      <c r="HP9" s="20" t="n">
        <v>0</v>
      </c>
      <c r="HQ9" s="20" t="n">
        <v>0</v>
      </c>
      <c r="HR9" s="20" t="n">
        <v>0</v>
      </c>
      <c r="HS9" s="20" t="n">
        <v>0</v>
      </c>
      <c r="HT9" s="20" t="n">
        <v>0</v>
      </c>
      <c r="HU9" s="20" t="n">
        <v>0</v>
      </c>
      <c r="HV9" s="20" t="n">
        <v>0</v>
      </c>
      <c r="HW9" s="20" t="n">
        <v>0</v>
      </c>
      <c r="HX9" s="20" t="n">
        <v>0</v>
      </c>
      <c r="HY9" s="20" t="n">
        <v>0</v>
      </c>
      <c r="HZ9" s="20" t="n">
        <v>0</v>
      </c>
      <c r="IA9" s="20" t="n">
        <v>0</v>
      </c>
      <c r="IB9" s="20" t="n">
        <v>0</v>
      </c>
      <c r="IC9" s="20" t="n">
        <v>0</v>
      </c>
      <c r="ID9" s="20" t="n">
        <v>0</v>
      </c>
      <c r="IE9" s="20" t="n">
        <v>0</v>
      </c>
      <c r="IF9" s="20" t="n">
        <v>0</v>
      </c>
      <c r="IG9" s="20" t="n">
        <v>0</v>
      </c>
      <c r="IH9" s="20" t="n">
        <v>0</v>
      </c>
      <c r="II9" s="20" t="n">
        <v>0</v>
      </c>
      <c r="IJ9" s="20" t="n">
        <v>0</v>
      </c>
      <c r="IK9" s="20" t="n">
        <v>0</v>
      </c>
      <c r="IL9" s="20" t="n">
        <v>0</v>
      </c>
      <c r="IM9" s="20" t="n">
        <v>0</v>
      </c>
      <c r="IN9" s="20" t="n">
        <v>0</v>
      </c>
      <c r="IO9" s="20" t="n">
        <v>0</v>
      </c>
      <c r="IP9" s="20" t="n">
        <v>0</v>
      </c>
      <c r="IQ9" s="20" t="n">
        <v>0</v>
      </c>
      <c r="IR9" s="20" t="n">
        <v>0</v>
      </c>
      <c r="IS9" s="20" t="n">
        <v>0</v>
      </c>
      <c r="IT9" s="20" t="n">
        <v>0</v>
      </c>
      <c r="IU9" s="20" t="n">
        <v>0</v>
      </c>
      <c r="IV9" s="20" t="n">
        <v>0</v>
      </c>
      <c r="IW9" s="20" t="n">
        <v>0</v>
      </c>
      <c r="IX9" s="20" t="n">
        <v>0</v>
      </c>
      <c r="IY9" s="20" t="n">
        <v>0</v>
      </c>
      <c r="IZ9" s="20" t="n">
        <v>0</v>
      </c>
      <c r="JA9" s="20" t="n">
        <v>0</v>
      </c>
      <c r="JB9" s="20" t="n">
        <v>0</v>
      </c>
      <c r="JC9" s="20" t="n">
        <v>0</v>
      </c>
      <c r="JD9" s="20" t="n">
        <v>0</v>
      </c>
      <c r="JE9" s="20" t="n">
        <v>0</v>
      </c>
      <c r="JF9" s="20" t="n">
        <v>0</v>
      </c>
      <c r="JG9" s="20" t="n">
        <v>0</v>
      </c>
      <c r="JH9" s="20" t="n">
        <v>0</v>
      </c>
      <c r="JI9" s="20" t="n">
        <v>0</v>
      </c>
      <c r="JJ9" s="20" t="n">
        <v>0</v>
      </c>
      <c r="JK9" s="20" t="n">
        <v>0</v>
      </c>
      <c r="JL9" s="20" t="n">
        <v>0</v>
      </c>
      <c r="JM9" s="20" t="n">
        <v>0</v>
      </c>
      <c r="JN9" s="20" t="n">
        <v>0</v>
      </c>
      <c r="JO9" s="20" t="n">
        <v>0</v>
      </c>
      <c r="JP9" s="20" t="n">
        <v>0</v>
      </c>
      <c r="JQ9" s="20" t="n">
        <v>0</v>
      </c>
      <c r="JR9" s="20" t="n">
        <v>0</v>
      </c>
      <c r="JS9" s="20" t="n">
        <v>0</v>
      </c>
      <c r="JT9" s="20" t="n">
        <v>0</v>
      </c>
      <c r="JU9" s="20" t="n">
        <v>0</v>
      </c>
      <c r="JV9" s="20" t="n">
        <v>0</v>
      </c>
      <c r="JW9" s="20" t="n">
        <v>0</v>
      </c>
      <c r="JX9" s="20" t="n">
        <v>0</v>
      </c>
      <c r="JY9" s="20" t="n">
        <v>0</v>
      </c>
      <c r="JZ9" s="20" t="n">
        <v>0</v>
      </c>
      <c r="KA9" s="20" t="n">
        <v>0</v>
      </c>
      <c r="KB9" s="20" t="n">
        <v>0</v>
      </c>
      <c r="KC9" s="20" t="n">
        <v>0</v>
      </c>
      <c r="KD9" s="20" t="n">
        <v>0</v>
      </c>
      <c r="KE9" s="20" t="n">
        <v>0</v>
      </c>
      <c r="KF9" s="20" t="n">
        <v>0</v>
      </c>
      <c r="KG9" s="20" t="n">
        <v>0</v>
      </c>
      <c r="KH9" s="20" t="n">
        <v>0</v>
      </c>
      <c r="KI9" s="20" t="n">
        <v>0</v>
      </c>
      <c r="KJ9" s="20" t="n">
        <v>0</v>
      </c>
      <c r="KK9" s="20" t="n">
        <v>0</v>
      </c>
      <c r="KL9" s="20" t="n">
        <v>0</v>
      </c>
      <c r="KM9" s="20" t="n">
        <v>0</v>
      </c>
      <c r="KN9" s="20" t="n">
        <v>0</v>
      </c>
      <c r="KO9" s="20" t="n">
        <v>0</v>
      </c>
      <c r="KP9" s="20" t="n">
        <v>0</v>
      </c>
      <c r="KQ9" s="20" t="n">
        <v>0</v>
      </c>
      <c r="KR9" s="20" t="n">
        <v>0</v>
      </c>
      <c r="KS9" s="20" t="n">
        <v>0</v>
      </c>
      <c r="KT9" s="20" t="n">
        <v>0</v>
      </c>
      <c r="KU9" s="20" t="n">
        <v>0</v>
      </c>
      <c r="KV9" s="20" t="n">
        <v>0</v>
      </c>
      <c r="KW9" s="20" t="n">
        <v>0</v>
      </c>
      <c r="KX9" s="20" t="n">
        <v>0</v>
      </c>
      <c r="KY9" s="20" t="n">
        <v>0</v>
      </c>
      <c r="KZ9" s="20" t="n">
        <v>0</v>
      </c>
      <c r="LA9" s="20" t="n">
        <v>0</v>
      </c>
      <c r="LB9" s="20" t="n">
        <v>0</v>
      </c>
      <c r="LC9" s="20" t="n">
        <v>0</v>
      </c>
      <c r="LD9" s="20" t="n">
        <v>0</v>
      </c>
      <c r="LE9" s="20" t="n">
        <v>0</v>
      </c>
      <c r="LF9" s="20" t="n">
        <v>0</v>
      </c>
      <c r="LG9" s="20" t="n">
        <v>0</v>
      </c>
      <c r="LH9" s="20" t="n">
        <v>0</v>
      </c>
      <c r="LI9" s="20" t="n">
        <v>0</v>
      </c>
    </row>
    <row r="10">
      <c r="B10" s="18" t="inlineStr">
        <is>
          <t>Desembolsos</t>
        </is>
      </c>
      <c r="D10" s="20">
        <f>D7*D9*p_tamano_deuda</f>
        <v/>
      </c>
      <c r="E10" s="20">
        <f>E7*E9*p_tamano_deuda</f>
        <v/>
      </c>
      <c r="F10" s="20">
        <f>F7*F9*p_tamano_deuda</f>
        <v/>
      </c>
      <c r="G10" s="20">
        <f>G7*G9*p_tamano_deuda</f>
        <v/>
      </c>
      <c r="H10" s="20">
        <f>H7*H9*p_tamano_deuda</f>
        <v/>
      </c>
      <c r="I10" s="20">
        <f>I7*I9*p_tamano_deuda</f>
        <v/>
      </c>
      <c r="J10" s="20">
        <f>J7*J9*p_tamano_deuda</f>
        <v/>
      </c>
      <c r="K10" s="20">
        <f>K7*K9*p_tamano_deuda</f>
        <v/>
      </c>
      <c r="L10" s="20">
        <f>L7*L9*p_tamano_deuda</f>
        <v/>
      </c>
      <c r="M10" s="20">
        <f>M7*M9*p_tamano_deuda</f>
        <v/>
      </c>
      <c r="N10" s="20">
        <f>N7*N9*p_tamano_deuda</f>
        <v/>
      </c>
      <c r="O10" s="20">
        <f>O7*O9*p_tamano_deuda</f>
        <v/>
      </c>
      <c r="P10" s="20">
        <f>P7*P9*p_tamano_deuda</f>
        <v/>
      </c>
      <c r="Q10" s="20">
        <f>Q7*Q9*p_tamano_deuda</f>
        <v/>
      </c>
      <c r="R10" s="20">
        <f>R7*R9*p_tamano_deuda</f>
        <v/>
      </c>
      <c r="S10" s="20">
        <f>S7*S9*p_tamano_deuda</f>
        <v/>
      </c>
      <c r="T10" s="20">
        <f>T7*T9*p_tamano_deuda</f>
        <v/>
      </c>
      <c r="U10" s="20">
        <f>U7*U9*p_tamano_deuda</f>
        <v/>
      </c>
      <c r="V10" s="20">
        <f>V7*V9*p_tamano_deuda</f>
        <v/>
      </c>
      <c r="W10" s="20">
        <f>W7*W9*p_tamano_deuda</f>
        <v/>
      </c>
      <c r="X10" s="20">
        <f>X7*X9*p_tamano_deuda</f>
        <v/>
      </c>
      <c r="Y10" s="20">
        <f>Y7*Y9*p_tamano_deuda</f>
        <v/>
      </c>
      <c r="Z10" s="20">
        <f>Z7*Z9*p_tamano_deuda</f>
        <v/>
      </c>
      <c r="AA10" s="20">
        <f>AA7*AA9*p_tamano_deuda</f>
        <v/>
      </c>
      <c r="AB10" s="20">
        <f>AB7*AB9*p_tamano_deuda</f>
        <v/>
      </c>
      <c r="AC10" s="20">
        <f>AC7*AC9*p_tamano_deuda</f>
        <v/>
      </c>
      <c r="AD10" s="20">
        <f>AD7*AD9*p_tamano_deuda</f>
        <v/>
      </c>
      <c r="AE10" s="20">
        <f>AE7*AE9*p_tamano_deuda</f>
        <v/>
      </c>
      <c r="AF10" s="20">
        <f>AF7*AF9*p_tamano_deuda</f>
        <v/>
      </c>
      <c r="AG10" s="20">
        <f>AG7*AG9*p_tamano_deuda</f>
        <v/>
      </c>
      <c r="AH10" s="20">
        <f>AH7*AH9*p_tamano_deuda</f>
        <v/>
      </c>
      <c r="AI10" s="20">
        <f>AI7*AI9*p_tamano_deuda</f>
        <v/>
      </c>
      <c r="AJ10" s="20">
        <f>AJ7*AJ9*p_tamano_deuda</f>
        <v/>
      </c>
      <c r="AK10" s="20">
        <f>AK7*AK9*p_tamano_deuda</f>
        <v/>
      </c>
      <c r="AL10" s="20">
        <f>AL7*AL9*p_tamano_deuda</f>
        <v/>
      </c>
      <c r="AM10" s="20">
        <f>AM7*AM9*p_tamano_deuda</f>
        <v/>
      </c>
      <c r="AN10" s="20">
        <f>AN7*AN9*p_tamano_deuda</f>
        <v/>
      </c>
      <c r="AO10" s="20">
        <f>AO7*AO9*p_tamano_deuda</f>
        <v/>
      </c>
      <c r="AP10" s="20">
        <f>AP7*AP9*p_tamano_deuda</f>
        <v/>
      </c>
      <c r="AQ10" s="20">
        <f>AQ7*AQ9*p_tamano_deuda</f>
        <v/>
      </c>
      <c r="AR10" s="20">
        <f>AR7*AR9*p_tamano_deuda</f>
        <v/>
      </c>
      <c r="AS10" s="20">
        <f>AS7*AS9*p_tamano_deuda</f>
        <v/>
      </c>
      <c r="AT10" s="20">
        <f>AT7*AT9*p_tamano_deuda</f>
        <v/>
      </c>
      <c r="AU10" s="20">
        <f>AU7*AU9*p_tamano_deuda</f>
        <v/>
      </c>
      <c r="AV10" s="20">
        <f>AV7*AV9*p_tamano_deuda</f>
        <v/>
      </c>
      <c r="AW10" s="20">
        <f>AW7*AW9*p_tamano_deuda</f>
        <v/>
      </c>
      <c r="AX10" s="20">
        <f>AX7*AX9*p_tamano_deuda</f>
        <v/>
      </c>
      <c r="AY10" s="20">
        <f>AY7*AY9*p_tamano_deuda</f>
        <v/>
      </c>
      <c r="AZ10" s="20">
        <f>AZ7*AZ9*p_tamano_deuda</f>
        <v/>
      </c>
      <c r="BA10" s="20">
        <f>BA7*BA9*p_tamano_deuda</f>
        <v/>
      </c>
      <c r="BB10" s="20">
        <f>BB7*BB9*p_tamano_deuda</f>
        <v/>
      </c>
      <c r="BC10" s="20">
        <f>BC7*BC9*p_tamano_deuda</f>
        <v/>
      </c>
      <c r="BD10" s="20">
        <f>BD7*BD9*p_tamano_deuda</f>
        <v/>
      </c>
      <c r="BE10" s="20">
        <f>BE7*BE9*p_tamano_deuda</f>
        <v/>
      </c>
      <c r="BF10" s="20">
        <f>BF7*BF9*p_tamano_deuda</f>
        <v/>
      </c>
      <c r="BG10" s="20">
        <f>BG7*BG9*p_tamano_deuda</f>
        <v/>
      </c>
      <c r="BH10" s="20">
        <f>BH7*BH9*p_tamano_deuda</f>
        <v/>
      </c>
      <c r="BI10" s="20">
        <f>BI7*BI9*p_tamano_deuda</f>
        <v/>
      </c>
      <c r="BJ10" s="20">
        <f>BJ7*BJ9*p_tamano_deuda</f>
        <v/>
      </c>
      <c r="BK10" s="20">
        <f>BK7*BK9*p_tamano_deuda</f>
        <v/>
      </c>
      <c r="BL10" s="20">
        <f>BL7*BL9*p_tamano_deuda</f>
        <v/>
      </c>
      <c r="BM10" s="20">
        <f>BM7*BM9*p_tamano_deuda</f>
        <v/>
      </c>
      <c r="BN10" s="20">
        <f>BN7*BN9*p_tamano_deuda</f>
        <v/>
      </c>
      <c r="BO10" s="20">
        <f>BO7*BO9*p_tamano_deuda</f>
        <v/>
      </c>
      <c r="BP10" s="20">
        <f>BP7*BP9*p_tamano_deuda</f>
        <v/>
      </c>
      <c r="BQ10" s="20">
        <f>BQ7*BQ9*p_tamano_deuda</f>
        <v/>
      </c>
      <c r="BR10" s="20">
        <f>BR7*BR9*p_tamano_deuda</f>
        <v/>
      </c>
      <c r="BS10" s="20">
        <f>BS7*BS9*p_tamano_deuda</f>
        <v/>
      </c>
      <c r="BT10" s="20">
        <f>BT7*BT9*p_tamano_deuda</f>
        <v/>
      </c>
      <c r="BU10" s="20">
        <f>BU7*BU9*p_tamano_deuda</f>
        <v/>
      </c>
      <c r="BV10" s="20">
        <f>BV7*BV9*p_tamano_deuda</f>
        <v/>
      </c>
      <c r="BW10" s="20">
        <f>BW7*BW9*p_tamano_deuda</f>
        <v/>
      </c>
      <c r="BX10" s="20">
        <f>BX7*BX9*p_tamano_deuda</f>
        <v/>
      </c>
      <c r="BY10" s="20">
        <f>BY7*BY9*p_tamano_deuda</f>
        <v/>
      </c>
      <c r="BZ10" s="20">
        <f>BZ7*BZ9*p_tamano_deuda</f>
        <v/>
      </c>
      <c r="CA10" s="20">
        <f>CA7*CA9*p_tamano_deuda</f>
        <v/>
      </c>
      <c r="CB10" s="20">
        <f>CB7*CB9*p_tamano_deuda</f>
        <v/>
      </c>
      <c r="CC10" s="20">
        <f>CC7*CC9*p_tamano_deuda</f>
        <v/>
      </c>
      <c r="CD10" s="20">
        <f>CD7*CD9*p_tamano_deuda</f>
        <v/>
      </c>
      <c r="CE10" s="20">
        <f>CE7*CE9*p_tamano_deuda</f>
        <v/>
      </c>
      <c r="CF10" s="20">
        <f>CF7*CF9*p_tamano_deuda</f>
        <v/>
      </c>
      <c r="CG10" s="20">
        <f>CG7*CG9*p_tamano_deuda</f>
        <v/>
      </c>
      <c r="CH10" s="20">
        <f>CH7*CH9*p_tamano_deuda</f>
        <v/>
      </c>
      <c r="CI10" s="20">
        <f>CI7*CI9*p_tamano_deuda</f>
        <v/>
      </c>
      <c r="CJ10" s="20">
        <f>CJ7*CJ9*p_tamano_deuda</f>
        <v/>
      </c>
      <c r="CK10" s="20">
        <f>CK7*CK9*p_tamano_deuda</f>
        <v/>
      </c>
      <c r="CL10" s="20">
        <f>CL7*CL9*p_tamano_deuda</f>
        <v/>
      </c>
      <c r="CM10" s="20">
        <f>CM7*CM9*p_tamano_deuda</f>
        <v/>
      </c>
      <c r="CN10" s="20">
        <f>CN7*CN9*p_tamano_deuda</f>
        <v/>
      </c>
      <c r="CO10" s="20">
        <f>CO7*CO9*p_tamano_deuda</f>
        <v/>
      </c>
      <c r="CP10" s="20">
        <f>CP7*CP9*p_tamano_deuda</f>
        <v/>
      </c>
      <c r="CQ10" s="20">
        <f>CQ7*CQ9*p_tamano_deuda</f>
        <v/>
      </c>
      <c r="CR10" s="20">
        <f>CR7*CR9*p_tamano_deuda</f>
        <v/>
      </c>
      <c r="CS10" s="20">
        <f>CS7*CS9*p_tamano_deuda</f>
        <v/>
      </c>
      <c r="CT10" s="20">
        <f>CT7*CT9*p_tamano_deuda</f>
        <v/>
      </c>
      <c r="CU10" s="20">
        <f>CU7*CU9*p_tamano_deuda</f>
        <v/>
      </c>
      <c r="CV10" s="20">
        <f>CV7*CV9*p_tamano_deuda</f>
        <v/>
      </c>
      <c r="CW10" s="20">
        <f>CW7*CW9*p_tamano_deuda</f>
        <v/>
      </c>
      <c r="CX10" s="20">
        <f>CX7*CX9*p_tamano_deuda</f>
        <v/>
      </c>
      <c r="CY10" s="20">
        <f>CY7*CY9*p_tamano_deuda</f>
        <v/>
      </c>
      <c r="CZ10" s="20">
        <f>CZ7*CZ9*p_tamano_deuda</f>
        <v/>
      </c>
      <c r="DA10" s="20">
        <f>DA7*DA9*p_tamano_deuda</f>
        <v/>
      </c>
      <c r="DB10" s="20">
        <f>DB7*DB9*p_tamano_deuda</f>
        <v/>
      </c>
      <c r="DC10" s="20">
        <f>DC7*DC9*p_tamano_deuda</f>
        <v/>
      </c>
      <c r="DD10" s="20">
        <f>DD7*DD9*p_tamano_deuda</f>
        <v/>
      </c>
      <c r="DE10" s="20">
        <f>DE7*DE9*p_tamano_deuda</f>
        <v/>
      </c>
      <c r="DF10" s="20">
        <f>DF7*DF9*p_tamano_deuda</f>
        <v/>
      </c>
      <c r="DG10" s="20">
        <f>DG7*DG9*p_tamano_deuda</f>
        <v/>
      </c>
      <c r="DH10" s="20">
        <f>DH7*DH9*p_tamano_deuda</f>
        <v/>
      </c>
      <c r="DI10" s="20">
        <f>DI7*DI9*p_tamano_deuda</f>
        <v/>
      </c>
      <c r="DJ10" s="20">
        <f>DJ7*DJ9*p_tamano_deuda</f>
        <v/>
      </c>
      <c r="DK10" s="20">
        <f>DK7*DK9*p_tamano_deuda</f>
        <v/>
      </c>
      <c r="DL10" s="20">
        <f>DL7*DL9*p_tamano_deuda</f>
        <v/>
      </c>
      <c r="DM10" s="20">
        <f>DM7*DM9*p_tamano_deuda</f>
        <v/>
      </c>
      <c r="DN10" s="20">
        <f>DN7*DN9*p_tamano_deuda</f>
        <v/>
      </c>
      <c r="DO10" s="20">
        <f>DO7*DO9*p_tamano_deuda</f>
        <v/>
      </c>
      <c r="DP10" s="20">
        <f>DP7*DP9*p_tamano_deuda</f>
        <v/>
      </c>
      <c r="DQ10" s="20">
        <f>DQ7*DQ9*p_tamano_deuda</f>
        <v/>
      </c>
      <c r="DR10" s="20">
        <f>DR7*DR9*p_tamano_deuda</f>
        <v/>
      </c>
      <c r="DS10" s="20">
        <f>DS7*DS9*p_tamano_deuda</f>
        <v/>
      </c>
      <c r="DT10" s="20">
        <f>DT7*DT9*p_tamano_deuda</f>
        <v/>
      </c>
      <c r="DU10" s="20">
        <f>DU7*DU9*p_tamano_deuda</f>
        <v/>
      </c>
      <c r="DV10" s="20">
        <f>DV7*DV9*p_tamano_deuda</f>
        <v/>
      </c>
      <c r="DW10" s="20">
        <f>DW7*DW9*p_tamano_deuda</f>
        <v/>
      </c>
      <c r="DX10" s="20">
        <f>DX7*DX9*p_tamano_deuda</f>
        <v/>
      </c>
      <c r="DY10" s="20">
        <f>DY7*DY9*p_tamano_deuda</f>
        <v/>
      </c>
      <c r="DZ10" s="20">
        <f>DZ7*DZ9*p_tamano_deuda</f>
        <v/>
      </c>
      <c r="EA10" s="20">
        <f>EA7*EA9*p_tamano_deuda</f>
        <v/>
      </c>
      <c r="EB10" s="20">
        <f>EB7*EB9*p_tamano_deuda</f>
        <v/>
      </c>
      <c r="EC10" s="20">
        <f>EC7*EC9*p_tamano_deuda</f>
        <v/>
      </c>
      <c r="ED10" s="20">
        <f>ED7*ED9*p_tamano_deuda</f>
        <v/>
      </c>
      <c r="EE10" s="20">
        <f>EE7*EE9*p_tamano_deuda</f>
        <v/>
      </c>
      <c r="EF10" s="20">
        <f>EF7*EF9*p_tamano_deuda</f>
        <v/>
      </c>
      <c r="EG10" s="20">
        <f>EG7*EG9*p_tamano_deuda</f>
        <v/>
      </c>
      <c r="EH10" s="20">
        <f>EH7*EH9*p_tamano_deuda</f>
        <v/>
      </c>
      <c r="EI10" s="20">
        <f>EI7*EI9*p_tamano_deuda</f>
        <v/>
      </c>
      <c r="EJ10" s="20">
        <f>EJ7*EJ9*p_tamano_deuda</f>
        <v/>
      </c>
      <c r="EK10" s="20">
        <f>EK7*EK9*p_tamano_deuda</f>
        <v/>
      </c>
      <c r="EL10" s="20">
        <f>EL7*EL9*p_tamano_deuda</f>
        <v/>
      </c>
      <c r="EM10" s="20">
        <f>EM7*EM9*p_tamano_deuda</f>
        <v/>
      </c>
      <c r="EN10" s="20">
        <f>EN7*EN9*p_tamano_deuda</f>
        <v/>
      </c>
      <c r="EO10" s="20">
        <f>EO7*EO9*p_tamano_deuda</f>
        <v/>
      </c>
      <c r="EP10" s="20">
        <f>EP7*EP9*p_tamano_deuda</f>
        <v/>
      </c>
      <c r="EQ10" s="20">
        <f>EQ7*EQ9*p_tamano_deuda</f>
        <v/>
      </c>
      <c r="ER10" s="20">
        <f>ER7*ER9*p_tamano_deuda</f>
        <v/>
      </c>
      <c r="ES10" s="20">
        <f>ES7*ES9*p_tamano_deuda</f>
        <v/>
      </c>
      <c r="ET10" s="20">
        <f>ET7*ET9*p_tamano_deuda</f>
        <v/>
      </c>
      <c r="EU10" s="20">
        <f>EU7*EU9*p_tamano_deuda</f>
        <v/>
      </c>
      <c r="EV10" s="20">
        <f>EV7*EV9*p_tamano_deuda</f>
        <v/>
      </c>
      <c r="EW10" s="20">
        <f>EW7*EW9*p_tamano_deuda</f>
        <v/>
      </c>
      <c r="EX10" s="20">
        <f>EX7*EX9*p_tamano_deuda</f>
        <v/>
      </c>
      <c r="EY10" s="20">
        <f>EY7*EY9*p_tamano_deuda</f>
        <v/>
      </c>
      <c r="EZ10" s="20">
        <f>EZ7*EZ9*p_tamano_deuda</f>
        <v/>
      </c>
      <c r="FA10" s="20">
        <f>FA7*FA9*p_tamano_deuda</f>
        <v/>
      </c>
      <c r="FB10" s="20">
        <f>FB7*FB9*p_tamano_deuda</f>
        <v/>
      </c>
      <c r="FC10" s="20">
        <f>FC7*FC9*p_tamano_deuda</f>
        <v/>
      </c>
      <c r="FD10" s="20">
        <f>FD7*FD9*p_tamano_deuda</f>
        <v/>
      </c>
      <c r="FE10" s="20">
        <f>FE7*FE9*p_tamano_deuda</f>
        <v/>
      </c>
      <c r="FF10" s="20">
        <f>FF7*FF9*p_tamano_deuda</f>
        <v/>
      </c>
      <c r="FG10" s="20">
        <f>FG7*FG9*p_tamano_deuda</f>
        <v/>
      </c>
      <c r="FH10" s="20">
        <f>FH7*FH9*p_tamano_deuda</f>
        <v/>
      </c>
      <c r="FI10" s="20">
        <f>FI7*FI9*p_tamano_deuda</f>
        <v/>
      </c>
      <c r="FJ10" s="20">
        <f>FJ7*FJ9*p_tamano_deuda</f>
        <v/>
      </c>
      <c r="FK10" s="20">
        <f>FK7*FK9*p_tamano_deuda</f>
        <v/>
      </c>
      <c r="FL10" s="20">
        <f>FL7*FL9*p_tamano_deuda</f>
        <v/>
      </c>
      <c r="FM10" s="20">
        <f>FM7*FM9*p_tamano_deuda</f>
        <v/>
      </c>
      <c r="FN10" s="20">
        <f>FN7*FN9*p_tamano_deuda</f>
        <v/>
      </c>
      <c r="FO10" s="20">
        <f>FO7*FO9*p_tamano_deuda</f>
        <v/>
      </c>
      <c r="FP10" s="20">
        <f>FP7*FP9*p_tamano_deuda</f>
        <v/>
      </c>
      <c r="FQ10" s="20">
        <f>FQ7*FQ9*p_tamano_deuda</f>
        <v/>
      </c>
      <c r="FR10" s="20">
        <f>FR7*FR9*p_tamano_deuda</f>
        <v/>
      </c>
      <c r="FS10" s="20">
        <f>FS7*FS9*p_tamano_deuda</f>
        <v/>
      </c>
      <c r="FT10" s="20">
        <f>FT7*FT9*p_tamano_deuda</f>
        <v/>
      </c>
      <c r="FU10" s="20">
        <f>FU7*FU9*p_tamano_deuda</f>
        <v/>
      </c>
      <c r="FV10" s="20">
        <f>FV7*FV9*p_tamano_deuda</f>
        <v/>
      </c>
      <c r="FW10" s="20">
        <f>FW7*FW9*p_tamano_deuda</f>
        <v/>
      </c>
      <c r="FX10" s="20">
        <f>FX7*FX9*p_tamano_deuda</f>
        <v/>
      </c>
      <c r="FY10" s="20">
        <f>FY7*FY9*p_tamano_deuda</f>
        <v/>
      </c>
      <c r="FZ10" s="20">
        <f>FZ7*FZ9*p_tamano_deuda</f>
        <v/>
      </c>
      <c r="GA10" s="20">
        <f>GA7*GA9*p_tamano_deuda</f>
        <v/>
      </c>
      <c r="GB10" s="20">
        <f>GB7*GB9*p_tamano_deuda</f>
        <v/>
      </c>
      <c r="GC10" s="20">
        <f>GC7*GC9*p_tamano_deuda</f>
        <v/>
      </c>
      <c r="GD10" s="20">
        <f>GD7*GD9*p_tamano_deuda</f>
        <v/>
      </c>
      <c r="GE10" s="20">
        <f>GE7*GE9*p_tamano_deuda</f>
        <v/>
      </c>
      <c r="GF10" s="20">
        <f>GF7*GF9*p_tamano_deuda</f>
        <v/>
      </c>
      <c r="GG10" s="20">
        <f>GG7*GG9*p_tamano_deuda</f>
        <v/>
      </c>
      <c r="GH10" s="20">
        <f>GH7*GH9*p_tamano_deuda</f>
        <v/>
      </c>
      <c r="GI10" s="20">
        <f>GI7*GI9*p_tamano_deuda</f>
        <v/>
      </c>
      <c r="GJ10" s="20">
        <f>GJ7*GJ9*p_tamano_deuda</f>
        <v/>
      </c>
      <c r="GK10" s="20">
        <f>GK7*GK9*p_tamano_deuda</f>
        <v/>
      </c>
      <c r="GL10" s="20">
        <f>GL7*GL9*p_tamano_deuda</f>
        <v/>
      </c>
      <c r="GM10" s="20">
        <f>GM7*GM9*p_tamano_deuda</f>
        <v/>
      </c>
      <c r="GN10" s="20">
        <f>GN7*GN9*p_tamano_deuda</f>
        <v/>
      </c>
      <c r="GO10" s="20">
        <f>GO7*GO9*p_tamano_deuda</f>
        <v/>
      </c>
      <c r="GP10" s="20">
        <f>GP7*GP9*p_tamano_deuda</f>
        <v/>
      </c>
      <c r="GQ10" s="20">
        <f>GQ7*GQ9*p_tamano_deuda</f>
        <v/>
      </c>
      <c r="GR10" s="20">
        <f>GR7*GR9*p_tamano_deuda</f>
        <v/>
      </c>
      <c r="GS10" s="20">
        <f>GS7*GS9*p_tamano_deuda</f>
        <v/>
      </c>
      <c r="GT10" s="20">
        <f>GT7*GT9*p_tamano_deuda</f>
        <v/>
      </c>
      <c r="GU10" s="20">
        <f>GU7*GU9*p_tamano_deuda</f>
        <v/>
      </c>
      <c r="GV10" s="20">
        <f>GV7*GV9*p_tamano_deuda</f>
        <v/>
      </c>
      <c r="GW10" s="20">
        <f>GW7*GW9*p_tamano_deuda</f>
        <v/>
      </c>
      <c r="GX10" s="20">
        <f>GX7*GX9*p_tamano_deuda</f>
        <v/>
      </c>
      <c r="GY10" s="20">
        <f>GY7*GY9*p_tamano_deuda</f>
        <v/>
      </c>
      <c r="GZ10" s="20">
        <f>GZ7*GZ9*p_tamano_deuda</f>
        <v/>
      </c>
      <c r="HA10" s="20">
        <f>HA7*HA9*p_tamano_deuda</f>
        <v/>
      </c>
      <c r="HB10" s="20">
        <f>HB7*HB9*p_tamano_deuda</f>
        <v/>
      </c>
      <c r="HC10" s="20">
        <f>HC7*HC9*p_tamano_deuda</f>
        <v/>
      </c>
      <c r="HD10" s="20">
        <f>HD7*HD9*p_tamano_deuda</f>
        <v/>
      </c>
      <c r="HE10" s="20">
        <f>HE7*HE9*p_tamano_deuda</f>
        <v/>
      </c>
      <c r="HF10" s="20">
        <f>HF7*HF9*p_tamano_deuda</f>
        <v/>
      </c>
      <c r="HG10" s="20">
        <f>HG7*HG9*p_tamano_deuda</f>
        <v/>
      </c>
      <c r="HH10" s="20">
        <f>HH7*HH9*p_tamano_deuda</f>
        <v/>
      </c>
      <c r="HI10" s="20">
        <f>HI7*HI9*p_tamano_deuda</f>
        <v/>
      </c>
      <c r="HJ10" s="20">
        <f>HJ7*HJ9*p_tamano_deuda</f>
        <v/>
      </c>
      <c r="HK10" s="20">
        <f>HK7*HK9*p_tamano_deuda</f>
        <v/>
      </c>
      <c r="HL10" s="20">
        <f>HL7*HL9*p_tamano_deuda</f>
        <v/>
      </c>
      <c r="HM10" s="20">
        <f>HM7*HM9*p_tamano_deuda</f>
        <v/>
      </c>
      <c r="HN10" s="20">
        <f>HN7*HN9*p_tamano_deuda</f>
        <v/>
      </c>
      <c r="HO10" s="20">
        <f>HO7*HO9*p_tamano_deuda</f>
        <v/>
      </c>
      <c r="HP10" s="20">
        <f>HP7*HP9*p_tamano_deuda</f>
        <v/>
      </c>
      <c r="HQ10" s="20">
        <f>HQ7*HQ9*p_tamano_deuda</f>
        <v/>
      </c>
      <c r="HR10" s="20">
        <f>HR7*HR9*p_tamano_deuda</f>
        <v/>
      </c>
      <c r="HS10" s="20">
        <f>HS7*HS9*p_tamano_deuda</f>
        <v/>
      </c>
      <c r="HT10" s="20">
        <f>HT7*HT9*p_tamano_deuda</f>
        <v/>
      </c>
      <c r="HU10" s="20">
        <f>HU7*HU9*p_tamano_deuda</f>
        <v/>
      </c>
      <c r="HV10" s="20">
        <f>HV7*HV9*p_tamano_deuda</f>
        <v/>
      </c>
      <c r="HW10" s="20">
        <f>HW7*HW9*p_tamano_deuda</f>
        <v/>
      </c>
      <c r="HX10" s="20">
        <f>HX7*HX9*p_tamano_deuda</f>
        <v/>
      </c>
      <c r="HY10" s="20">
        <f>HY7*HY9*p_tamano_deuda</f>
        <v/>
      </c>
      <c r="HZ10" s="20">
        <f>HZ7*HZ9*p_tamano_deuda</f>
        <v/>
      </c>
      <c r="IA10" s="20">
        <f>IA7*IA9*p_tamano_deuda</f>
        <v/>
      </c>
      <c r="IB10" s="20">
        <f>IB7*IB9*p_tamano_deuda</f>
        <v/>
      </c>
      <c r="IC10" s="20">
        <f>IC7*IC9*p_tamano_deuda</f>
        <v/>
      </c>
      <c r="ID10" s="20">
        <f>ID7*ID9*p_tamano_deuda</f>
        <v/>
      </c>
      <c r="IE10" s="20">
        <f>IE7*IE9*p_tamano_deuda</f>
        <v/>
      </c>
      <c r="IF10" s="20">
        <f>IF7*IF9*p_tamano_deuda</f>
        <v/>
      </c>
      <c r="IG10" s="20">
        <f>IG7*IG9*p_tamano_deuda</f>
        <v/>
      </c>
      <c r="IH10" s="20">
        <f>IH7*IH9*p_tamano_deuda</f>
        <v/>
      </c>
      <c r="II10" s="20">
        <f>II7*II9*p_tamano_deuda</f>
        <v/>
      </c>
      <c r="IJ10" s="20">
        <f>IJ7*IJ9*p_tamano_deuda</f>
        <v/>
      </c>
      <c r="IK10" s="20">
        <f>IK7*IK9*p_tamano_deuda</f>
        <v/>
      </c>
      <c r="IL10" s="20">
        <f>IL7*IL9*p_tamano_deuda</f>
        <v/>
      </c>
      <c r="IM10" s="20">
        <f>IM7*IM9*p_tamano_deuda</f>
        <v/>
      </c>
      <c r="IN10" s="20">
        <f>IN7*IN9*p_tamano_deuda</f>
        <v/>
      </c>
      <c r="IO10" s="20">
        <f>IO7*IO9*p_tamano_deuda</f>
        <v/>
      </c>
      <c r="IP10" s="20">
        <f>IP7*IP9*p_tamano_deuda</f>
        <v/>
      </c>
      <c r="IQ10" s="20">
        <f>IQ7*IQ9*p_tamano_deuda</f>
        <v/>
      </c>
      <c r="IR10" s="20">
        <f>IR7*IR9*p_tamano_deuda</f>
        <v/>
      </c>
      <c r="IS10" s="20">
        <f>IS7*IS9*p_tamano_deuda</f>
        <v/>
      </c>
      <c r="IT10" s="20">
        <f>IT7*IT9*p_tamano_deuda</f>
        <v/>
      </c>
      <c r="IU10" s="20">
        <f>IU7*IU9*p_tamano_deuda</f>
        <v/>
      </c>
      <c r="IV10" s="20">
        <f>IV7*IV9*p_tamano_deuda</f>
        <v/>
      </c>
      <c r="IW10" s="20">
        <f>IW7*IW9*p_tamano_deuda</f>
        <v/>
      </c>
      <c r="IX10" s="20">
        <f>IX7*IX9*p_tamano_deuda</f>
        <v/>
      </c>
      <c r="IY10" s="20">
        <f>IY7*IY9*p_tamano_deuda</f>
        <v/>
      </c>
      <c r="IZ10" s="20">
        <f>IZ7*IZ9*p_tamano_deuda</f>
        <v/>
      </c>
      <c r="JA10" s="20">
        <f>JA7*JA9*p_tamano_deuda</f>
        <v/>
      </c>
      <c r="JB10" s="20">
        <f>JB7*JB9*p_tamano_deuda</f>
        <v/>
      </c>
      <c r="JC10" s="20">
        <f>JC7*JC9*p_tamano_deuda</f>
        <v/>
      </c>
      <c r="JD10" s="20">
        <f>JD7*JD9*p_tamano_deuda</f>
        <v/>
      </c>
      <c r="JE10" s="20">
        <f>JE7*JE9*p_tamano_deuda</f>
        <v/>
      </c>
      <c r="JF10" s="20">
        <f>JF7*JF9*p_tamano_deuda</f>
        <v/>
      </c>
      <c r="JG10" s="20">
        <f>JG7*JG9*p_tamano_deuda</f>
        <v/>
      </c>
      <c r="JH10" s="20">
        <f>JH7*JH9*p_tamano_deuda</f>
        <v/>
      </c>
      <c r="JI10" s="20">
        <f>JI7*JI9*p_tamano_deuda</f>
        <v/>
      </c>
      <c r="JJ10" s="20">
        <f>JJ7*JJ9*p_tamano_deuda</f>
        <v/>
      </c>
      <c r="JK10" s="20">
        <f>JK7*JK9*p_tamano_deuda</f>
        <v/>
      </c>
      <c r="JL10" s="20">
        <f>JL7*JL9*p_tamano_deuda</f>
        <v/>
      </c>
      <c r="JM10" s="20">
        <f>JM7*JM9*p_tamano_deuda</f>
        <v/>
      </c>
      <c r="JN10" s="20">
        <f>JN7*JN9*p_tamano_deuda</f>
        <v/>
      </c>
      <c r="JO10" s="20">
        <f>JO7*JO9*p_tamano_deuda</f>
        <v/>
      </c>
      <c r="JP10" s="20">
        <f>JP7*JP9*p_tamano_deuda</f>
        <v/>
      </c>
      <c r="JQ10" s="20">
        <f>JQ7*JQ9*p_tamano_deuda</f>
        <v/>
      </c>
      <c r="JR10" s="20">
        <f>JR7*JR9*p_tamano_deuda</f>
        <v/>
      </c>
      <c r="JS10" s="20">
        <f>JS7*JS9*p_tamano_deuda</f>
        <v/>
      </c>
      <c r="JT10" s="20">
        <f>JT7*JT9*p_tamano_deuda</f>
        <v/>
      </c>
      <c r="JU10" s="20">
        <f>JU7*JU9*p_tamano_deuda</f>
        <v/>
      </c>
      <c r="JV10" s="20">
        <f>JV7*JV9*p_tamano_deuda</f>
        <v/>
      </c>
      <c r="JW10" s="20">
        <f>JW7*JW9*p_tamano_deuda</f>
        <v/>
      </c>
      <c r="JX10" s="20">
        <f>JX7*JX9*p_tamano_deuda</f>
        <v/>
      </c>
      <c r="JY10" s="20">
        <f>JY7*JY9*p_tamano_deuda</f>
        <v/>
      </c>
      <c r="JZ10" s="20">
        <f>JZ7*JZ9*p_tamano_deuda</f>
        <v/>
      </c>
      <c r="KA10" s="20">
        <f>KA7*KA9*p_tamano_deuda</f>
        <v/>
      </c>
      <c r="KB10" s="20">
        <f>KB7*KB9*p_tamano_deuda</f>
        <v/>
      </c>
      <c r="KC10" s="20">
        <f>KC7*KC9*p_tamano_deuda</f>
        <v/>
      </c>
      <c r="KD10" s="20">
        <f>KD7*KD9*p_tamano_deuda</f>
        <v/>
      </c>
      <c r="KE10" s="20">
        <f>KE7*KE9*p_tamano_deuda</f>
        <v/>
      </c>
      <c r="KF10" s="20">
        <f>KF7*KF9*p_tamano_deuda</f>
        <v/>
      </c>
      <c r="KG10" s="20">
        <f>KG7*KG9*p_tamano_deuda</f>
        <v/>
      </c>
      <c r="KH10" s="20">
        <f>KH7*KH9*p_tamano_deuda</f>
        <v/>
      </c>
      <c r="KI10" s="20">
        <f>KI7*KI9*p_tamano_deuda</f>
        <v/>
      </c>
      <c r="KJ10" s="20">
        <f>KJ7*KJ9*p_tamano_deuda</f>
        <v/>
      </c>
      <c r="KK10" s="20">
        <f>KK7*KK9*p_tamano_deuda</f>
        <v/>
      </c>
      <c r="KL10" s="20">
        <f>KL7*KL9*p_tamano_deuda</f>
        <v/>
      </c>
      <c r="KM10" s="20">
        <f>KM7*KM9*p_tamano_deuda</f>
        <v/>
      </c>
      <c r="KN10" s="20">
        <f>KN7*KN9*p_tamano_deuda</f>
        <v/>
      </c>
      <c r="KO10" s="20">
        <f>KO7*KO9*p_tamano_deuda</f>
        <v/>
      </c>
      <c r="KP10" s="20">
        <f>KP7*KP9*p_tamano_deuda</f>
        <v/>
      </c>
      <c r="KQ10" s="20">
        <f>KQ7*KQ9*p_tamano_deuda</f>
        <v/>
      </c>
      <c r="KR10" s="20">
        <f>KR7*KR9*p_tamano_deuda</f>
        <v/>
      </c>
      <c r="KS10" s="20">
        <f>KS7*KS9*p_tamano_deuda</f>
        <v/>
      </c>
      <c r="KT10" s="20">
        <f>KT7*KT9*p_tamano_deuda</f>
        <v/>
      </c>
      <c r="KU10" s="20">
        <f>KU7*KU9*p_tamano_deuda</f>
        <v/>
      </c>
      <c r="KV10" s="20">
        <f>KV7*KV9*p_tamano_deuda</f>
        <v/>
      </c>
      <c r="KW10" s="20">
        <f>KW7*KW9*p_tamano_deuda</f>
        <v/>
      </c>
      <c r="KX10" s="20">
        <f>KX7*KX9*p_tamano_deuda</f>
        <v/>
      </c>
      <c r="KY10" s="20">
        <f>KY7*KY9*p_tamano_deuda</f>
        <v/>
      </c>
      <c r="KZ10" s="20">
        <f>KZ7*KZ9*p_tamano_deuda</f>
        <v/>
      </c>
      <c r="LA10" s="20">
        <f>LA7*LA9*p_tamano_deuda</f>
        <v/>
      </c>
      <c r="LB10" s="20">
        <f>LB7*LB9*p_tamano_deuda</f>
        <v/>
      </c>
      <c r="LC10" s="20">
        <f>LC7*LC9*p_tamano_deuda</f>
        <v/>
      </c>
      <c r="LD10" s="20">
        <f>LD7*LD9*p_tamano_deuda</f>
        <v/>
      </c>
      <c r="LE10" s="20">
        <f>LE7*LE9*p_tamano_deuda</f>
        <v/>
      </c>
      <c r="LF10" s="20">
        <f>LF7*LF9*p_tamano_deuda</f>
        <v/>
      </c>
      <c r="LG10" s="20">
        <f>LG7*LG9*p_tamano_deuda</f>
        <v/>
      </c>
      <c r="LH10" s="20">
        <f>LH7*LH9*p_tamano_deuda</f>
        <v/>
      </c>
      <c r="LI10" s="20">
        <f>LI7*LI9*p_tamano_deuda</f>
        <v/>
      </c>
    </row>
    <row r="11">
      <c r="B11" s="18" t="inlineStr">
        <is>
          <t>Tasa mensual</t>
        </is>
      </c>
      <c r="D11" s="21">
        <f>(1+p_kd)^(1/12)-1</f>
        <v/>
      </c>
    </row>
    <row r="12">
      <c r="B12" s="18" t="inlineStr">
        <is>
          <t>Saldo de obra capitalizado (base de la cuota)</t>
        </is>
      </c>
      <c r="D12" s="20">
        <f>0*(1+$D$11)+D10</f>
        <v/>
      </c>
      <c r="E12" s="20">
        <f>D12*(1+$D$11)+E10</f>
        <v/>
      </c>
      <c r="F12" s="20">
        <f>E12*(1+$D$11)+F10</f>
        <v/>
      </c>
      <c r="G12" s="20">
        <f>F12*(1+$D$11)+G10</f>
        <v/>
      </c>
      <c r="H12" s="20">
        <f>G12*(1+$D$11)+H10</f>
        <v/>
      </c>
      <c r="I12" s="20">
        <f>H12*(1+$D$11)+I10</f>
        <v/>
      </c>
      <c r="J12" s="20">
        <f>I12*(1+$D$11)+J10</f>
        <v/>
      </c>
      <c r="K12" s="20">
        <f>J12*(1+$D$11)+K10</f>
        <v/>
      </c>
      <c r="L12" s="20">
        <f>K12*(1+$D$11)+L10</f>
        <v/>
      </c>
      <c r="M12" s="20">
        <f>L12*(1+$D$11)+M10</f>
        <v/>
      </c>
      <c r="N12" s="20">
        <f>M12*(1+$D$11)+N10</f>
        <v/>
      </c>
      <c r="O12" s="20">
        <f>N12*(1+$D$11)+O10</f>
        <v/>
      </c>
      <c r="P12" s="20">
        <f>O12*(1+$D$11)+P10</f>
        <v/>
      </c>
      <c r="Q12" s="20">
        <f>P12*(1+$D$11)+Q10</f>
        <v/>
      </c>
      <c r="R12" s="20">
        <f>Q12*(1+$D$11)+R10</f>
        <v/>
      </c>
      <c r="S12" s="20">
        <f>R12*(1+$D$11)+S10</f>
        <v/>
      </c>
      <c r="T12" s="20">
        <f>S12*(1+$D$11)+T10</f>
        <v/>
      </c>
      <c r="U12" s="20">
        <f>T12*(1+$D$11)+U10</f>
        <v/>
      </c>
      <c r="V12" s="20">
        <f>U12*(1+$D$11)+V10</f>
        <v/>
      </c>
      <c r="W12" s="20">
        <f>V12*(1+$D$11)+W10</f>
        <v/>
      </c>
      <c r="X12" s="20">
        <f>W12*(1+$D$11)+X10</f>
        <v/>
      </c>
      <c r="Y12" s="20">
        <f>X12*(1+$D$11)+Y10</f>
        <v/>
      </c>
      <c r="Z12" s="20">
        <f>Y12*(1+$D$11)+Z10</f>
        <v/>
      </c>
      <c r="AA12" s="20">
        <f>Z12*(1+$D$11)+AA10</f>
        <v/>
      </c>
      <c r="AB12" s="20">
        <f>AA12*(1+$D$11)+AB10</f>
        <v/>
      </c>
      <c r="AC12" s="20">
        <f>AB12*(1+$D$11)+AC10</f>
        <v/>
      </c>
      <c r="AD12" s="20">
        <f>AC12*(1+$D$11)+AD10</f>
        <v/>
      </c>
      <c r="AE12" s="20">
        <f>AD12*(1+$D$11)+AE10</f>
        <v/>
      </c>
      <c r="AF12" s="20">
        <f>AE12*(1+$D$11)+AF10</f>
        <v/>
      </c>
      <c r="AG12" s="20">
        <f>AF12*(1+$D$11)+AG10</f>
        <v/>
      </c>
      <c r="AH12" s="20">
        <f>AG12*(1+$D$11)+AH10</f>
        <v/>
      </c>
      <c r="AI12" s="20">
        <f>AH12*(1+$D$11)+AI10</f>
        <v/>
      </c>
      <c r="AJ12" s="20">
        <f>AI12*(1+$D$11)+AJ10</f>
        <v/>
      </c>
      <c r="AK12" s="20">
        <f>AJ12*(1+$D$11)+AK10</f>
        <v/>
      </c>
      <c r="AL12" s="20">
        <f>AK12*(1+$D$11)+AL10</f>
        <v/>
      </c>
      <c r="AM12" s="20">
        <f>AL12*(1+$D$11)+AM10</f>
        <v/>
      </c>
      <c r="AN12" s="20">
        <f>AM12*(1+$D$11)+AN10</f>
        <v/>
      </c>
      <c r="AO12" s="20">
        <f>AN12*(1+$D$11)+AO10</f>
        <v/>
      </c>
      <c r="AP12" s="20">
        <f>AO12*(1+$D$11)+AP10</f>
        <v/>
      </c>
      <c r="AQ12" s="20">
        <f>AP12*(1+$D$11)+AQ10</f>
        <v/>
      </c>
      <c r="AR12" s="20">
        <f>AQ12*(1+$D$11)+AR10</f>
        <v/>
      </c>
      <c r="AS12" s="20">
        <f>AR12*(1+$D$11)+AS10</f>
        <v/>
      </c>
      <c r="AT12" s="20">
        <f>AS12*(1+$D$11)+AT10</f>
        <v/>
      </c>
      <c r="AU12" s="20">
        <f>AT12*(1+$D$11)+AU10</f>
        <v/>
      </c>
      <c r="AV12" s="20">
        <f>AU12*(1+$D$11)+AV10</f>
        <v/>
      </c>
      <c r="AW12" s="20">
        <f>AV12*(1+$D$11)+AW10</f>
        <v/>
      </c>
      <c r="AX12" s="20">
        <f>AW12*(1+$D$11)+AX10</f>
        <v/>
      </c>
      <c r="AY12" s="20">
        <f>AX12*(1+$D$11)+AY10</f>
        <v/>
      </c>
      <c r="AZ12" s="20" t="n">
        <v>0</v>
      </c>
      <c r="BA12" s="20" t="n">
        <v>0</v>
      </c>
      <c r="BB12" s="20" t="n">
        <v>0</v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0</v>
      </c>
      <c r="BM12" s="20" t="n">
        <v>0</v>
      </c>
      <c r="BN12" s="20" t="n">
        <v>0</v>
      </c>
      <c r="BO12" s="20" t="n">
        <v>0</v>
      </c>
      <c r="BP12" s="20" t="n">
        <v>0</v>
      </c>
      <c r="BQ12" s="20" t="n">
        <v>0</v>
      </c>
      <c r="BR12" s="20" t="n">
        <v>0</v>
      </c>
      <c r="BS12" s="20" t="n">
        <v>0</v>
      </c>
      <c r="BT12" s="20" t="n">
        <v>0</v>
      </c>
      <c r="BU12" s="20" t="n">
        <v>0</v>
      </c>
      <c r="BV12" s="20" t="n">
        <v>0</v>
      </c>
      <c r="BW12" s="20" t="n">
        <v>0</v>
      </c>
      <c r="BX12" s="20" t="n">
        <v>0</v>
      </c>
      <c r="BY12" s="20" t="n">
        <v>0</v>
      </c>
      <c r="BZ12" s="20" t="n">
        <v>0</v>
      </c>
      <c r="CA12" s="20" t="n">
        <v>0</v>
      </c>
      <c r="CB12" s="20" t="n">
        <v>0</v>
      </c>
      <c r="CC12" s="20" t="n">
        <v>0</v>
      </c>
      <c r="CD12" s="20" t="n">
        <v>0</v>
      </c>
      <c r="CE12" s="20" t="n">
        <v>0</v>
      </c>
      <c r="CF12" s="20" t="n">
        <v>0</v>
      </c>
      <c r="CG12" s="20" t="n">
        <v>0</v>
      </c>
      <c r="CH12" s="20" t="n">
        <v>0</v>
      </c>
      <c r="CI12" s="20" t="n">
        <v>0</v>
      </c>
      <c r="CJ12" s="20" t="n">
        <v>0</v>
      </c>
      <c r="CK12" s="20" t="n">
        <v>0</v>
      </c>
      <c r="CL12" s="20" t="n">
        <v>0</v>
      </c>
      <c r="CM12" s="20" t="n">
        <v>0</v>
      </c>
      <c r="CN12" s="20" t="n">
        <v>0</v>
      </c>
      <c r="CO12" s="20" t="n">
        <v>0</v>
      </c>
      <c r="CP12" s="20" t="n">
        <v>0</v>
      </c>
      <c r="CQ12" s="20" t="n">
        <v>0</v>
      </c>
      <c r="CR12" s="20" t="n">
        <v>0</v>
      </c>
      <c r="CS12" s="20" t="n">
        <v>0</v>
      </c>
      <c r="CT12" s="20" t="n">
        <v>0</v>
      </c>
      <c r="CU12" s="20" t="n">
        <v>0</v>
      </c>
      <c r="CV12" s="20" t="n">
        <v>0</v>
      </c>
      <c r="CW12" s="20" t="n">
        <v>0</v>
      </c>
      <c r="CX12" s="20" t="n">
        <v>0</v>
      </c>
      <c r="CY12" s="20" t="n">
        <v>0</v>
      </c>
      <c r="CZ12" s="20" t="n">
        <v>0</v>
      </c>
      <c r="DA12" s="20" t="n">
        <v>0</v>
      </c>
      <c r="DB12" s="20" t="n">
        <v>0</v>
      </c>
      <c r="DC12" s="20" t="n">
        <v>0</v>
      </c>
      <c r="DD12" s="20" t="n">
        <v>0</v>
      </c>
      <c r="DE12" s="20" t="n">
        <v>0</v>
      </c>
      <c r="DF12" s="20" t="n">
        <v>0</v>
      </c>
      <c r="DG12" s="20" t="n">
        <v>0</v>
      </c>
      <c r="DH12" s="20" t="n">
        <v>0</v>
      </c>
      <c r="DI12" s="20" t="n">
        <v>0</v>
      </c>
      <c r="DJ12" s="20" t="n">
        <v>0</v>
      </c>
      <c r="DK12" s="20" t="n">
        <v>0</v>
      </c>
      <c r="DL12" s="20" t="n">
        <v>0</v>
      </c>
      <c r="DM12" s="20" t="n">
        <v>0</v>
      </c>
      <c r="DN12" s="20" t="n">
        <v>0</v>
      </c>
      <c r="DO12" s="20" t="n">
        <v>0</v>
      </c>
      <c r="DP12" s="20" t="n">
        <v>0</v>
      </c>
      <c r="DQ12" s="20" t="n">
        <v>0</v>
      </c>
      <c r="DR12" s="20" t="n">
        <v>0</v>
      </c>
      <c r="DS12" s="20" t="n">
        <v>0</v>
      </c>
      <c r="DT12" s="20" t="n">
        <v>0</v>
      </c>
      <c r="DU12" s="20" t="n">
        <v>0</v>
      </c>
      <c r="DV12" s="20" t="n">
        <v>0</v>
      </c>
      <c r="DW12" s="20" t="n">
        <v>0</v>
      </c>
      <c r="DX12" s="20" t="n">
        <v>0</v>
      </c>
      <c r="DY12" s="20" t="n">
        <v>0</v>
      </c>
      <c r="DZ12" s="20" t="n">
        <v>0</v>
      </c>
      <c r="EA12" s="20" t="n">
        <v>0</v>
      </c>
      <c r="EB12" s="20" t="n">
        <v>0</v>
      </c>
      <c r="EC12" s="20" t="n">
        <v>0</v>
      </c>
      <c r="ED12" s="20" t="n">
        <v>0</v>
      </c>
      <c r="EE12" s="20" t="n">
        <v>0</v>
      </c>
      <c r="EF12" s="20" t="n">
        <v>0</v>
      </c>
      <c r="EG12" s="20" t="n">
        <v>0</v>
      </c>
      <c r="EH12" s="20" t="n">
        <v>0</v>
      </c>
      <c r="EI12" s="20" t="n">
        <v>0</v>
      </c>
      <c r="EJ12" s="20" t="n">
        <v>0</v>
      </c>
      <c r="EK12" s="20" t="n">
        <v>0</v>
      </c>
      <c r="EL12" s="20" t="n">
        <v>0</v>
      </c>
      <c r="EM12" s="20" t="n">
        <v>0</v>
      </c>
      <c r="EN12" s="20" t="n">
        <v>0</v>
      </c>
      <c r="EO12" s="20" t="n">
        <v>0</v>
      </c>
      <c r="EP12" s="20" t="n">
        <v>0</v>
      </c>
      <c r="EQ12" s="20" t="n">
        <v>0</v>
      </c>
      <c r="ER12" s="20" t="n">
        <v>0</v>
      </c>
      <c r="ES12" s="20" t="n">
        <v>0</v>
      </c>
      <c r="ET12" s="20" t="n">
        <v>0</v>
      </c>
      <c r="EU12" s="20" t="n">
        <v>0</v>
      </c>
      <c r="EV12" s="20" t="n">
        <v>0</v>
      </c>
      <c r="EW12" s="20" t="n">
        <v>0</v>
      </c>
      <c r="EX12" s="20" t="n">
        <v>0</v>
      </c>
      <c r="EY12" s="20" t="n">
        <v>0</v>
      </c>
      <c r="EZ12" s="20" t="n">
        <v>0</v>
      </c>
      <c r="FA12" s="20" t="n">
        <v>0</v>
      </c>
      <c r="FB12" s="20" t="n">
        <v>0</v>
      </c>
      <c r="FC12" s="20" t="n">
        <v>0</v>
      </c>
      <c r="FD12" s="20" t="n">
        <v>0</v>
      </c>
      <c r="FE12" s="20" t="n">
        <v>0</v>
      </c>
      <c r="FF12" s="20" t="n">
        <v>0</v>
      </c>
      <c r="FG12" s="20" t="n">
        <v>0</v>
      </c>
      <c r="FH12" s="20" t="n">
        <v>0</v>
      </c>
      <c r="FI12" s="20" t="n">
        <v>0</v>
      </c>
      <c r="FJ12" s="20" t="n">
        <v>0</v>
      </c>
      <c r="FK12" s="20" t="n">
        <v>0</v>
      </c>
      <c r="FL12" s="20" t="n">
        <v>0</v>
      </c>
      <c r="FM12" s="20" t="n">
        <v>0</v>
      </c>
      <c r="FN12" s="20" t="n">
        <v>0</v>
      </c>
      <c r="FO12" s="20" t="n">
        <v>0</v>
      </c>
      <c r="FP12" s="20" t="n">
        <v>0</v>
      </c>
      <c r="FQ12" s="20" t="n">
        <v>0</v>
      </c>
      <c r="FR12" s="20" t="n">
        <v>0</v>
      </c>
      <c r="FS12" s="20" t="n">
        <v>0</v>
      </c>
      <c r="FT12" s="20" t="n">
        <v>0</v>
      </c>
      <c r="FU12" s="20" t="n">
        <v>0</v>
      </c>
      <c r="FV12" s="20" t="n">
        <v>0</v>
      </c>
      <c r="FW12" s="20" t="n">
        <v>0</v>
      </c>
      <c r="FX12" s="20" t="n">
        <v>0</v>
      </c>
      <c r="FY12" s="20" t="n">
        <v>0</v>
      </c>
      <c r="FZ12" s="20" t="n">
        <v>0</v>
      </c>
      <c r="GA12" s="20" t="n">
        <v>0</v>
      </c>
      <c r="GB12" s="20" t="n">
        <v>0</v>
      </c>
      <c r="GC12" s="20" t="n">
        <v>0</v>
      </c>
      <c r="GD12" s="20" t="n">
        <v>0</v>
      </c>
      <c r="GE12" s="20" t="n">
        <v>0</v>
      </c>
      <c r="GF12" s="20" t="n">
        <v>0</v>
      </c>
      <c r="GG12" s="20" t="n">
        <v>0</v>
      </c>
      <c r="GH12" s="20" t="n">
        <v>0</v>
      </c>
      <c r="GI12" s="20" t="n">
        <v>0</v>
      </c>
      <c r="GJ12" s="20" t="n">
        <v>0</v>
      </c>
      <c r="GK12" s="20" t="n">
        <v>0</v>
      </c>
      <c r="GL12" s="20" t="n">
        <v>0</v>
      </c>
      <c r="GM12" s="20" t="n">
        <v>0</v>
      </c>
      <c r="GN12" s="20" t="n">
        <v>0</v>
      </c>
      <c r="GO12" s="20" t="n">
        <v>0</v>
      </c>
      <c r="GP12" s="20" t="n">
        <v>0</v>
      </c>
      <c r="GQ12" s="20" t="n">
        <v>0</v>
      </c>
      <c r="GR12" s="20" t="n">
        <v>0</v>
      </c>
      <c r="GS12" s="20" t="n">
        <v>0</v>
      </c>
      <c r="GT12" s="20" t="n">
        <v>0</v>
      </c>
      <c r="GU12" s="20" t="n">
        <v>0</v>
      </c>
      <c r="GV12" s="20" t="n">
        <v>0</v>
      </c>
      <c r="GW12" s="20" t="n">
        <v>0</v>
      </c>
      <c r="GX12" s="20" t="n">
        <v>0</v>
      </c>
      <c r="GY12" s="20" t="n">
        <v>0</v>
      </c>
      <c r="GZ12" s="20" t="n">
        <v>0</v>
      </c>
      <c r="HA12" s="20" t="n">
        <v>0</v>
      </c>
      <c r="HB12" s="20" t="n">
        <v>0</v>
      </c>
      <c r="HC12" s="20" t="n">
        <v>0</v>
      </c>
      <c r="HD12" s="20" t="n">
        <v>0</v>
      </c>
      <c r="HE12" s="20" t="n">
        <v>0</v>
      </c>
      <c r="HF12" s="20" t="n">
        <v>0</v>
      </c>
      <c r="HG12" s="20" t="n">
        <v>0</v>
      </c>
      <c r="HH12" s="20" t="n">
        <v>0</v>
      </c>
      <c r="HI12" s="20" t="n">
        <v>0</v>
      </c>
      <c r="HJ12" s="20" t="n">
        <v>0</v>
      </c>
      <c r="HK12" s="20" t="n">
        <v>0</v>
      </c>
      <c r="HL12" s="20" t="n">
        <v>0</v>
      </c>
      <c r="HM12" s="20" t="n">
        <v>0</v>
      </c>
      <c r="HN12" s="20" t="n">
        <v>0</v>
      </c>
      <c r="HO12" s="20" t="n">
        <v>0</v>
      </c>
      <c r="HP12" s="20" t="n">
        <v>0</v>
      </c>
      <c r="HQ12" s="20" t="n">
        <v>0</v>
      </c>
      <c r="HR12" s="20" t="n">
        <v>0</v>
      </c>
      <c r="HS12" s="20" t="n">
        <v>0</v>
      </c>
      <c r="HT12" s="20" t="n">
        <v>0</v>
      </c>
      <c r="HU12" s="20" t="n">
        <v>0</v>
      </c>
      <c r="HV12" s="20" t="n">
        <v>0</v>
      </c>
      <c r="HW12" s="20" t="n">
        <v>0</v>
      </c>
      <c r="HX12" s="20" t="n">
        <v>0</v>
      </c>
      <c r="HY12" s="20" t="n">
        <v>0</v>
      </c>
      <c r="HZ12" s="20" t="n">
        <v>0</v>
      </c>
      <c r="IA12" s="20" t="n">
        <v>0</v>
      </c>
      <c r="IB12" s="20" t="n">
        <v>0</v>
      </c>
      <c r="IC12" s="20" t="n">
        <v>0</v>
      </c>
      <c r="ID12" s="20" t="n">
        <v>0</v>
      </c>
      <c r="IE12" s="20" t="n">
        <v>0</v>
      </c>
      <c r="IF12" s="20" t="n">
        <v>0</v>
      </c>
      <c r="IG12" s="20" t="n">
        <v>0</v>
      </c>
      <c r="IH12" s="20" t="n">
        <v>0</v>
      </c>
      <c r="II12" s="20" t="n">
        <v>0</v>
      </c>
      <c r="IJ12" s="20" t="n">
        <v>0</v>
      </c>
      <c r="IK12" s="20" t="n">
        <v>0</v>
      </c>
      <c r="IL12" s="20" t="n">
        <v>0</v>
      </c>
      <c r="IM12" s="20" t="n">
        <v>0</v>
      </c>
      <c r="IN12" s="20" t="n">
        <v>0</v>
      </c>
      <c r="IO12" s="20" t="n">
        <v>0</v>
      </c>
      <c r="IP12" s="20" t="n">
        <v>0</v>
      </c>
      <c r="IQ12" s="20" t="n">
        <v>0</v>
      </c>
      <c r="IR12" s="20" t="n">
        <v>0</v>
      </c>
      <c r="IS12" s="20" t="n">
        <v>0</v>
      </c>
      <c r="IT12" s="20" t="n">
        <v>0</v>
      </c>
      <c r="IU12" s="20" t="n">
        <v>0</v>
      </c>
      <c r="IV12" s="20" t="n">
        <v>0</v>
      </c>
      <c r="IW12" s="20" t="n">
        <v>0</v>
      </c>
      <c r="IX12" s="20" t="n">
        <v>0</v>
      </c>
      <c r="IY12" s="20" t="n">
        <v>0</v>
      </c>
      <c r="IZ12" s="20" t="n">
        <v>0</v>
      </c>
      <c r="JA12" s="20" t="n">
        <v>0</v>
      </c>
      <c r="JB12" s="20" t="n">
        <v>0</v>
      </c>
      <c r="JC12" s="20" t="n">
        <v>0</v>
      </c>
      <c r="JD12" s="20" t="n">
        <v>0</v>
      </c>
      <c r="JE12" s="20" t="n">
        <v>0</v>
      </c>
      <c r="JF12" s="20" t="n">
        <v>0</v>
      </c>
      <c r="JG12" s="20" t="n">
        <v>0</v>
      </c>
      <c r="JH12" s="20" t="n">
        <v>0</v>
      </c>
      <c r="JI12" s="20" t="n">
        <v>0</v>
      </c>
      <c r="JJ12" s="20" t="n">
        <v>0</v>
      </c>
      <c r="JK12" s="20" t="n">
        <v>0</v>
      </c>
      <c r="JL12" s="20" t="n">
        <v>0</v>
      </c>
      <c r="JM12" s="20" t="n">
        <v>0</v>
      </c>
      <c r="JN12" s="20" t="n">
        <v>0</v>
      </c>
      <c r="JO12" s="20" t="n">
        <v>0</v>
      </c>
      <c r="JP12" s="20" t="n">
        <v>0</v>
      </c>
      <c r="JQ12" s="20" t="n">
        <v>0</v>
      </c>
      <c r="JR12" s="20" t="n">
        <v>0</v>
      </c>
      <c r="JS12" s="20" t="n">
        <v>0</v>
      </c>
      <c r="JT12" s="20" t="n">
        <v>0</v>
      </c>
      <c r="JU12" s="20" t="n">
        <v>0</v>
      </c>
      <c r="JV12" s="20" t="n">
        <v>0</v>
      </c>
      <c r="JW12" s="20" t="n">
        <v>0</v>
      </c>
      <c r="JX12" s="20" t="n">
        <v>0</v>
      </c>
      <c r="JY12" s="20" t="n">
        <v>0</v>
      </c>
      <c r="JZ12" s="20" t="n">
        <v>0</v>
      </c>
      <c r="KA12" s="20" t="n">
        <v>0</v>
      </c>
      <c r="KB12" s="20" t="n">
        <v>0</v>
      </c>
      <c r="KC12" s="20" t="n">
        <v>0</v>
      </c>
      <c r="KD12" s="20" t="n">
        <v>0</v>
      </c>
      <c r="KE12" s="20" t="n">
        <v>0</v>
      </c>
      <c r="KF12" s="20" t="n">
        <v>0</v>
      </c>
      <c r="KG12" s="20" t="n">
        <v>0</v>
      </c>
      <c r="KH12" s="20" t="n">
        <v>0</v>
      </c>
      <c r="KI12" s="20" t="n">
        <v>0</v>
      </c>
      <c r="KJ12" s="20" t="n">
        <v>0</v>
      </c>
      <c r="KK12" s="20" t="n">
        <v>0</v>
      </c>
      <c r="KL12" s="20" t="n">
        <v>0</v>
      </c>
      <c r="KM12" s="20" t="n">
        <v>0</v>
      </c>
      <c r="KN12" s="20" t="n">
        <v>0</v>
      </c>
      <c r="KO12" s="20" t="n">
        <v>0</v>
      </c>
      <c r="KP12" s="20" t="n">
        <v>0</v>
      </c>
      <c r="KQ12" s="20" t="n">
        <v>0</v>
      </c>
      <c r="KR12" s="20" t="n">
        <v>0</v>
      </c>
      <c r="KS12" s="20" t="n">
        <v>0</v>
      </c>
      <c r="KT12" s="20" t="n">
        <v>0</v>
      </c>
      <c r="KU12" s="20" t="n">
        <v>0</v>
      </c>
      <c r="KV12" s="20" t="n">
        <v>0</v>
      </c>
      <c r="KW12" s="20" t="n">
        <v>0</v>
      </c>
      <c r="KX12" s="20" t="n">
        <v>0</v>
      </c>
      <c r="KY12" s="20" t="n">
        <v>0</v>
      </c>
      <c r="KZ12" s="20" t="n">
        <v>0</v>
      </c>
      <c r="LA12" s="20" t="n">
        <v>0</v>
      </c>
      <c r="LB12" s="20" t="n">
        <v>0</v>
      </c>
      <c r="LC12" s="20" t="n">
        <v>0</v>
      </c>
      <c r="LD12" s="20" t="n">
        <v>0</v>
      </c>
      <c r="LE12" s="20" t="n">
        <v>0</v>
      </c>
      <c r="LF12" s="20" t="n">
        <v>0</v>
      </c>
      <c r="LG12" s="20" t="n">
        <v>0</v>
      </c>
      <c r="LH12" s="20" t="n">
        <v>0</v>
      </c>
      <c r="LI12" s="20" t="n">
        <v>0</v>
      </c>
    </row>
    <row r="13">
      <c r="B13" s="22" t="inlineStr">
        <is>
          <t>Cuota constante</t>
        </is>
      </c>
      <c r="D13" s="23">
        <f>-PMT($D$11,p_pagos,AY12)</f>
        <v/>
      </c>
    </row>
    <row r="14">
      <c r="B14" s="18" t="inlineStr">
        <is>
          <t>Interes</t>
        </is>
      </c>
      <c r="D14" s="20" t="n">
        <v>0</v>
      </c>
      <c r="E14" s="20">
        <f>D17*$D$11</f>
        <v/>
      </c>
      <c r="F14" s="20">
        <f>E17*$D$11</f>
        <v/>
      </c>
      <c r="G14" s="20">
        <f>F17*$D$11</f>
        <v/>
      </c>
      <c r="H14" s="20">
        <f>G17*$D$11</f>
        <v/>
      </c>
      <c r="I14" s="20">
        <f>H17*$D$11</f>
        <v/>
      </c>
      <c r="J14" s="20">
        <f>I17*$D$11</f>
        <v/>
      </c>
      <c r="K14" s="20">
        <f>J17*$D$11</f>
        <v/>
      </c>
      <c r="L14" s="20">
        <f>K17*$D$11</f>
        <v/>
      </c>
      <c r="M14" s="20">
        <f>L17*$D$11</f>
        <v/>
      </c>
      <c r="N14" s="20">
        <f>M17*$D$11</f>
        <v/>
      </c>
      <c r="O14" s="20">
        <f>N17*$D$11</f>
        <v/>
      </c>
      <c r="P14" s="20">
        <f>O17*$D$11</f>
        <v/>
      </c>
      <c r="Q14" s="20">
        <f>P17*$D$11</f>
        <v/>
      </c>
      <c r="R14" s="20">
        <f>Q17*$D$11</f>
        <v/>
      </c>
      <c r="S14" s="20">
        <f>R17*$D$11</f>
        <v/>
      </c>
      <c r="T14" s="20">
        <f>S17*$D$11</f>
        <v/>
      </c>
      <c r="U14" s="20">
        <f>T17*$D$11</f>
        <v/>
      </c>
      <c r="V14" s="20">
        <f>U17*$D$11</f>
        <v/>
      </c>
      <c r="W14" s="20">
        <f>V17*$D$11</f>
        <v/>
      </c>
      <c r="X14" s="20">
        <f>W17*$D$11</f>
        <v/>
      </c>
      <c r="Y14" s="20">
        <f>X17*$D$11</f>
        <v/>
      </c>
      <c r="Z14" s="20">
        <f>Y17*$D$11</f>
        <v/>
      </c>
      <c r="AA14" s="20">
        <f>Z17*$D$11</f>
        <v/>
      </c>
      <c r="AB14" s="20">
        <f>AA17*$D$11</f>
        <v/>
      </c>
      <c r="AC14" s="20">
        <f>AB17*$D$11</f>
        <v/>
      </c>
      <c r="AD14" s="20">
        <f>AC17*$D$11</f>
        <v/>
      </c>
      <c r="AE14" s="20">
        <f>AD17*$D$11</f>
        <v/>
      </c>
      <c r="AF14" s="20">
        <f>AE17*$D$11</f>
        <v/>
      </c>
      <c r="AG14" s="20">
        <f>AF17*$D$11</f>
        <v/>
      </c>
      <c r="AH14" s="20">
        <f>AG17*$D$11</f>
        <v/>
      </c>
      <c r="AI14" s="20">
        <f>AH17*$D$11</f>
        <v/>
      </c>
      <c r="AJ14" s="20">
        <f>AI17*$D$11</f>
        <v/>
      </c>
      <c r="AK14" s="20">
        <f>AJ17*$D$11</f>
        <v/>
      </c>
      <c r="AL14" s="20">
        <f>AK17*$D$11</f>
        <v/>
      </c>
      <c r="AM14" s="20">
        <f>AL17*$D$11</f>
        <v/>
      </c>
      <c r="AN14" s="20">
        <f>AM17*$D$11</f>
        <v/>
      </c>
      <c r="AO14" s="20">
        <f>AN17*$D$11</f>
        <v/>
      </c>
      <c r="AP14" s="20">
        <f>AO17*$D$11</f>
        <v/>
      </c>
      <c r="AQ14" s="20">
        <f>AP17*$D$11</f>
        <v/>
      </c>
      <c r="AR14" s="20">
        <f>AQ17*$D$11</f>
        <v/>
      </c>
      <c r="AS14" s="20">
        <f>AR17*$D$11</f>
        <v/>
      </c>
      <c r="AT14" s="20">
        <f>AS17*$D$11</f>
        <v/>
      </c>
      <c r="AU14" s="20">
        <f>AT17*$D$11</f>
        <v/>
      </c>
      <c r="AV14" s="20">
        <f>AU17*$D$11</f>
        <v/>
      </c>
      <c r="AW14" s="20">
        <f>AV17*$D$11</f>
        <v/>
      </c>
      <c r="AX14" s="20">
        <f>AW17*$D$11</f>
        <v/>
      </c>
      <c r="AY14" s="20">
        <f>AX17*$D$11</f>
        <v/>
      </c>
      <c r="AZ14" s="20">
        <f>AY17*$D$11</f>
        <v/>
      </c>
      <c r="BA14" s="20">
        <f>AZ17*$D$11</f>
        <v/>
      </c>
      <c r="BB14" s="20">
        <f>BA17*$D$11</f>
        <v/>
      </c>
      <c r="BC14" s="20">
        <f>BB17*$D$11</f>
        <v/>
      </c>
      <c r="BD14" s="20">
        <f>BC17*$D$11</f>
        <v/>
      </c>
      <c r="BE14" s="20">
        <f>BD17*$D$11</f>
        <v/>
      </c>
      <c r="BF14" s="20">
        <f>BE17*$D$11</f>
        <v/>
      </c>
      <c r="BG14" s="20">
        <f>BF17*$D$11</f>
        <v/>
      </c>
      <c r="BH14" s="20">
        <f>BG17*$D$11</f>
        <v/>
      </c>
      <c r="BI14" s="20">
        <f>BH17*$D$11</f>
        <v/>
      </c>
      <c r="BJ14" s="20">
        <f>BI17*$D$11</f>
        <v/>
      </c>
      <c r="BK14" s="20">
        <f>BJ17*$D$11</f>
        <v/>
      </c>
      <c r="BL14" s="20">
        <f>BK17*$D$11</f>
        <v/>
      </c>
      <c r="BM14" s="20">
        <f>BL17*$D$11</f>
        <v/>
      </c>
      <c r="BN14" s="20">
        <f>BM17*$D$11</f>
        <v/>
      </c>
      <c r="BO14" s="20">
        <f>BN17*$D$11</f>
        <v/>
      </c>
      <c r="BP14" s="20">
        <f>BO17*$D$11</f>
        <v/>
      </c>
      <c r="BQ14" s="20">
        <f>BP17*$D$11</f>
        <v/>
      </c>
      <c r="BR14" s="20">
        <f>BQ17*$D$11</f>
        <v/>
      </c>
      <c r="BS14" s="20">
        <f>BR17*$D$11</f>
        <v/>
      </c>
      <c r="BT14" s="20">
        <f>BS17*$D$11</f>
        <v/>
      </c>
      <c r="BU14" s="20">
        <f>BT17*$D$11</f>
        <v/>
      </c>
      <c r="BV14" s="20">
        <f>BU17*$D$11</f>
        <v/>
      </c>
      <c r="BW14" s="20">
        <f>BV17*$D$11</f>
        <v/>
      </c>
      <c r="BX14" s="20">
        <f>BW17*$D$11</f>
        <v/>
      </c>
      <c r="BY14" s="20">
        <f>BX17*$D$11</f>
        <v/>
      </c>
      <c r="BZ14" s="20">
        <f>BY17*$D$11</f>
        <v/>
      </c>
      <c r="CA14" s="20">
        <f>BZ17*$D$11</f>
        <v/>
      </c>
      <c r="CB14" s="20">
        <f>CA17*$D$11</f>
        <v/>
      </c>
      <c r="CC14" s="20">
        <f>CB17*$D$11</f>
        <v/>
      </c>
      <c r="CD14" s="20">
        <f>CC17*$D$11</f>
        <v/>
      </c>
      <c r="CE14" s="20">
        <f>CD17*$D$11</f>
        <v/>
      </c>
      <c r="CF14" s="20">
        <f>CE17*$D$11</f>
        <v/>
      </c>
      <c r="CG14" s="20">
        <f>CF17*$D$11</f>
        <v/>
      </c>
      <c r="CH14" s="20">
        <f>CG17*$D$11</f>
        <v/>
      </c>
      <c r="CI14" s="20">
        <f>CH17*$D$11</f>
        <v/>
      </c>
      <c r="CJ14" s="20">
        <f>CI17*$D$11</f>
        <v/>
      </c>
      <c r="CK14" s="20">
        <f>CJ17*$D$11</f>
        <v/>
      </c>
      <c r="CL14" s="20">
        <f>CK17*$D$11</f>
        <v/>
      </c>
      <c r="CM14" s="20">
        <f>CL17*$D$11</f>
        <v/>
      </c>
      <c r="CN14" s="20">
        <f>CM17*$D$11</f>
        <v/>
      </c>
      <c r="CO14" s="20">
        <f>CN17*$D$11</f>
        <v/>
      </c>
      <c r="CP14" s="20">
        <f>CO17*$D$11</f>
        <v/>
      </c>
      <c r="CQ14" s="20">
        <f>CP17*$D$11</f>
        <v/>
      </c>
      <c r="CR14" s="20">
        <f>CQ17*$D$11</f>
        <v/>
      </c>
      <c r="CS14" s="20">
        <f>CR17*$D$11</f>
        <v/>
      </c>
      <c r="CT14" s="20">
        <f>CS17*$D$11</f>
        <v/>
      </c>
      <c r="CU14" s="20">
        <f>CT17*$D$11</f>
        <v/>
      </c>
      <c r="CV14" s="20">
        <f>CU17*$D$11</f>
        <v/>
      </c>
      <c r="CW14" s="20">
        <f>CV17*$D$11</f>
        <v/>
      </c>
      <c r="CX14" s="20">
        <f>CW17*$D$11</f>
        <v/>
      </c>
      <c r="CY14" s="20">
        <f>CX17*$D$11</f>
        <v/>
      </c>
      <c r="CZ14" s="20">
        <f>CY17*$D$11</f>
        <v/>
      </c>
      <c r="DA14" s="20">
        <f>CZ17*$D$11</f>
        <v/>
      </c>
      <c r="DB14" s="20">
        <f>DA17*$D$11</f>
        <v/>
      </c>
      <c r="DC14" s="20">
        <f>DB17*$D$11</f>
        <v/>
      </c>
      <c r="DD14" s="20">
        <f>DC17*$D$11</f>
        <v/>
      </c>
      <c r="DE14" s="20">
        <f>DD17*$D$11</f>
        <v/>
      </c>
      <c r="DF14" s="20">
        <f>DE17*$D$11</f>
        <v/>
      </c>
      <c r="DG14" s="20">
        <f>DF17*$D$11</f>
        <v/>
      </c>
      <c r="DH14" s="20">
        <f>DG17*$D$11</f>
        <v/>
      </c>
      <c r="DI14" s="20">
        <f>DH17*$D$11</f>
        <v/>
      </c>
      <c r="DJ14" s="20">
        <f>DI17*$D$11</f>
        <v/>
      </c>
      <c r="DK14" s="20">
        <f>DJ17*$D$11</f>
        <v/>
      </c>
      <c r="DL14" s="20">
        <f>DK17*$D$11</f>
        <v/>
      </c>
      <c r="DM14" s="20">
        <f>DL17*$D$11</f>
        <v/>
      </c>
      <c r="DN14" s="20">
        <f>DM17*$D$11</f>
        <v/>
      </c>
      <c r="DO14" s="20">
        <f>DN17*$D$11</f>
        <v/>
      </c>
      <c r="DP14" s="20">
        <f>DO17*$D$11</f>
        <v/>
      </c>
      <c r="DQ14" s="20">
        <f>DP17*$D$11</f>
        <v/>
      </c>
      <c r="DR14" s="20">
        <f>DQ17*$D$11</f>
        <v/>
      </c>
      <c r="DS14" s="20">
        <f>DR17*$D$11</f>
        <v/>
      </c>
      <c r="DT14" s="20">
        <f>DS17*$D$11</f>
        <v/>
      </c>
      <c r="DU14" s="20">
        <f>DT17*$D$11</f>
        <v/>
      </c>
      <c r="DV14" s="20">
        <f>DU17*$D$11</f>
        <v/>
      </c>
      <c r="DW14" s="20">
        <f>DV17*$D$11</f>
        <v/>
      </c>
      <c r="DX14" s="20">
        <f>DW17*$D$11</f>
        <v/>
      </c>
      <c r="DY14" s="20">
        <f>DX17*$D$11</f>
        <v/>
      </c>
      <c r="DZ14" s="20">
        <f>DY17*$D$11</f>
        <v/>
      </c>
      <c r="EA14" s="20">
        <f>DZ17*$D$11</f>
        <v/>
      </c>
      <c r="EB14" s="20">
        <f>EA17*$D$11</f>
        <v/>
      </c>
      <c r="EC14" s="20">
        <f>EB17*$D$11</f>
        <v/>
      </c>
      <c r="ED14" s="20">
        <f>EC17*$D$11</f>
        <v/>
      </c>
      <c r="EE14" s="20">
        <f>ED17*$D$11</f>
        <v/>
      </c>
      <c r="EF14" s="20">
        <f>EE17*$D$11</f>
        <v/>
      </c>
      <c r="EG14" s="20">
        <f>EF17*$D$11</f>
        <v/>
      </c>
      <c r="EH14" s="20">
        <f>EG17*$D$11</f>
        <v/>
      </c>
      <c r="EI14" s="20">
        <f>EH17*$D$11</f>
        <v/>
      </c>
      <c r="EJ14" s="20">
        <f>EI17*$D$11</f>
        <v/>
      </c>
      <c r="EK14" s="20">
        <f>EJ17*$D$11</f>
        <v/>
      </c>
      <c r="EL14" s="20">
        <f>EK17*$D$11</f>
        <v/>
      </c>
      <c r="EM14" s="20">
        <f>EL17*$D$11</f>
        <v/>
      </c>
      <c r="EN14" s="20">
        <f>EM17*$D$11</f>
        <v/>
      </c>
      <c r="EO14" s="20">
        <f>EN17*$D$11</f>
        <v/>
      </c>
      <c r="EP14" s="20">
        <f>EO17*$D$11</f>
        <v/>
      </c>
      <c r="EQ14" s="20">
        <f>EP17*$D$11</f>
        <v/>
      </c>
      <c r="ER14" s="20">
        <f>EQ17*$D$11</f>
        <v/>
      </c>
      <c r="ES14" s="20">
        <f>ER17*$D$11</f>
        <v/>
      </c>
      <c r="ET14" s="20">
        <f>ES17*$D$11</f>
        <v/>
      </c>
      <c r="EU14" s="20">
        <f>ET17*$D$11</f>
        <v/>
      </c>
      <c r="EV14" s="20">
        <f>EU17*$D$11</f>
        <v/>
      </c>
      <c r="EW14" s="20">
        <f>EV17*$D$11</f>
        <v/>
      </c>
      <c r="EX14" s="20">
        <f>EW17*$D$11</f>
        <v/>
      </c>
      <c r="EY14" s="20">
        <f>EX17*$D$11</f>
        <v/>
      </c>
      <c r="EZ14" s="20">
        <f>EY17*$D$11</f>
        <v/>
      </c>
      <c r="FA14" s="20">
        <f>EZ17*$D$11</f>
        <v/>
      </c>
      <c r="FB14" s="20">
        <f>FA17*$D$11</f>
        <v/>
      </c>
      <c r="FC14" s="20">
        <f>FB17*$D$11</f>
        <v/>
      </c>
      <c r="FD14" s="20">
        <f>FC17*$D$11</f>
        <v/>
      </c>
      <c r="FE14" s="20">
        <f>FD17*$D$11</f>
        <v/>
      </c>
      <c r="FF14" s="20">
        <f>FE17*$D$11</f>
        <v/>
      </c>
      <c r="FG14" s="20">
        <f>FF17*$D$11</f>
        <v/>
      </c>
      <c r="FH14" s="20">
        <f>FG17*$D$11</f>
        <v/>
      </c>
      <c r="FI14" s="20">
        <f>FH17*$D$11</f>
        <v/>
      </c>
      <c r="FJ14" s="20">
        <f>FI17*$D$11</f>
        <v/>
      </c>
      <c r="FK14" s="20">
        <f>FJ17*$D$11</f>
        <v/>
      </c>
      <c r="FL14" s="20">
        <f>FK17*$D$11</f>
        <v/>
      </c>
      <c r="FM14" s="20">
        <f>FL17*$D$11</f>
        <v/>
      </c>
      <c r="FN14" s="20">
        <f>FM17*$D$11</f>
        <v/>
      </c>
      <c r="FO14" s="20">
        <f>FN17*$D$11</f>
        <v/>
      </c>
      <c r="FP14" s="20">
        <f>FO17*$D$11</f>
        <v/>
      </c>
      <c r="FQ14" s="20">
        <f>FP17*$D$11</f>
        <v/>
      </c>
      <c r="FR14" s="20">
        <f>FQ17*$D$11</f>
        <v/>
      </c>
      <c r="FS14" s="20">
        <f>FR17*$D$11</f>
        <v/>
      </c>
      <c r="FT14" s="20">
        <f>FS17*$D$11</f>
        <v/>
      </c>
      <c r="FU14" s="20">
        <f>FT17*$D$11</f>
        <v/>
      </c>
      <c r="FV14" s="20">
        <f>FU17*$D$11</f>
        <v/>
      </c>
      <c r="FW14" s="20">
        <f>FV17*$D$11</f>
        <v/>
      </c>
      <c r="FX14" s="20">
        <f>FW17*$D$11</f>
        <v/>
      </c>
      <c r="FY14" s="20">
        <f>FX17*$D$11</f>
        <v/>
      </c>
      <c r="FZ14" s="20">
        <f>FY17*$D$11</f>
        <v/>
      </c>
      <c r="GA14" s="20">
        <f>FZ17*$D$11</f>
        <v/>
      </c>
      <c r="GB14" s="20">
        <f>GA17*$D$11</f>
        <v/>
      </c>
      <c r="GC14" s="20">
        <f>GB17*$D$11</f>
        <v/>
      </c>
      <c r="GD14" s="20">
        <f>GC17*$D$11</f>
        <v/>
      </c>
      <c r="GE14" s="20">
        <f>GD17*$D$11</f>
        <v/>
      </c>
      <c r="GF14" s="20">
        <f>GE17*$D$11</f>
        <v/>
      </c>
      <c r="GG14" s="20">
        <f>GF17*$D$11</f>
        <v/>
      </c>
      <c r="GH14" s="20">
        <f>GG17*$D$11</f>
        <v/>
      </c>
      <c r="GI14" s="20">
        <f>GH17*$D$11</f>
        <v/>
      </c>
      <c r="GJ14" s="20">
        <f>GI17*$D$11</f>
        <v/>
      </c>
      <c r="GK14" s="20">
        <f>GJ17*$D$11</f>
        <v/>
      </c>
      <c r="GL14" s="20">
        <f>GK17*$D$11</f>
        <v/>
      </c>
      <c r="GM14" s="20">
        <f>GL17*$D$11</f>
        <v/>
      </c>
      <c r="GN14" s="20">
        <f>GM17*$D$11</f>
        <v/>
      </c>
      <c r="GO14" s="20">
        <f>GN17*$D$11</f>
        <v/>
      </c>
      <c r="GP14" s="20">
        <f>GO17*$D$11</f>
        <v/>
      </c>
      <c r="GQ14" s="20">
        <f>GP17*$D$11</f>
        <v/>
      </c>
      <c r="GR14" s="20">
        <f>GQ17*$D$11</f>
        <v/>
      </c>
      <c r="GS14" s="20">
        <f>GR17*$D$11</f>
        <v/>
      </c>
      <c r="GT14" s="20">
        <f>GS17*$D$11</f>
        <v/>
      </c>
      <c r="GU14" s="20">
        <f>GT17*$D$11</f>
        <v/>
      </c>
      <c r="GV14" s="20">
        <f>GU17*$D$11</f>
        <v/>
      </c>
      <c r="GW14" s="20">
        <f>GV17*$D$11</f>
        <v/>
      </c>
      <c r="GX14" s="20">
        <f>GW17*$D$11</f>
        <v/>
      </c>
      <c r="GY14" s="20">
        <f>GX17*$D$11</f>
        <v/>
      </c>
      <c r="GZ14" s="20">
        <f>GY17*$D$11</f>
        <v/>
      </c>
      <c r="HA14" s="20">
        <f>GZ17*$D$11</f>
        <v/>
      </c>
      <c r="HB14" s="20">
        <f>HA17*$D$11</f>
        <v/>
      </c>
      <c r="HC14" s="20">
        <f>HB17*$D$11</f>
        <v/>
      </c>
      <c r="HD14" s="20">
        <f>HC17*$D$11</f>
        <v/>
      </c>
      <c r="HE14" s="20">
        <f>HD17*$D$11</f>
        <v/>
      </c>
      <c r="HF14" s="20">
        <f>HE17*$D$11</f>
        <v/>
      </c>
      <c r="HG14" s="20">
        <f>HF17*$D$11</f>
        <v/>
      </c>
      <c r="HH14" s="20">
        <f>HG17*$D$11</f>
        <v/>
      </c>
      <c r="HI14" s="20">
        <f>HH17*$D$11</f>
        <v/>
      </c>
      <c r="HJ14" s="20">
        <f>HI17*$D$11</f>
        <v/>
      </c>
      <c r="HK14" s="20">
        <f>HJ17*$D$11</f>
        <v/>
      </c>
      <c r="HL14" s="20">
        <f>HK17*$D$11</f>
        <v/>
      </c>
      <c r="HM14" s="20">
        <f>HL17*$D$11</f>
        <v/>
      </c>
      <c r="HN14" s="20">
        <f>HM17*$D$11</f>
        <v/>
      </c>
      <c r="HO14" s="20">
        <f>HN17*$D$11</f>
        <v/>
      </c>
      <c r="HP14" s="20">
        <f>HO17*$D$11</f>
        <v/>
      </c>
      <c r="HQ14" s="20">
        <f>HP17*$D$11</f>
        <v/>
      </c>
      <c r="HR14" s="20">
        <f>HQ17*$D$11</f>
        <v/>
      </c>
      <c r="HS14" s="20">
        <f>HR17*$D$11</f>
        <v/>
      </c>
      <c r="HT14" s="20">
        <f>HS17*$D$11</f>
        <v/>
      </c>
      <c r="HU14" s="20">
        <f>HT17*$D$11</f>
        <v/>
      </c>
      <c r="HV14" s="20">
        <f>HU17*$D$11</f>
        <v/>
      </c>
      <c r="HW14" s="20">
        <f>HV17*$D$11</f>
        <v/>
      </c>
      <c r="HX14" s="20">
        <f>HW17*$D$11</f>
        <v/>
      </c>
      <c r="HY14" s="20">
        <f>HX17*$D$11</f>
        <v/>
      </c>
      <c r="HZ14" s="20">
        <f>HY17*$D$11</f>
        <v/>
      </c>
      <c r="IA14" s="20">
        <f>HZ17*$D$11</f>
        <v/>
      </c>
      <c r="IB14" s="20">
        <f>IA17*$D$11</f>
        <v/>
      </c>
      <c r="IC14" s="20">
        <f>IB17*$D$11</f>
        <v/>
      </c>
      <c r="ID14" s="20">
        <f>IC17*$D$11</f>
        <v/>
      </c>
      <c r="IE14" s="20">
        <f>ID17*$D$11</f>
        <v/>
      </c>
      <c r="IF14" s="20">
        <f>IE17*$D$11</f>
        <v/>
      </c>
      <c r="IG14" s="20">
        <f>IF17*$D$11</f>
        <v/>
      </c>
      <c r="IH14" s="20">
        <f>IG17*$D$11</f>
        <v/>
      </c>
      <c r="II14" s="20">
        <f>IH17*$D$11</f>
        <v/>
      </c>
      <c r="IJ14" s="20">
        <f>II17*$D$11</f>
        <v/>
      </c>
      <c r="IK14" s="20">
        <f>IJ17*$D$11</f>
        <v/>
      </c>
      <c r="IL14" s="20">
        <f>IK17*$D$11</f>
        <v/>
      </c>
      <c r="IM14" s="20">
        <f>IL17*$D$11</f>
        <v/>
      </c>
      <c r="IN14" s="20">
        <f>IM17*$D$11</f>
        <v/>
      </c>
      <c r="IO14" s="20">
        <f>IN17*$D$11</f>
        <v/>
      </c>
      <c r="IP14" s="20">
        <f>IO17*$D$11</f>
        <v/>
      </c>
      <c r="IQ14" s="20">
        <f>IP17*$D$11</f>
        <v/>
      </c>
      <c r="IR14" s="20">
        <f>IQ17*$D$11</f>
        <v/>
      </c>
      <c r="IS14" s="20">
        <f>IR17*$D$11</f>
        <v/>
      </c>
      <c r="IT14" s="20">
        <f>IS17*$D$11</f>
        <v/>
      </c>
      <c r="IU14" s="20">
        <f>IT17*$D$11</f>
        <v/>
      </c>
      <c r="IV14" s="20">
        <f>IU17*$D$11</f>
        <v/>
      </c>
      <c r="IW14" s="20">
        <f>IV17*$D$11</f>
        <v/>
      </c>
      <c r="IX14" s="20">
        <f>IW17*$D$11</f>
        <v/>
      </c>
      <c r="IY14" s="20">
        <f>IX17*$D$11</f>
        <v/>
      </c>
      <c r="IZ14" s="20">
        <f>IY17*$D$11</f>
        <v/>
      </c>
      <c r="JA14" s="20">
        <f>IZ17*$D$11</f>
        <v/>
      </c>
      <c r="JB14" s="20">
        <f>JA17*$D$11</f>
        <v/>
      </c>
      <c r="JC14" s="20">
        <f>JB17*$D$11</f>
        <v/>
      </c>
      <c r="JD14" s="20">
        <f>JC17*$D$11</f>
        <v/>
      </c>
      <c r="JE14" s="20">
        <f>JD17*$D$11</f>
        <v/>
      </c>
      <c r="JF14" s="20">
        <f>JE17*$D$11</f>
        <v/>
      </c>
      <c r="JG14" s="20">
        <f>JF17*$D$11</f>
        <v/>
      </c>
      <c r="JH14" s="20">
        <f>JG17*$D$11</f>
        <v/>
      </c>
      <c r="JI14" s="20">
        <f>JH17*$D$11</f>
        <v/>
      </c>
      <c r="JJ14" s="20">
        <f>JI17*$D$11</f>
        <v/>
      </c>
      <c r="JK14" s="20">
        <f>JJ17*$D$11</f>
        <v/>
      </c>
      <c r="JL14" s="20">
        <f>JK17*$D$11</f>
        <v/>
      </c>
      <c r="JM14" s="20">
        <f>JL17*$D$11</f>
        <v/>
      </c>
      <c r="JN14" s="20">
        <f>JM17*$D$11</f>
        <v/>
      </c>
      <c r="JO14" s="20">
        <f>JN17*$D$11</f>
        <v/>
      </c>
      <c r="JP14" s="20">
        <f>JO17*$D$11</f>
        <v/>
      </c>
      <c r="JQ14" s="20">
        <f>JP17*$D$11</f>
        <v/>
      </c>
      <c r="JR14" s="20">
        <f>JQ17*$D$11</f>
        <v/>
      </c>
      <c r="JS14" s="20">
        <f>JR17*$D$11</f>
        <v/>
      </c>
      <c r="JT14" s="20">
        <f>JS17*$D$11</f>
        <v/>
      </c>
      <c r="JU14" s="20">
        <f>JT17*$D$11</f>
        <v/>
      </c>
      <c r="JV14" s="20">
        <f>JU17*$D$11</f>
        <v/>
      </c>
      <c r="JW14" s="20">
        <f>JV17*$D$11</f>
        <v/>
      </c>
      <c r="JX14" s="20">
        <f>JW17*$D$11</f>
        <v/>
      </c>
      <c r="JY14" s="20">
        <f>JX17*$D$11</f>
        <v/>
      </c>
      <c r="JZ14" s="20">
        <f>JY17*$D$11</f>
        <v/>
      </c>
      <c r="KA14" s="20">
        <f>JZ17*$D$11</f>
        <v/>
      </c>
      <c r="KB14" s="20">
        <f>KA17*$D$11</f>
        <v/>
      </c>
      <c r="KC14" s="20">
        <f>KB17*$D$11</f>
        <v/>
      </c>
      <c r="KD14" s="20">
        <f>KC17*$D$11</f>
        <v/>
      </c>
      <c r="KE14" s="20">
        <f>KD17*$D$11</f>
        <v/>
      </c>
      <c r="KF14" s="20">
        <f>KE17*$D$11</f>
        <v/>
      </c>
      <c r="KG14" s="20">
        <f>KF17*$D$11</f>
        <v/>
      </c>
      <c r="KH14" s="20">
        <f>KG17*$D$11</f>
        <v/>
      </c>
      <c r="KI14" s="20">
        <f>KH17*$D$11</f>
        <v/>
      </c>
      <c r="KJ14" s="20">
        <f>KI17*$D$11</f>
        <v/>
      </c>
      <c r="KK14" s="20">
        <f>KJ17*$D$11</f>
        <v/>
      </c>
      <c r="KL14" s="20">
        <f>KK17*$D$11</f>
        <v/>
      </c>
      <c r="KM14" s="20">
        <f>KL17*$D$11</f>
        <v/>
      </c>
      <c r="KN14" s="20">
        <f>KM17*$D$11</f>
        <v/>
      </c>
      <c r="KO14" s="20">
        <f>KN17*$D$11</f>
        <v/>
      </c>
      <c r="KP14" s="20">
        <f>KO17*$D$11</f>
        <v/>
      </c>
      <c r="KQ14" s="20">
        <f>KP17*$D$11</f>
        <v/>
      </c>
      <c r="KR14" s="20">
        <f>KQ17*$D$11</f>
        <v/>
      </c>
      <c r="KS14" s="20">
        <f>KR17*$D$11</f>
        <v/>
      </c>
      <c r="KT14" s="20">
        <f>KS17*$D$11</f>
        <v/>
      </c>
      <c r="KU14" s="20">
        <f>KT17*$D$11</f>
        <v/>
      </c>
      <c r="KV14" s="20">
        <f>KU17*$D$11</f>
        <v/>
      </c>
      <c r="KW14" s="20">
        <f>KV17*$D$11</f>
        <v/>
      </c>
      <c r="KX14" s="20">
        <f>KW17*$D$11</f>
        <v/>
      </c>
      <c r="KY14" s="20">
        <f>KX17*$D$11</f>
        <v/>
      </c>
      <c r="KZ14" s="20">
        <f>KY17*$D$11</f>
        <v/>
      </c>
      <c r="LA14" s="20">
        <f>KZ17*$D$11</f>
        <v/>
      </c>
      <c r="LB14" s="20">
        <f>LA17*$D$11</f>
        <v/>
      </c>
      <c r="LC14" s="20">
        <f>LB17*$D$11</f>
        <v/>
      </c>
      <c r="LD14" s="20">
        <f>LC17*$D$11</f>
        <v/>
      </c>
      <c r="LE14" s="20">
        <f>LD17*$D$11</f>
        <v/>
      </c>
      <c r="LF14" s="20">
        <f>LE17*$D$11</f>
        <v/>
      </c>
      <c r="LG14" s="20">
        <f>LF17*$D$11</f>
        <v/>
      </c>
      <c r="LH14" s="20">
        <f>LG17*$D$11</f>
        <v/>
      </c>
      <c r="LI14" s="20">
        <f>LH17*$D$11</f>
        <v/>
      </c>
    </row>
    <row r="15">
      <c r="B15" s="18" t="inlineStr">
        <is>
          <t>Amortizacion</t>
        </is>
      </c>
      <c r="D15" s="20">
        <f>D16-D14</f>
        <v/>
      </c>
      <c r="E15" s="20">
        <f>E16-E14</f>
        <v/>
      </c>
      <c r="F15" s="20">
        <f>F16-F14</f>
        <v/>
      </c>
      <c r="G15" s="20">
        <f>G16-G14</f>
        <v/>
      </c>
      <c r="H15" s="20">
        <f>H16-H14</f>
        <v/>
      </c>
      <c r="I15" s="20">
        <f>I16-I14</f>
        <v/>
      </c>
      <c r="J15" s="20">
        <f>J16-J14</f>
        <v/>
      </c>
      <c r="K15" s="20">
        <f>K16-K14</f>
        <v/>
      </c>
      <c r="L15" s="20">
        <f>L16-L14</f>
        <v/>
      </c>
      <c r="M15" s="20">
        <f>M16-M14</f>
        <v/>
      </c>
      <c r="N15" s="20">
        <f>N16-N14</f>
        <v/>
      </c>
      <c r="O15" s="20">
        <f>O16-O14</f>
        <v/>
      </c>
      <c r="P15" s="20">
        <f>P16-P14</f>
        <v/>
      </c>
      <c r="Q15" s="20">
        <f>Q16-Q14</f>
        <v/>
      </c>
      <c r="R15" s="20">
        <f>R16-R14</f>
        <v/>
      </c>
      <c r="S15" s="20">
        <f>S16-S14</f>
        <v/>
      </c>
      <c r="T15" s="20">
        <f>T16-T14</f>
        <v/>
      </c>
      <c r="U15" s="20">
        <f>U16-U14</f>
        <v/>
      </c>
      <c r="V15" s="20">
        <f>V16-V14</f>
        <v/>
      </c>
      <c r="W15" s="20">
        <f>W16-W14</f>
        <v/>
      </c>
      <c r="X15" s="20">
        <f>X16-X14</f>
        <v/>
      </c>
      <c r="Y15" s="20">
        <f>Y16-Y14</f>
        <v/>
      </c>
      <c r="Z15" s="20">
        <f>Z16-Z14</f>
        <v/>
      </c>
      <c r="AA15" s="20">
        <f>AA16-AA14</f>
        <v/>
      </c>
      <c r="AB15" s="20">
        <f>AB16-AB14</f>
        <v/>
      </c>
      <c r="AC15" s="20">
        <f>AC16-AC14</f>
        <v/>
      </c>
      <c r="AD15" s="20">
        <f>AD16-AD14</f>
        <v/>
      </c>
      <c r="AE15" s="20">
        <f>AE16-AE14</f>
        <v/>
      </c>
      <c r="AF15" s="20">
        <f>AF16-AF14</f>
        <v/>
      </c>
      <c r="AG15" s="20">
        <f>AG16-AG14</f>
        <v/>
      </c>
      <c r="AH15" s="20">
        <f>AH16-AH14</f>
        <v/>
      </c>
      <c r="AI15" s="20">
        <f>AI16-AI14</f>
        <v/>
      </c>
      <c r="AJ15" s="20">
        <f>AJ16-AJ14</f>
        <v/>
      </c>
      <c r="AK15" s="20">
        <f>AK16-AK14</f>
        <v/>
      </c>
      <c r="AL15" s="20">
        <f>AL16-AL14</f>
        <v/>
      </c>
      <c r="AM15" s="20">
        <f>AM16-AM14</f>
        <v/>
      </c>
      <c r="AN15" s="20">
        <f>AN16-AN14</f>
        <v/>
      </c>
      <c r="AO15" s="20">
        <f>AO16-AO14</f>
        <v/>
      </c>
      <c r="AP15" s="20">
        <f>AP16-AP14</f>
        <v/>
      </c>
      <c r="AQ15" s="20">
        <f>AQ16-AQ14</f>
        <v/>
      </c>
      <c r="AR15" s="20">
        <f>AR16-AR14</f>
        <v/>
      </c>
      <c r="AS15" s="20">
        <f>AS16-AS14</f>
        <v/>
      </c>
      <c r="AT15" s="20">
        <f>AT16-AT14</f>
        <v/>
      </c>
      <c r="AU15" s="20">
        <f>AU16-AU14</f>
        <v/>
      </c>
      <c r="AV15" s="20">
        <f>AV16-AV14</f>
        <v/>
      </c>
      <c r="AW15" s="20">
        <f>AW16-AW14</f>
        <v/>
      </c>
      <c r="AX15" s="20">
        <f>AX16-AX14</f>
        <v/>
      </c>
      <c r="AY15" s="20">
        <f>AY16-AY14</f>
        <v/>
      </c>
      <c r="AZ15" s="20">
        <f>AZ16-AZ14</f>
        <v/>
      </c>
      <c r="BA15" s="20">
        <f>BA16-BA14</f>
        <v/>
      </c>
      <c r="BB15" s="20">
        <f>BB16-BB14</f>
        <v/>
      </c>
      <c r="BC15" s="20">
        <f>BC16-BC14</f>
        <v/>
      </c>
      <c r="BD15" s="20">
        <f>BD16-BD14</f>
        <v/>
      </c>
      <c r="BE15" s="20">
        <f>BE16-BE14</f>
        <v/>
      </c>
      <c r="BF15" s="20">
        <f>BF16-BF14</f>
        <v/>
      </c>
      <c r="BG15" s="20">
        <f>BG16-BG14</f>
        <v/>
      </c>
      <c r="BH15" s="20">
        <f>BH16-BH14</f>
        <v/>
      </c>
      <c r="BI15" s="20">
        <f>BI16-BI14</f>
        <v/>
      </c>
      <c r="BJ15" s="20">
        <f>BJ16-BJ14</f>
        <v/>
      </c>
      <c r="BK15" s="20">
        <f>BK16-BK14</f>
        <v/>
      </c>
      <c r="BL15" s="20">
        <f>BL16-BL14</f>
        <v/>
      </c>
      <c r="BM15" s="20">
        <f>BM16-BM14</f>
        <v/>
      </c>
      <c r="BN15" s="20">
        <f>BN16-BN14</f>
        <v/>
      </c>
      <c r="BO15" s="20">
        <f>BO16-BO14</f>
        <v/>
      </c>
      <c r="BP15" s="20">
        <f>BP16-BP14</f>
        <v/>
      </c>
      <c r="BQ15" s="20">
        <f>BQ16-BQ14</f>
        <v/>
      </c>
      <c r="BR15" s="20">
        <f>BR16-BR14</f>
        <v/>
      </c>
      <c r="BS15" s="20">
        <f>BS16-BS14</f>
        <v/>
      </c>
      <c r="BT15" s="20">
        <f>BT16-BT14</f>
        <v/>
      </c>
      <c r="BU15" s="20">
        <f>BU16-BU14</f>
        <v/>
      </c>
      <c r="BV15" s="20">
        <f>BV16-BV14</f>
        <v/>
      </c>
      <c r="BW15" s="20">
        <f>BW16-BW14</f>
        <v/>
      </c>
      <c r="BX15" s="20">
        <f>BX16-BX14</f>
        <v/>
      </c>
      <c r="BY15" s="20">
        <f>BY16-BY14</f>
        <v/>
      </c>
      <c r="BZ15" s="20">
        <f>BZ16-BZ14</f>
        <v/>
      </c>
      <c r="CA15" s="20">
        <f>CA16-CA14</f>
        <v/>
      </c>
      <c r="CB15" s="20">
        <f>CB16-CB14</f>
        <v/>
      </c>
      <c r="CC15" s="20">
        <f>CC16-CC14</f>
        <v/>
      </c>
      <c r="CD15" s="20">
        <f>CD16-CD14</f>
        <v/>
      </c>
      <c r="CE15" s="20">
        <f>CE16-CE14</f>
        <v/>
      </c>
      <c r="CF15" s="20">
        <f>CF16-CF14</f>
        <v/>
      </c>
      <c r="CG15" s="20">
        <f>CG16-CG14</f>
        <v/>
      </c>
      <c r="CH15" s="20">
        <f>CH16-CH14</f>
        <v/>
      </c>
      <c r="CI15" s="20">
        <f>CI16-CI14</f>
        <v/>
      </c>
      <c r="CJ15" s="20">
        <f>CJ16-CJ14</f>
        <v/>
      </c>
      <c r="CK15" s="20">
        <f>CK16-CK14</f>
        <v/>
      </c>
      <c r="CL15" s="20">
        <f>CL16-CL14</f>
        <v/>
      </c>
      <c r="CM15" s="20">
        <f>CM16-CM14</f>
        <v/>
      </c>
      <c r="CN15" s="20">
        <f>CN16-CN14</f>
        <v/>
      </c>
      <c r="CO15" s="20">
        <f>CO16-CO14</f>
        <v/>
      </c>
      <c r="CP15" s="20">
        <f>CP16-CP14</f>
        <v/>
      </c>
      <c r="CQ15" s="20">
        <f>CQ16-CQ14</f>
        <v/>
      </c>
      <c r="CR15" s="20">
        <f>CR16-CR14</f>
        <v/>
      </c>
      <c r="CS15" s="20">
        <f>CS16-CS14</f>
        <v/>
      </c>
      <c r="CT15" s="20">
        <f>CT16-CT14</f>
        <v/>
      </c>
      <c r="CU15" s="20">
        <f>CU16-CU14</f>
        <v/>
      </c>
      <c r="CV15" s="20">
        <f>CV16-CV14</f>
        <v/>
      </c>
      <c r="CW15" s="20">
        <f>CW16-CW14</f>
        <v/>
      </c>
      <c r="CX15" s="20">
        <f>CX16-CX14</f>
        <v/>
      </c>
      <c r="CY15" s="20">
        <f>CY16-CY14</f>
        <v/>
      </c>
      <c r="CZ15" s="20">
        <f>CZ16-CZ14</f>
        <v/>
      </c>
      <c r="DA15" s="20">
        <f>DA16-DA14</f>
        <v/>
      </c>
      <c r="DB15" s="20">
        <f>DB16-DB14</f>
        <v/>
      </c>
      <c r="DC15" s="20">
        <f>DC16-DC14</f>
        <v/>
      </c>
      <c r="DD15" s="20">
        <f>DD16-DD14</f>
        <v/>
      </c>
      <c r="DE15" s="20">
        <f>DE16-DE14</f>
        <v/>
      </c>
      <c r="DF15" s="20">
        <f>DF16-DF14</f>
        <v/>
      </c>
      <c r="DG15" s="20">
        <f>DG16-DG14</f>
        <v/>
      </c>
      <c r="DH15" s="20">
        <f>DH16-DH14</f>
        <v/>
      </c>
      <c r="DI15" s="20">
        <f>DI16-DI14</f>
        <v/>
      </c>
      <c r="DJ15" s="20">
        <f>DJ16-DJ14</f>
        <v/>
      </c>
      <c r="DK15" s="20">
        <f>DK16-DK14</f>
        <v/>
      </c>
      <c r="DL15" s="20">
        <f>DL16-DL14</f>
        <v/>
      </c>
      <c r="DM15" s="20">
        <f>DM16-DM14</f>
        <v/>
      </c>
      <c r="DN15" s="20">
        <f>DN16-DN14</f>
        <v/>
      </c>
      <c r="DO15" s="20">
        <f>DO16-DO14</f>
        <v/>
      </c>
      <c r="DP15" s="20">
        <f>DP16-DP14</f>
        <v/>
      </c>
      <c r="DQ15" s="20">
        <f>DQ16-DQ14</f>
        <v/>
      </c>
      <c r="DR15" s="20">
        <f>DR16-DR14</f>
        <v/>
      </c>
      <c r="DS15" s="20">
        <f>DS16-DS14</f>
        <v/>
      </c>
      <c r="DT15" s="20">
        <f>DT16-DT14</f>
        <v/>
      </c>
      <c r="DU15" s="20">
        <f>DU16-DU14</f>
        <v/>
      </c>
      <c r="DV15" s="20">
        <f>DV16-DV14</f>
        <v/>
      </c>
      <c r="DW15" s="20">
        <f>DW16-DW14</f>
        <v/>
      </c>
      <c r="DX15" s="20">
        <f>DX16-DX14</f>
        <v/>
      </c>
      <c r="DY15" s="20">
        <f>DY16-DY14</f>
        <v/>
      </c>
      <c r="DZ15" s="20">
        <f>DZ16-DZ14</f>
        <v/>
      </c>
      <c r="EA15" s="20">
        <f>EA16-EA14</f>
        <v/>
      </c>
      <c r="EB15" s="20">
        <f>EB16-EB14</f>
        <v/>
      </c>
      <c r="EC15" s="20">
        <f>EC16-EC14</f>
        <v/>
      </c>
      <c r="ED15" s="20">
        <f>ED16-ED14</f>
        <v/>
      </c>
      <c r="EE15" s="20">
        <f>EE16-EE14</f>
        <v/>
      </c>
      <c r="EF15" s="20">
        <f>EF16-EF14</f>
        <v/>
      </c>
      <c r="EG15" s="20">
        <f>EG16-EG14</f>
        <v/>
      </c>
      <c r="EH15" s="20">
        <f>EH16-EH14</f>
        <v/>
      </c>
      <c r="EI15" s="20">
        <f>EI16-EI14</f>
        <v/>
      </c>
      <c r="EJ15" s="20">
        <f>EJ16-EJ14</f>
        <v/>
      </c>
      <c r="EK15" s="20">
        <f>EK16-EK14</f>
        <v/>
      </c>
      <c r="EL15" s="20">
        <f>EL16-EL14</f>
        <v/>
      </c>
      <c r="EM15" s="20">
        <f>EM16-EM14</f>
        <v/>
      </c>
      <c r="EN15" s="20">
        <f>EN16-EN14</f>
        <v/>
      </c>
      <c r="EO15" s="20">
        <f>EO16-EO14</f>
        <v/>
      </c>
      <c r="EP15" s="20">
        <f>EP16-EP14</f>
        <v/>
      </c>
      <c r="EQ15" s="20">
        <f>EQ16-EQ14</f>
        <v/>
      </c>
      <c r="ER15" s="20">
        <f>ER16-ER14</f>
        <v/>
      </c>
      <c r="ES15" s="20">
        <f>ES16-ES14</f>
        <v/>
      </c>
      <c r="ET15" s="20">
        <f>ET16-ET14</f>
        <v/>
      </c>
      <c r="EU15" s="20">
        <f>EU16-EU14</f>
        <v/>
      </c>
      <c r="EV15" s="20">
        <f>EV16-EV14</f>
        <v/>
      </c>
      <c r="EW15" s="20">
        <f>EW16-EW14</f>
        <v/>
      </c>
      <c r="EX15" s="20">
        <f>EX16-EX14</f>
        <v/>
      </c>
      <c r="EY15" s="20">
        <f>EY16-EY14</f>
        <v/>
      </c>
      <c r="EZ15" s="20">
        <f>EZ16-EZ14</f>
        <v/>
      </c>
      <c r="FA15" s="20">
        <f>FA16-FA14</f>
        <v/>
      </c>
      <c r="FB15" s="20">
        <f>FB16-FB14</f>
        <v/>
      </c>
      <c r="FC15" s="20">
        <f>FC16-FC14</f>
        <v/>
      </c>
      <c r="FD15" s="20">
        <f>FD16-FD14</f>
        <v/>
      </c>
      <c r="FE15" s="20">
        <f>FE16-FE14</f>
        <v/>
      </c>
      <c r="FF15" s="20">
        <f>FF16-FF14</f>
        <v/>
      </c>
      <c r="FG15" s="20">
        <f>FG16-FG14</f>
        <v/>
      </c>
      <c r="FH15" s="20">
        <f>FH16-FH14</f>
        <v/>
      </c>
      <c r="FI15" s="20">
        <f>FI16-FI14</f>
        <v/>
      </c>
      <c r="FJ15" s="20">
        <f>FJ16-FJ14</f>
        <v/>
      </c>
      <c r="FK15" s="20">
        <f>FK16-FK14</f>
        <v/>
      </c>
      <c r="FL15" s="20">
        <f>FL16-FL14</f>
        <v/>
      </c>
      <c r="FM15" s="20">
        <f>FM16-FM14</f>
        <v/>
      </c>
      <c r="FN15" s="20">
        <f>FN16-FN14</f>
        <v/>
      </c>
      <c r="FO15" s="20">
        <f>FO16-FO14</f>
        <v/>
      </c>
      <c r="FP15" s="20">
        <f>FP16-FP14</f>
        <v/>
      </c>
      <c r="FQ15" s="20">
        <f>FQ16-FQ14</f>
        <v/>
      </c>
      <c r="FR15" s="20">
        <f>FR16-FR14</f>
        <v/>
      </c>
      <c r="FS15" s="20">
        <f>FS16-FS14</f>
        <v/>
      </c>
      <c r="FT15" s="20">
        <f>FT16-FT14</f>
        <v/>
      </c>
      <c r="FU15" s="20">
        <f>FU16-FU14</f>
        <v/>
      </c>
      <c r="FV15" s="20">
        <f>FV16-FV14</f>
        <v/>
      </c>
      <c r="FW15" s="20">
        <f>FW16-FW14</f>
        <v/>
      </c>
      <c r="FX15" s="20">
        <f>FX16-FX14</f>
        <v/>
      </c>
      <c r="FY15" s="20">
        <f>FY16-FY14</f>
        <v/>
      </c>
      <c r="FZ15" s="20">
        <f>FZ16-FZ14</f>
        <v/>
      </c>
      <c r="GA15" s="20">
        <f>GA16-GA14</f>
        <v/>
      </c>
      <c r="GB15" s="20">
        <f>GB16-GB14</f>
        <v/>
      </c>
      <c r="GC15" s="20">
        <f>GC16-GC14</f>
        <v/>
      </c>
      <c r="GD15" s="20">
        <f>GD16-GD14</f>
        <v/>
      </c>
      <c r="GE15" s="20">
        <f>GE16-GE14</f>
        <v/>
      </c>
      <c r="GF15" s="20">
        <f>GF16-GF14</f>
        <v/>
      </c>
      <c r="GG15" s="20">
        <f>GG16-GG14</f>
        <v/>
      </c>
      <c r="GH15" s="20">
        <f>GH16-GH14</f>
        <v/>
      </c>
      <c r="GI15" s="20">
        <f>GI16-GI14</f>
        <v/>
      </c>
      <c r="GJ15" s="20">
        <f>GJ16-GJ14</f>
        <v/>
      </c>
      <c r="GK15" s="20">
        <f>GK16-GK14</f>
        <v/>
      </c>
      <c r="GL15" s="20">
        <f>GL16-GL14</f>
        <v/>
      </c>
      <c r="GM15" s="20">
        <f>GM16-GM14</f>
        <v/>
      </c>
      <c r="GN15" s="20">
        <f>GN16-GN14</f>
        <v/>
      </c>
      <c r="GO15" s="20">
        <f>GO16-GO14</f>
        <v/>
      </c>
      <c r="GP15" s="20">
        <f>GP16-GP14</f>
        <v/>
      </c>
      <c r="GQ15" s="20">
        <f>GQ16-GQ14</f>
        <v/>
      </c>
      <c r="GR15" s="20">
        <f>GR16-GR14</f>
        <v/>
      </c>
      <c r="GS15" s="20">
        <f>GS16-GS14</f>
        <v/>
      </c>
      <c r="GT15" s="20">
        <f>GT16-GT14</f>
        <v/>
      </c>
      <c r="GU15" s="20">
        <f>GU16-GU14</f>
        <v/>
      </c>
      <c r="GV15" s="20">
        <f>GV16-GV14</f>
        <v/>
      </c>
      <c r="GW15" s="20">
        <f>GW16-GW14</f>
        <v/>
      </c>
      <c r="GX15" s="20">
        <f>GX16-GX14</f>
        <v/>
      </c>
      <c r="GY15" s="20">
        <f>GY16-GY14</f>
        <v/>
      </c>
      <c r="GZ15" s="20">
        <f>GZ16-GZ14</f>
        <v/>
      </c>
      <c r="HA15" s="20">
        <f>HA16-HA14</f>
        <v/>
      </c>
      <c r="HB15" s="20">
        <f>HB16-HB14</f>
        <v/>
      </c>
      <c r="HC15" s="20">
        <f>HC16-HC14</f>
        <v/>
      </c>
      <c r="HD15" s="20">
        <f>HD16-HD14</f>
        <v/>
      </c>
      <c r="HE15" s="20">
        <f>HE16-HE14</f>
        <v/>
      </c>
      <c r="HF15" s="20">
        <f>HF16-HF14</f>
        <v/>
      </c>
      <c r="HG15" s="20">
        <f>HG16-HG14</f>
        <v/>
      </c>
      <c r="HH15" s="20">
        <f>HH16-HH14</f>
        <v/>
      </c>
      <c r="HI15" s="20">
        <f>HI16-HI14</f>
        <v/>
      </c>
      <c r="HJ15" s="20">
        <f>HJ16-HJ14</f>
        <v/>
      </c>
      <c r="HK15" s="20">
        <f>HK16-HK14</f>
        <v/>
      </c>
      <c r="HL15" s="20">
        <f>HL16-HL14</f>
        <v/>
      </c>
      <c r="HM15" s="20">
        <f>HM16-HM14</f>
        <v/>
      </c>
      <c r="HN15" s="20">
        <f>HN16-HN14</f>
        <v/>
      </c>
      <c r="HO15" s="20">
        <f>HO16-HO14</f>
        <v/>
      </c>
      <c r="HP15" s="20">
        <f>HP16-HP14</f>
        <v/>
      </c>
      <c r="HQ15" s="20">
        <f>HQ16-HQ14</f>
        <v/>
      </c>
      <c r="HR15" s="20">
        <f>HR16-HR14</f>
        <v/>
      </c>
      <c r="HS15" s="20">
        <f>HS16-HS14</f>
        <v/>
      </c>
      <c r="HT15" s="20">
        <f>HT16-HT14</f>
        <v/>
      </c>
      <c r="HU15" s="20">
        <f>HU16-HU14</f>
        <v/>
      </c>
      <c r="HV15" s="20">
        <f>HV16-HV14</f>
        <v/>
      </c>
      <c r="HW15" s="20">
        <f>HW16-HW14</f>
        <v/>
      </c>
      <c r="HX15" s="20">
        <f>HX16-HX14</f>
        <v/>
      </c>
      <c r="HY15" s="20">
        <f>HY16-HY14</f>
        <v/>
      </c>
      <c r="HZ15" s="20">
        <f>HZ16-HZ14</f>
        <v/>
      </c>
      <c r="IA15" s="20">
        <f>IA16-IA14</f>
        <v/>
      </c>
      <c r="IB15" s="20">
        <f>IB16-IB14</f>
        <v/>
      </c>
      <c r="IC15" s="20">
        <f>IC16-IC14</f>
        <v/>
      </c>
      <c r="ID15" s="20">
        <f>ID16-ID14</f>
        <v/>
      </c>
      <c r="IE15" s="20">
        <f>IE16-IE14</f>
        <v/>
      </c>
      <c r="IF15" s="20">
        <f>IF16-IF14</f>
        <v/>
      </c>
      <c r="IG15" s="20">
        <f>IG16-IG14</f>
        <v/>
      </c>
      <c r="IH15" s="20">
        <f>IH16-IH14</f>
        <v/>
      </c>
      <c r="II15" s="20">
        <f>II16-II14</f>
        <v/>
      </c>
      <c r="IJ15" s="20">
        <f>IJ16-IJ14</f>
        <v/>
      </c>
      <c r="IK15" s="20">
        <f>IK16-IK14</f>
        <v/>
      </c>
      <c r="IL15" s="20">
        <f>IL16-IL14</f>
        <v/>
      </c>
      <c r="IM15" s="20">
        <f>IM16-IM14</f>
        <v/>
      </c>
      <c r="IN15" s="20">
        <f>IN16-IN14</f>
        <v/>
      </c>
      <c r="IO15" s="20">
        <f>IO16-IO14</f>
        <v/>
      </c>
      <c r="IP15" s="20">
        <f>IP16-IP14</f>
        <v/>
      </c>
      <c r="IQ15" s="20">
        <f>IQ16-IQ14</f>
        <v/>
      </c>
      <c r="IR15" s="20">
        <f>IR16-IR14</f>
        <v/>
      </c>
      <c r="IS15" s="20">
        <f>IS16-IS14</f>
        <v/>
      </c>
      <c r="IT15" s="20">
        <f>IT16-IT14</f>
        <v/>
      </c>
      <c r="IU15" s="20">
        <f>IU16-IU14</f>
        <v/>
      </c>
      <c r="IV15" s="20">
        <f>IV16-IV14</f>
        <v/>
      </c>
      <c r="IW15" s="20">
        <f>IW16-IW14</f>
        <v/>
      </c>
      <c r="IX15" s="20">
        <f>IX16-IX14</f>
        <v/>
      </c>
      <c r="IY15" s="20">
        <f>IY16-IY14</f>
        <v/>
      </c>
      <c r="IZ15" s="20">
        <f>IZ16-IZ14</f>
        <v/>
      </c>
      <c r="JA15" s="20">
        <f>JA16-JA14</f>
        <v/>
      </c>
      <c r="JB15" s="20">
        <f>JB16-JB14</f>
        <v/>
      </c>
      <c r="JC15" s="20">
        <f>JC16-JC14</f>
        <v/>
      </c>
      <c r="JD15" s="20">
        <f>JD16-JD14</f>
        <v/>
      </c>
      <c r="JE15" s="20">
        <f>JE16-JE14</f>
        <v/>
      </c>
      <c r="JF15" s="20">
        <f>JF16-JF14</f>
        <v/>
      </c>
      <c r="JG15" s="20">
        <f>JG16-JG14</f>
        <v/>
      </c>
      <c r="JH15" s="20">
        <f>JH16-JH14</f>
        <v/>
      </c>
      <c r="JI15" s="20">
        <f>JI16-JI14</f>
        <v/>
      </c>
      <c r="JJ15" s="20">
        <f>JJ16-JJ14</f>
        <v/>
      </c>
      <c r="JK15" s="20">
        <f>JK16-JK14</f>
        <v/>
      </c>
      <c r="JL15" s="20">
        <f>JL16-JL14</f>
        <v/>
      </c>
      <c r="JM15" s="20">
        <f>JM16-JM14</f>
        <v/>
      </c>
      <c r="JN15" s="20">
        <f>JN16-JN14</f>
        <v/>
      </c>
      <c r="JO15" s="20">
        <f>JO16-JO14</f>
        <v/>
      </c>
      <c r="JP15" s="20">
        <f>JP16-JP14</f>
        <v/>
      </c>
      <c r="JQ15" s="20">
        <f>JQ16-JQ14</f>
        <v/>
      </c>
      <c r="JR15" s="20">
        <f>JR16-JR14</f>
        <v/>
      </c>
      <c r="JS15" s="20">
        <f>JS16-JS14</f>
        <v/>
      </c>
      <c r="JT15" s="20">
        <f>JT16-JT14</f>
        <v/>
      </c>
      <c r="JU15" s="20">
        <f>JU16-JU14</f>
        <v/>
      </c>
      <c r="JV15" s="20">
        <f>JV16-JV14</f>
        <v/>
      </c>
      <c r="JW15" s="20">
        <f>JW16-JW14</f>
        <v/>
      </c>
      <c r="JX15" s="20">
        <f>JX16-JX14</f>
        <v/>
      </c>
      <c r="JY15" s="20">
        <f>JY16-JY14</f>
        <v/>
      </c>
      <c r="JZ15" s="20">
        <f>JZ16-JZ14</f>
        <v/>
      </c>
      <c r="KA15" s="20">
        <f>KA16-KA14</f>
        <v/>
      </c>
      <c r="KB15" s="20">
        <f>KB16-KB14</f>
        <v/>
      </c>
      <c r="KC15" s="20">
        <f>KC16-KC14</f>
        <v/>
      </c>
      <c r="KD15" s="20">
        <f>KD16-KD14</f>
        <v/>
      </c>
      <c r="KE15" s="20">
        <f>KE16-KE14</f>
        <v/>
      </c>
      <c r="KF15" s="20">
        <f>KF16-KF14</f>
        <v/>
      </c>
      <c r="KG15" s="20">
        <f>KG16-KG14</f>
        <v/>
      </c>
      <c r="KH15" s="20">
        <f>KH16-KH14</f>
        <v/>
      </c>
      <c r="KI15" s="20">
        <f>KI16-KI14</f>
        <v/>
      </c>
      <c r="KJ15" s="20">
        <f>KJ16-KJ14</f>
        <v/>
      </c>
      <c r="KK15" s="20">
        <f>KK16-KK14</f>
        <v/>
      </c>
      <c r="KL15" s="20">
        <f>KL16-KL14</f>
        <v/>
      </c>
      <c r="KM15" s="20">
        <f>KM16-KM14</f>
        <v/>
      </c>
      <c r="KN15" s="20">
        <f>KN16-KN14</f>
        <v/>
      </c>
      <c r="KO15" s="20">
        <f>KO16-KO14</f>
        <v/>
      </c>
      <c r="KP15" s="20">
        <f>KP16-KP14</f>
        <v/>
      </c>
      <c r="KQ15" s="20">
        <f>KQ16-KQ14</f>
        <v/>
      </c>
      <c r="KR15" s="20">
        <f>KR16-KR14</f>
        <v/>
      </c>
      <c r="KS15" s="20">
        <f>KS16-KS14</f>
        <v/>
      </c>
      <c r="KT15" s="20">
        <f>KT16-KT14</f>
        <v/>
      </c>
      <c r="KU15" s="20">
        <f>KU16-KU14</f>
        <v/>
      </c>
      <c r="KV15" s="20">
        <f>KV16-KV14</f>
        <v/>
      </c>
      <c r="KW15" s="20">
        <f>KW16-KW14</f>
        <v/>
      </c>
      <c r="KX15" s="20">
        <f>KX16-KX14</f>
        <v/>
      </c>
      <c r="KY15" s="20">
        <f>KY16-KY14</f>
        <v/>
      </c>
      <c r="KZ15" s="20">
        <f>KZ16-KZ14</f>
        <v/>
      </c>
      <c r="LA15" s="20">
        <f>LA16-LA14</f>
        <v/>
      </c>
      <c r="LB15" s="20">
        <f>LB16-LB14</f>
        <v/>
      </c>
      <c r="LC15" s="20">
        <f>LC16-LC14</f>
        <v/>
      </c>
      <c r="LD15" s="20">
        <f>LD16-LD14</f>
        <v/>
      </c>
      <c r="LE15" s="20">
        <f>LE16-LE14</f>
        <v/>
      </c>
      <c r="LF15" s="20">
        <f>LF16-LF14</f>
        <v/>
      </c>
      <c r="LG15" s="20">
        <f>LG16-LG14</f>
        <v/>
      </c>
      <c r="LH15" s="20">
        <f>LH16-LH14</f>
        <v/>
      </c>
      <c r="LI15" s="20">
        <f>LI16-LI14</f>
        <v/>
      </c>
    </row>
    <row r="16">
      <c r="B16" s="18" t="inlineStr">
        <is>
          <t>Servicio de deuda</t>
        </is>
      </c>
      <c r="D16" s="20">
        <f>D8*$D$13</f>
        <v/>
      </c>
      <c r="E16" s="20">
        <f>E8*$D$13</f>
        <v/>
      </c>
      <c r="F16" s="20">
        <f>F8*$D$13</f>
        <v/>
      </c>
      <c r="G16" s="20">
        <f>G8*$D$13</f>
        <v/>
      </c>
      <c r="H16" s="20">
        <f>H8*$D$13</f>
        <v/>
      </c>
      <c r="I16" s="20">
        <f>I8*$D$13</f>
        <v/>
      </c>
      <c r="J16" s="20">
        <f>J8*$D$13</f>
        <v/>
      </c>
      <c r="K16" s="20">
        <f>K8*$D$13</f>
        <v/>
      </c>
      <c r="L16" s="20">
        <f>L8*$D$13</f>
        <v/>
      </c>
      <c r="M16" s="20">
        <f>M8*$D$13</f>
        <v/>
      </c>
      <c r="N16" s="20">
        <f>N8*$D$13</f>
        <v/>
      </c>
      <c r="O16" s="20">
        <f>O8*$D$13</f>
        <v/>
      </c>
      <c r="P16" s="20">
        <f>P8*$D$13</f>
        <v/>
      </c>
      <c r="Q16" s="20">
        <f>Q8*$D$13</f>
        <v/>
      </c>
      <c r="R16" s="20">
        <f>R8*$D$13</f>
        <v/>
      </c>
      <c r="S16" s="20">
        <f>S8*$D$13</f>
        <v/>
      </c>
      <c r="T16" s="20">
        <f>T8*$D$13</f>
        <v/>
      </c>
      <c r="U16" s="20">
        <f>U8*$D$13</f>
        <v/>
      </c>
      <c r="V16" s="20">
        <f>V8*$D$13</f>
        <v/>
      </c>
      <c r="W16" s="20">
        <f>W8*$D$13</f>
        <v/>
      </c>
      <c r="X16" s="20">
        <f>X8*$D$13</f>
        <v/>
      </c>
      <c r="Y16" s="20">
        <f>Y8*$D$13</f>
        <v/>
      </c>
      <c r="Z16" s="20">
        <f>Z8*$D$13</f>
        <v/>
      </c>
      <c r="AA16" s="20">
        <f>AA8*$D$13</f>
        <v/>
      </c>
      <c r="AB16" s="20">
        <f>AB8*$D$13</f>
        <v/>
      </c>
      <c r="AC16" s="20">
        <f>AC8*$D$13</f>
        <v/>
      </c>
      <c r="AD16" s="20">
        <f>AD8*$D$13</f>
        <v/>
      </c>
      <c r="AE16" s="20">
        <f>AE8*$D$13</f>
        <v/>
      </c>
      <c r="AF16" s="20">
        <f>AF8*$D$13</f>
        <v/>
      </c>
      <c r="AG16" s="20">
        <f>AG8*$D$13</f>
        <v/>
      </c>
      <c r="AH16" s="20">
        <f>AH8*$D$13</f>
        <v/>
      </c>
      <c r="AI16" s="20">
        <f>AI8*$D$13</f>
        <v/>
      </c>
      <c r="AJ16" s="20">
        <f>AJ8*$D$13</f>
        <v/>
      </c>
      <c r="AK16" s="20">
        <f>AK8*$D$13</f>
        <v/>
      </c>
      <c r="AL16" s="20">
        <f>AL8*$D$13</f>
        <v/>
      </c>
      <c r="AM16" s="20">
        <f>AM8*$D$13</f>
        <v/>
      </c>
      <c r="AN16" s="20">
        <f>AN8*$D$13</f>
        <v/>
      </c>
      <c r="AO16" s="20">
        <f>AO8*$D$13</f>
        <v/>
      </c>
      <c r="AP16" s="20">
        <f>AP8*$D$13</f>
        <v/>
      </c>
      <c r="AQ16" s="20">
        <f>AQ8*$D$13</f>
        <v/>
      </c>
      <c r="AR16" s="20">
        <f>AR8*$D$13</f>
        <v/>
      </c>
      <c r="AS16" s="20">
        <f>AS8*$D$13</f>
        <v/>
      </c>
      <c r="AT16" s="20">
        <f>AT8*$D$13</f>
        <v/>
      </c>
      <c r="AU16" s="20">
        <f>AU8*$D$13</f>
        <v/>
      </c>
      <c r="AV16" s="20">
        <f>AV8*$D$13</f>
        <v/>
      </c>
      <c r="AW16" s="20">
        <f>AW8*$D$13</f>
        <v/>
      </c>
      <c r="AX16" s="20">
        <f>AX8*$D$13</f>
        <v/>
      </c>
      <c r="AY16" s="20">
        <f>AY8*$D$13</f>
        <v/>
      </c>
      <c r="AZ16" s="20">
        <f>AZ8*$D$13</f>
        <v/>
      </c>
      <c r="BA16" s="20">
        <f>BA8*$D$13</f>
        <v/>
      </c>
      <c r="BB16" s="20">
        <f>BB8*$D$13</f>
        <v/>
      </c>
      <c r="BC16" s="20">
        <f>BC8*$D$13</f>
        <v/>
      </c>
      <c r="BD16" s="20">
        <f>BD8*$D$13</f>
        <v/>
      </c>
      <c r="BE16" s="20">
        <f>BE8*$D$13</f>
        <v/>
      </c>
      <c r="BF16" s="20">
        <f>BF8*$D$13</f>
        <v/>
      </c>
      <c r="BG16" s="20">
        <f>BG8*$D$13</f>
        <v/>
      </c>
      <c r="BH16" s="20">
        <f>BH8*$D$13</f>
        <v/>
      </c>
      <c r="BI16" s="20">
        <f>BI8*$D$13</f>
        <v/>
      </c>
      <c r="BJ16" s="20">
        <f>BJ8*$D$13</f>
        <v/>
      </c>
      <c r="BK16" s="20">
        <f>BK8*$D$13</f>
        <v/>
      </c>
      <c r="BL16" s="20">
        <f>BL8*$D$13</f>
        <v/>
      </c>
      <c r="BM16" s="20">
        <f>BM8*$D$13</f>
        <v/>
      </c>
      <c r="BN16" s="20">
        <f>BN8*$D$13</f>
        <v/>
      </c>
      <c r="BO16" s="20">
        <f>BO8*$D$13</f>
        <v/>
      </c>
      <c r="BP16" s="20">
        <f>BP8*$D$13</f>
        <v/>
      </c>
      <c r="BQ16" s="20">
        <f>BQ8*$D$13</f>
        <v/>
      </c>
      <c r="BR16" s="20">
        <f>BR8*$D$13</f>
        <v/>
      </c>
      <c r="BS16" s="20">
        <f>BS8*$D$13</f>
        <v/>
      </c>
      <c r="BT16" s="20">
        <f>BT8*$D$13</f>
        <v/>
      </c>
      <c r="BU16" s="20">
        <f>BU8*$D$13</f>
        <v/>
      </c>
      <c r="BV16" s="20">
        <f>BV8*$D$13</f>
        <v/>
      </c>
      <c r="BW16" s="20">
        <f>BW8*$D$13</f>
        <v/>
      </c>
      <c r="BX16" s="20">
        <f>BX8*$D$13</f>
        <v/>
      </c>
      <c r="BY16" s="20">
        <f>BY8*$D$13</f>
        <v/>
      </c>
      <c r="BZ16" s="20">
        <f>BZ8*$D$13</f>
        <v/>
      </c>
      <c r="CA16" s="20">
        <f>CA8*$D$13</f>
        <v/>
      </c>
      <c r="CB16" s="20">
        <f>CB8*$D$13</f>
        <v/>
      </c>
      <c r="CC16" s="20">
        <f>CC8*$D$13</f>
        <v/>
      </c>
      <c r="CD16" s="20">
        <f>CD8*$D$13</f>
        <v/>
      </c>
      <c r="CE16" s="20">
        <f>CE8*$D$13</f>
        <v/>
      </c>
      <c r="CF16" s="20">
        <f>CF8*$D$13</f>
        <v/>
      </c>
      <c r="CG16" s="20">
        <f>CG8*$D$13</f>
        <v/>
      </c>
      <c r="CH16" s="20">
        <f>CH8*$D$13</f>
        <v/>
      </c>
      <c r="CI16" s="20">
        <f>CI8*$D$13</f>
        <v/>
      </c>
      <c r="CJ16" s="20">
        <f>CJ8*$D$13</f>
        <v/>
      </c>
      <c r="CK16" s="20">
        <f>CK8*$D$13</f>
        <v/>
      </c>
      <c r="CL16" s="20">
        <f>CL8*$D$13</f>
        <v/>
      </c>
      <c r="CM16" s="20">
        <f>CM8*$D$13</f>
        <v/>
      </c>
      <c r="CN16" s="20">
        <f>CN8*$D$13</f>
        <v/>
      </c>
      <c r="CO16" s="20">
        <f>CO8*$D$13</f>
        <v/>
      </c>
      <c r="CP16" s="20">
        <f>CP8*$D$13</f>
        <v/>
      </c>
      <c r="CQ16" s="20">
        <f>CQ8*$D$13</f>
        <v/>
      </c>
      <c r="CR16" s="20">
        <f>CR8*$D$13</f>
        <v/>
      </c>
      <c r="CS16" s="20">
        <f>CS8*$D$13</f>
        <v/>
      </c>
      <c r="CT16" s="20">
        <f>CT8*$D$13</f>
        <v/>
      </c>
      <c r="CU16" s="20">
        <f>CU8*$D$13</f>
        <v/>
      </c>
      <c r="CV16" s="20">
        <f>CV8*$D$13</f>
        <v/>
      </c>
      <c r="CW16" s="20">
        <f>CW8*$D$13</f>
        <v/>
      </c>
      <c r="CX16" s="20">
        <f>CX8*$D$13</f>
        <v/>
      </c>
      <c r="CY16" s="20">
        <f>CY8*$D$13</f>
        <v/>
      </c>
      <c r="CZ16" s="20">
        <f>CZ8*$D$13</f>
        <v/>
      </c>
      <c r="DA16" s="20">
        <f>DA8*$D$13</f>
        <v/>
      </c>
      <c r="DB16" s="20">
        <f>DB8*$D$13</f>
        <v/>
      </c>
      <c r="DC16" s="20">
        <f>DC8*$D$13</f>
        <v/>
      </c>
      <c r="DD16" s="20">
        <f>DD8*$D$13</f>
        <v/>
      </c>
      <c r="DE16" s="20">
        <f>DE8*$D$13</f>
        <v/>
      </c>
      <c r="DF16" s="20">
        <f>DF8*$D$13</f>
        <v/>
      </c>
      <c r="DG16" s="20">
        <f>DG8*$D$13</f>
        <v/>
      </c>
      <c r="DH16" s="20">
        <f>DH8*$D$13</f>
        <v/>
      </c>
      <c r="DI16" s="20">
        <f>DI8*$D$13</f>
        <v/>
      </c>
      <c r="DJ16" s="20">
        <f>DJ8*$D$13</f>
        <v/>
      </c>
      <c r="DK16" s="20">
        <f>DK8*$D$13</f>
        <v/>
      </c>
      <c r="DL16" s="20">
        <f>DL8*$D$13</f>
        <v/>
      </c>
      <c r="DM16" s="20">
        <f>DM8*$D$13</f>
        <v/>
      </c>
      <c r="DN16" s="20">
        <f>DN8*$D$13</f>
        <v/>
      </c>
      <c r="DO16" s="20">
        <f>DO8*$D$13</f>
        <v/>
      </c>
      <c r="DP16" s="20">
        <f>DP8*$D$13</f>
        <v/>
      </c>
      <c r="DQ16" s="20">
        <f>DQ8*$D$13</f>
        <v/>
      </c>
      <c r="DR16" s="20">
        <f>DR8*$D$13</f>
        <v/>
      </c>
      <c r="DS16" s="20">
        <f>DS8*$D$13</f>
        <v/>
      </c>
      <c r="DT16" s="20">
        <f>DT8*$D$13</f>
        <v/>
      </c>
      <c r="DU16" s="20">
        <f>DU8*$D$13</f>
        <v/>
      </c>
      <c r="DV16" s="20">
        <f>DV8*$D$13</f>
        <v/>
      </c>
      <c r="DW16" s="20">
        <f>DW8*$D$13</f>
        <v/>
      </c>
      <c r="DX16" s="20">
        <f>DX8*$D$13</f>
        <v/>
      </c>
      <c r="DY16" s="20">
        <f>DY8*$D$13</f>
        <v/>
      </c>
      <c r="DZ16" s="20">
        <f>DZ8*$D$13</f>
        <v/>
      </c>
      <c r="EA16" s="20">
        <f>EA8*$D$13</f>
        <v/>
      </c>
      <c r="EB16" s="20">
        <f>EB8*$D$13</f>
        <v/>
      </c>
      <c r="EC16" s="20">
        <f>EC8*$D$13</f>
        <v/>
      </c>
      <c r="ED16" s="20">
        <f>ED8*$D$13</f>
        <v/>
      </c>
      <c r="EE16" s="20">
        <f>EE8*$D$13</f>
        <v/>
      </c>
      <c r="EF16" s="20">
        <f>EF8*$D$13</f>
        <v/>
      </c>
      <c r="EG16" s="20">
        <f>EG8*$D$13</f>
        <v/>
      </c>
      <c r="EH16" s="20">
        <f>EH8*$D$13</f>
        <v/>
      </c>
      <c r="EI16" s="20">
        <f>EI8*$D$13</f>
        <v/>
      </c>
      <c r="EJ16" s="20">
        <f>EJ8*$D$13</f>
        <v/>
      </c>
      <c r="EK16" s="20">
        <f>EK8*$D$13</f>
        <v/>
      </c>
      <c r="EL16" s="20">
        <f>EL8*$D$13</f>
        <v/>
      </c>
      <c r="EM16" s="20">
        <f>EM8*$D$13</f>
        <v/>
      </c>
      <c r="EN16" s="20">
        <f>EN8*$D$13</f>
        <v/>
      </c>
      <c r="EO16" s="20">
        <f>EO8*$D$13</f>
        <v/>
      </c>
      <c r="EP16" s="20">
        <f>EP8*$D$13</f>
        <v/>
      </c>
      <c r="EQ16" s="20">
        <f>EQ8*$D$13</f>
        <v/>
      </c>
      <c r="ER16" s="20">
        <f>ER8*$D$13</f>
        <v/>
      </c>
      <c r="ES16" s="20">
        <f>ES8*$D$13</f>
        <v/>
      </c>
      <c r="ET16" s="20">
        <f>ET8*$D$13</f>
        <v/>
      </c>
      <c r="EU16" s="20">
        <f>EU8*$D$13</f>
        <v/>
      </c>
      <c r="EV16" s="20">
        <f>EV8*$D$13</f>
        <v/>
      </c>
      <c r="EW16" s="20">
        <f>EW8*$D$13</f>
        <v/>
      </c>
      <c r="EX16" s="20">
        <f>EX8*$D$13</f>
        <v/>
      </c>
      <c r="EY16" s="20">
        <f>EY8*$D$13</f>
        <v/>
      </c>
      <c r="EZ16" s="20">
        <f>EZ8*$D$13</f>
        <v/>
      </c>
      <c r="FA16" s="20">
        <f>FA8*$D$13</f>
        <v/>
      </c>
      <c r="FB16" s="20">
        <f>FB8*$D$13</f>
        <v/>
      </c>
      <c r="FC16" s="20">
        <f>FC8*$D$13</f>
        <v/>
      </c>
      <c r="FD16" s="20">
        <f>FD8*$D$13</f>
        <v/>
      </c>
      <c r="FE16" s="20">
        <f>FE8*$D$13</f>
        <v/>
      </c>
      <c r="FF16" s="20">
        <f>FF8*$D$13</f>
        <v/>
      </c>
      <c r="FG16" s="20">
        <f>FG8*$D$13</f>
        <v/>
      </c>
      <c r="FH16" s="20">
        <f>FH8*$D$13</f>
        <v/>
      </c>
      <c r="FI16" s="20">
        <f>FI8*$D$13</f>
        <v/>
      </c>
      <c r="FJ16" s="20">
        <f>FJ8*$D$13</f>
        <v/>
      </c>
      <c r="FK16" s="20">
        <f>FK8*$D$13</f>
        <v/>
      </c>
      <c r="FL16" s="20">
        <f>FL8*$D$13</f>
        <v/>
      </c>
      <c r="FM16" s="20">
        <f>FM8*$D$13</f>
        <v/>
      </c>
      <c r="FN16" s="20">
        <f>FN8*$D$13</f>
        <v/>
      </c>
      <c r="FO16" s="20">
        <f>FO8*$D$13</f>
        <v/>
      </c>
      <c r="FP16" s="20">
        <f>FP8*$D$13</f>
        <v/>
      </c>
      <c r="FQ16" s="20">
        <f>FQ8*$D$13</f>
        <v/>
      </c>
      <c r="FR16" s="20">
        <f>FR8*$D$13</f>
        <v/>
      </c>
      <c r="FS16" s="20">
        <f>FS8*$D$13</f>
        <v/>
      </c>
      <c r="FT16" s="20">
        <f>FT8*$D$13</f>
        <v/>
      </c>
      <c r="FU16" s="20">
        <f>FU8*$D$13</f>
        <v/>
      </c>
      <c r="FV16" s="20">
        <f>FV8*$D$13</f>
        <v/>
      </c>
      <c r="FW16" s="20">
        <f>FW8*$D$13</f>
        <v/>
      </c>
      <c r="FX16" s="20">
        <f>FX8*$D$13</f>
        <v/>
      </c>
      <c r="FY16" s="20">
        <f>FY8*$D$13</f>
        <v/>
      </c>
      <c r="FZ16" s="20">
        <f>FZ8*$D$13</f>
        <v/>
      </c>
      <c r="GA16" s="20">
        <f>GA8*$D$13</f>
        <v/>
      </c>
      <c r="GB16" s="20">
        <f>GB8*$D$13</f>
        <v/>
      </c>
      <c r="GC16" s="20">
        <f>GC8*$D$13</f>
        <v/>
      </c>
      <c r="GD16" s="20">
        <f>GD8*$D$13</f>
        <v/>
      </c>
      <c r="GE16" s="20">
        <f>GE8*$D$13</f>
        <v/>
      </c>
      <c r="GF16" s="20">
        <f>GF8*$D$13</f>
        <v/>
      </c>
      <c r="GG16" s="20">
        <f>GG8*$D$13</f>
        <v/>
      </c>
      <c r="GH16" s="20">
        <f>GH8*$D$13</f>
        <v/>
      </c>
      <c r="GI16" s="20">
        <f>GI8*$D$13</f>
        <v/>
      </c>
      <c r="GJ16" s="20">
        <f>GJ8*$D$13</f>
        <v/>
      </c>
      <c r="GK16" s="20">
        <f>GK8*$D$13</f>
        <v/>
      </c>
      <c r="GL16" s="20">
        <f>GL8*$D$13</f>
        <v/>
      </c>
      <c r="GM16" s="20">
        <f>GM8*$D$13</f>
        <v/>
      </c>
      <c r="GN16" s="20">
        <f>GN8*$D$13</f>
        <v/>
      </c>
      <c r="GO16" s="20">
        <f>GO8*$D$13</f>
        <v/>
      </c>
      <c r="GP16" s="20">
        <f>GP8*$D$13</f>
        <v/>
      </c>
      <c r="GQ16" s="20">
        <f>GQ8*$D$13</f>
        <v/>
      </c>
      <c r="GR16" s="20">
        <f>GR8*$D$13</f>
        <v/>
      </c>
      <c r="GS16" s="20">
        <f>GS8*$D$13</f>
        <v/>
      </c>
      <c r="GT16" s="20">
        <f>GT8*$D$13</f>
        <v/>
      </c>
      <c r="GU16" s="20">
        <f>GU8*$D$13</f>
        <v/>
      </c>
      <c r="GV16" s="20">
        <f>GV8*$D$13</f>
        <v/>
      </c>
      <c r="GW16" s="20">
        <f>GW8*$D$13</f>
        <v/>
      </c>
      <c r="GX16" s="20">
        <f>GX8*$D$13</f>
        <v/>
      </c>
      <c r="GY16" s="20">
        <f>GY8*$D$13</f>
        <v/>
      </c>
      <c r="GZ16" s="20">
        <f>GZ8*$D$13</f>
        <v/>
      </c>
      <c r="HA16" s="20">
        <f>HA8*$D$13</f>
        <v/>
      </c>
      <c r="HB16" s="20">
        <f>HB8*$D$13</f>
        <v/>
      </c>
      <c r="HC16" s="20">
        <f>HC8*$D$13</f>
        <v/>
      </c>
      <c r="HD16" s="20">
        <f>HD8*$D$13</f>
        <v/>
      </c>
      <c r="HE16" s="20">
        <f>HE8*$D$13</f>
        <v/>
      </c>
      <c r="HF16" s="20">
        <f>HF8*$D$13</f>
        <v/>
      </c>
      <c r="HG16" s="20">
        <f>HG8*$D$13</f>
        <v/>
      </c>
      <c r="HH16" s="20">
        <f>HH8*$D$13</f>
        <v/>
      </c>
      <c r="HI16" s="20">
        <f>HI8*$D$13</f>
        <v/>
      </c>
      <c r="HJ16" s="20">
        <f>HJ8*$D$13</f>
        <v/>
      </c>
      <c r="HK16" s="20">
        <f>HK8*$D$13</f>
        <v/>
      </c>
      <c r="HL16" s="20">
        <f>HL8*$D$13</f>
        <v/>
      </c>
      <c r="HM16" s="20">
        <f>HM8*$D$13</f>
        <v/>
      </c>
      <c r="HN16" s="20">
        <f>HN8*$D$13</f>
        <v/>
      </c>
      <c r="HO16" s="20">
        <f>HO8*$D$13</f>
        <v/>
      </c>
      <c r="HP16" s="20">
        <f>HP8*$D$13</f>
        <v/>
      </c>
      <c r="HQ16" s="20">
        <f>HQ8*$D$13</f>
        <v/>
      </c>
      <c r="HR16" s="20">
        <f>HR8*$D$13</f>
        <v/>
      </c>
      <c r="HS16" s="20">
        <f>HS8*$D$13</f>
        <v/>
      </c>
      <c r="HT16" s="20">
        <f>HT8*$D$13</f>
        <v/>
      </c>
      <c r="HU16" s="20">
        <f>HU8*$D$13</f>
        <v/>
      </c>
      <c r="HV16" s="20">
        <f>HV8*$D$13</f>
        <v/>
      </c>
      <c r="HW16" s="20">
        <f>HW8*$D$13</f>
        <v/>
      </c>
      <c r="HX16" s="20">
        <f>HX8*$D$13</f>
        <v/>
      </c>
      <c r="HY16" s="20">
        <f>HY8*$D$13</f>
        <v/>
      </c>
      <c r="HZ16" s="20">
        <f>HZ8*$D$13</f>
        <v/>
      </c>
      <c r="IA16" s="20">
        <f>IA8*$D$13</f>
        <v/>
      </c>
      <c r="IB16" s="20">
        <f>IB8*$D$13</f>
        <v/>
      </c>
      <c r="IC16" s="20">
        <f>IC8*$D$13</f>
        <v/>
      </c>
      <c r="ID16" s="20">
        <f>ID8*$D$13</f>
        <v/>
      </c>
      <c r="IE16" s="20">
        <f>IE8*$D$13</f>
        <v/>
      </c>
      <c r="IF16" s="20">
        <f>IF8*$D$13</f>
        <v/>
      </c>
      <c r="IG16" s="20">
        <f>IG8*$D$13</f>
        <v/>
      </c>
      <c r="IH16" s="20">
        <f>IH8*$D$13</f>
        <v/>
      </c>
      <c r="II16" s="20">
        <f>II8*$D$13</f>
        <v/>
      </c>
      <c r="IJ16" s="20">
        <f>IJ8*$D$13</f>
        <v/>
      </c>
      <c r="IK16" s="20">
        <f>IK8*$D$13</f>
        <v/>
      </c>
      <c r="IL16" s="20">
        <f>IL8*$D$13</f>
        <v/>
      </c>
      <c r="IM16" s="20">
        <f>IM8*$D$13</f>
        <v/>
      </c>
      <c r="IN16" s="20">
        <f>IN8*$D$13</f>
        <v/>
      </c>
      <c r="IO16" s="20">
        <f>IO8*$D$13</f>
        <v/>
      </c>
      <c r="IP16" s="20">
        <f>IP8*$D$13</f>
        <v/>
      </c>
      <c r="IQ16" s="20">
        <f>IQ8*$D$13</f>
        <v/>
      </c>
      <c r="IR16" s="20">
        <f>IR8*$D$13</f>
        <v/>
      </c>
      <c r="IS16" s="20">
        <f>IS8*$D$13</f>
        <v/>
      </c>
      <c r="IT16" s="20">
        <f>IT8*$D$13</f>
        <v/>
      </c>
      <c r="IU16" s="20">
        <f>IU8*$D$13</f>
        <v/>
      </c>
      <c r="IV16" s="20">
        <f>IV8*$D$13</f>
        <v/>
      </c>
      <c r="IW16" s="20">
        <f>IW8*$D$13</f>
        <v/>
      </c>
      <c r="IX16" s="20">
        <f>IX8*$D$13</f>
        <v/>
      </c>
      <c r="IY16" s="20">
        <f>IY8*$D$13</f>
        <v/>
      </c>
      <c r="IZ16" s="20">
        <f>IZ8*$D$13</f>
        <v/>
      </c>
      <c r="JA16" s="20">
        <f>JA8*$D$13</f>
        <v/>
      </c>
      <c r="JB16" s="20">
        <f>JB8*$D$13</f>
        <v/>
      </c>
      <c r="JC16" s="20">
        <f>JC8*$D$13</f>
        <v/>
      </c>
      <c r="JD16" s="20">
        <f>JD8*$D$13</f>
        <v/>
      </c>
      <c r="JE16" s="20">
        <f>JE8*$D$13</f>
        <v/>
      </c>
      <c r="JF16" s="20">
        <f>JF8*$D$13</f>
        <v/>
      </c>
      <c r="JG16" s="20">
        <f>JG8*$D$13</f>
        <v/>
      </c>
      <c r="JH16" s="20">
        <f>JH8*$D$13</f>
        <v/>
      </c>
      <c r="JI16" s="20">
        <f>JI8*$D$13</f>
        <v/>
      </c>
      <c r="JJ16" s="20">
        <f>JJ8*$D$13</f>
        <v/>
      </c>
      <c r="JK16" s="20">
        <f>JK8*$D$13</f>
        <v/>
      </c>
      <c r="JL16" s="20">
        <f>JL8*$D$13</f>
        <v/>
      </c>
      <c r="JM16" s="20">
        <f>JM8*$D$13</f>
        <v/>
      </c>
      <c r="JN16" s="20">
        <f>JN8*$D$13</f>
        <v/>
      </c>
      <c r="JO16" s="20">
        <f>JO8*$D$13</f>
        <v/>
      </c>
      <c r="JP16" s="20">
        <f>JP8*$D$13</f>
        <v/>
      </c>
      <c r="JQ16" s="20">
        <f>JQ8*$D$13</f>
        <v/>
      </c>
      <c r="JR16" s="20">
        <f>JR8*$D$13</f>
        <v/>
      </c>
      <c r="JS16" s="20">
        <f>JS8*$D$13</f>
        <v/>
      </c>
      <c r="JT16" s="20">
        <f>JT8*$D$13</f>
        <v/>
      </c>
      <c r="JU16" s="20">
        <f>JU8*$D$13</f>
        <v/>
      </c>
      <c r="JV16" s="20">
        <f>JV8*$D$13</f>
        <v/>
      </c>
      <c r="JW16" s="20">
        <f>JW8*$D$13</f>
        <v/>
      </c>
      <c r="JX16" s="20">
        <f>JX8*$D$13</f>
        <v/>
      </c>
      <c r="JY16" s="20">
        <f>JY8*$D$13</f>
        <v/>
      </c>
      <c r="JZ16" s="20">
        <f>JZ8*$D$13</f>
        <v/>
      </c>
      <c r="KA16" s="20">
        <f>KA8*$D$13</f>
        <v/>
      </c>
      <c r="KB16" s="20">
        <f>KB8*$D$13</f>
        <v/>
      </c>
      <c r="KC16" s="20">
        <f>KC8*$D$13</f>
        <v/>
      </c>
      <c r="KD16" s="20">
        <f>KD8*$D$13</f>
        <v/>
      </c>
      <c r="KE16" s="20">
        <f>KE8*$D$13</f>
        <v/>
      </c>
      <c r="KF16" s="20">
        <f>KF8*$D$13</f>
        <v/>
      </c>
      <c r="KG16" s="20">
        <f>KG8*$D$13</f>
        <v/>
      </c>
      <c r="KH16" s="20">
        <f>KH8*$D$13</f>
        <v/>
      </c>
      <c r="KI16" s="20">
        <f>KI8*$D$13</f>
        <v/>
      </c>
      <c r="KJ16" s="20">
        <f>KJ8*$D$13</f>
        <v/>
      </c>
      <c r="KK16" s="20">
        <f>KK8*$D$13</f>
        <v/>
      </c>
      <c r="KL16" s="20">
        <f>KL8*$D$13</f>
        <v/>
      </c>
      <c r="KM16" s="20">
        <f>KM8*$D$13</f>
        <v/>
      </c>
      <c r="KN16" s="20">
        <f>KN8*$D$13</f>
        <v/>
      </c>
      <c r="KO16" s="20">
        <f>KO8*$D$13</f>
        <v/>
      </c>
      <c r="KP16" s="20">
        <f>KP8*$D$13</f>
        <v/>
      </c>
      <c r="KQ16" s="20">
        <f>KQ8*$D$13</f>
        <v/>
      </c>
      <c r="KR16" s="20">
        <f>KR8*$D$13</f>
        <v/>
      </c>
      <c r="KS16" s="20">
        <f>KS8*$D$13</f>
        <v/>
      </c>
      <c r="KT16" s="20">
        <f>KT8*$D$13</f>
        <v/>
      </c>
      <c r="KU16" s="20">
        <f>KU8*$D$13</f>
        <v/>
      </c>
      <c r="KV16" s="20">
        <f>KV8*$D$13</f>
        <v/>
      </c>
      <c r="KW16" s="20">
        <f>KW8*$D$13</f>
        <v/>
      </c>
      <c r="KX16" s="20">
        <f>KX8*$D$13</f>
        <v/>
      </c>
      <c r="KY16" s="20">
        <f>KY8*$D$13</f>
        <v/>
      </c>
      <c r="KZ16" s="20">
        <f>KZ8*$D$13</f>
        <v/>
      </c>
      <c r="LA16" s="20">
        <f>LA8*$D$13</f>
        <v/>
      </c>
      <c r="LB16" s="20">
        <f>LB8*$D$13</f>
        <v/>
      </c>
      <c r="LC16" s="20">
        <f>LC8*$D$13</f>
        <v/>
      </c>
      <c r="LD16" s="20">
        <f>LD8*$D$13</f>
        <v/>
      </c>
      <c r="LE16" s="20">
        <f>LE8*$D$13</f>
        <v/>
      </c>
      <c r="LF16" s="20">
        <f>LF8*$D$13</f>
        <v/>
      </c>
      <c r="LG16" s="20">
        <f>LG8*$D$13</f>
        <v/>
      </c>
      <c r="LH16" s="20">
        <f>LH8*$D$13</f>
        <v/>
      </c>
      <c r="LI16" s="20">
        <f>LI8*$D$13</f>
        <v/>
      </c>
    </row>
    <row r="17">
      <c r="B17" s="22" t="inlineStr">
        <is>
          <t>Saldo deudor</t>
        </is>
      </c>
      <c r="D17" s="20">
        <f>0+D10-D15</f>
        <v/>
      </c>
      <c r="E17" s="20">
        <f>D17+E10-E15</f>
        <v/>
      </c>
      <c r="F17" s="20">
        <f>E17+F10-F15</f>
        <v/>
      </c>
      <c r="G17" s="20">
        <f>F17+G10-G15</f>
        <v/>
      </c>
      <c r="H17" s="20">
        <f>G17+H10-H15</f>
        <v/>
      </c>
      <c r="I17" s="20">
        <f>H17+I10-I15</f>
        <v/>
      </c>
      <c r="J17" s="20">
        <f>I17+J10-J15</f>
        <v/>
      </c>
      <c r="K17" s="20">
        <f>J17+K10-K15</f>
        <v/>
      </c>
      <c r="L17" s="20">
        <f>K17+L10-L15</f>
        <v/>
      </c>
      <c r="M17" s="20">
        <f>L17+M10-M15</f>
        <v/>
      </c>
      <c r="N17" s="20">
        <f>M17+N10-N15</f>
        <v/>
      </c>
      <c r="O17" s="20">
        <f>N17+O10-O15</f>
        <v/>
      </c>
      <c r="P17" s="20">
        <f>O17+P10-P15</f>
        <v/>
      </c>
      <c r="Q17" s="20">
        <f>P17+Q10-Q15</f>
        <v/>
      </c>
      <c r="R17" s="20">
        <f>Q17+R10-R15</f>
        <v/>
      </c>
      <c r="S17" s="20">
        <f>R17+S10-S15</f>
        <v/>
      </c>
      <c r="T17" s="20">
        <f>S17+T10-T15</f>
        <v/>
      </c>
      <c r="U17" s="20">
        <f>T17+U10-U15</f>
        <v/>
      </c>
      <c r="V17" s="20">
        <f>U17+V10-V15</f>
        <v/>
      </c>
      <c r="W17" s="20">
        <f>V17+W10-W15</f>
        <v/>
      </c>
      <c r="X17" s="20">
        <f>W17+X10-X15</f>
        <v/>
      </c>
      <c r="Y17" s="20">
        <f>X17+Y10-Y15</f>
        <v/>
      </c>
      <c r="Z17" s="20">
        <f>Y17+Z10-Z15</f>
        <v/>
      </c>
      <c r="AA17" s="20">
        <f>Z17+AA10-AA15</f>
        <v/>
      </c>
      <c r="AB17" s="20">
        <f>AA17+AB10-AB15</f>
        <v/>
      </c>
      <c r="AC17" s="20">
        <f>AB17+AC10-AC15</f>
        <v/>
      </c>
      <c r="AD17" s="20">
        <f>AC17+AD10-AD15</f>
        <v/>
      </c>
      <c r="AE17" s="20">
        <f>AD17+AE10-AE15</f>
        <v/>
      </c>
      <c r="AF17" s="20">
        <f>AE17+AF10-AF15</f>
        <v/>
      </c>
      <c r="AG17" s="20">
        <f>AF17+AG10-AG15</f>
        <v/>
      </c>
      <c r="AH17" s="20">
        <f>AG17+AH10-AH15</f>
        <v/>
      </c>
      <c r="AI17" s="20">
        <f>AH17+AI10-AI15</f>
        <v/>
      </c>
      <c r="AJ17" s="20">
        <f>AI17+AJ10-AJ15</f>
        <v/>
      </c>
      <c r="AK17" s="20">
        <f>AJ17+AK10-AK15</f>
        <v/>
      </c>
      <c r="AL17" s="20">
        <f>AK17+AL10-AL15</f>
        <v/>
      </c>
      <c r="AM17" s="20">
        <f>AL17+AM10-AM15</f>
        <v/>
      </c>
      <c r="AN17" s="20">
        <f>AM17+AN10-AN15</f>
        <v/>
      </c>
      <c r="AO17" s="20">
        <f>AN17+AO10-AO15</f>
        <v/>
      </c>
      <c r="AP17" s="20">
        <f>AO17+AP10-AP15</f>
        <v/>
      </c>
      <c r="AQ17" s="20">
        <f>AP17+AQ10-AQ15</f>
        <v/>
      </c>
      <c r="AR17" s="20">
        <f>AQ17+AR10-AR15</f>
        <v/>
      </c>
      <c r="AS17" s="20">
        <f>AR17+AS10-AS15</f>
        <v/>
      </c>
      <c r="AT17" s="20">
        <f>AS17+AT10-AT15</f>
        <v/>
      </c>
      <c r="AU17" s="20">
        <f>AT17+AU10-AU15</f>
        <v/>
      </c>
      <c r="AV17" s="20">
        <f>AU17+AV10-AV15</f>
        <v/>
      </c>
      <c r="AW17" s="20">
        <f>AV17+AW10-AW15</f>
        <v/>
      </c>
      <c r="AX17" s="20">
        <f>AW17+AX10-AX15</f>
        <v/>
      </c>
      <c r="AY17" s="20">
        <f>AX17+AY10-AY15</f>
        <v/>
      </c>
      <c r="AZ17" s="20">
        <f>AY17+AZ10-AZ15</f>
        <v/>
      </c>
      <c r="BA17" s="20">
        <f>AZ17+BA10-BA15</f>
        <v/>
      </c>
      <c r="BB17" s="20">
        <f>BA17+BB10-BB15</f>
        <v/>
      </c>
      <c r="BC17" s="20">
        <f>BB17+BC10-BC15</f>
        <v/>
      </c>
      <c r="BD17" s="20">
        <f>BC17+BD10-BD15</f>
        <v/>
      </c>
      <c r="BE17" s="20">
        <f>BD17+BE10-BE15</f>
        <v/>
      </c>
      <c r="BF17" s="20">
        <f>BE17+BF10-BF15</f>
        <v/>
      </c>
      <c r="BG17" s="20">
        <f>BF17+BG10-BG15</f>
        <v/>
      </c>
      <c r="BH17" s="20">
        <f>BG17+BH10-BH15</f>
        <v/>
      </c>
      <c r="BI17" s="20">
        <f>BH17+BI10-BI15</f>
        <v/>
      </c>
      <c r="BJ17" s="20">
        <f>BI17+BJ10-BJ15</f>
        <v/>
      </c>
      <c r="BK17" s="20">
        <f>BJ17+BK10-BK15</f>
        <v/>
      </c>
      <c r="BL17" s="20">
        <f>BK17+BL10-BL15</f>
        <v/>
      </c>
      <c r="BM17" s="20">
        <f>BL17+BM10-BM15</f>
        <v/>
      </c>
      <c r="BN17" s="20">
        <f>BM17+BN10-BN15</f>
        <v/>
      </c>
      <c r="BO17" s="20">
        <f>BN17+BO10-BO15</f>
        <v/>
      </c>
      <c r="BP17" s="20">
        <f>BO17+BP10-BP15</f>
        <v/>
      </c>
      <c r="BQ17" s="20">
        <f>BP17+BQ10-BQ15</f>
        <v/>
      </c>
      <c r="BR17" s="20">
        <f>BQ17+BR10-BR15</f>
        <v/>
      </c>
      <c r="BS17" s="20">
        <f>BR17+BS10-BS15</f>
        <v/>
      </c>
      <c r="BT17" s="20">
        <f>BS17+BT10-BT15</f>
        <v/>
      </c>
      <c r="BU17" s="20">
        <f>BT17+BU10-BU15</f>
        <v/>
      </c>
      <c r="BV17" s="20">
        <f>BU17+BV10-BV15</f>
        <v/>
      </c>
      <c r="BW17" s="20">
        <f>BV17+BW10-BW15</f>
        <v/>
      </c>
      <c r="BX17" s="20">
        <f>BW17+BX10-BX15</f>
        <v/>
      </c>
      <c r="BY17" s="20">
        <f>BX17+BY10-BY15</f>
        <v/>
      </c>
      <c r="BZ17" s="20">
        <f>BY17+BZ10-BZ15</f>
        <v/>
      </c>
      <c r="CA17" s="20">
        <f>BZ17+CA10-CA15</f>
        <v/>
      </c>
      <c r="CB17" s="20">
        <f>CA17+CB10-CB15</f>
        <v/>
      </c>
      <c r="CC17" s="20">
        <f>CB17+CC10-CC15</f>
        <v/>
      </c>
      <c r="CD17" s="20">
        <f>CC17+CD10-CD15</f>
        <v/>
      </c>
      <c r="CE17" s="20">
        <f>CD17+CE10-CE15</f>
        <v/>
      </c>
      <c r="CF17" s="20">
        <f>CE17+CF10-CF15</f>
        <v/>
      </c>
      <c r="CG17" s="20">
        <f>CF17+CG10-CG15</f>
        <v/>
      </c>
      <c r="CH17" s="20">
        <f>CG17+CH10-CH15</f>
        <v/>
      </c>
      <c r="CI17" s="20">
        <f>CH17+CI10-CI15</f>
        <v/>
      </c>
      <c r="CJ17" s="20">
        <f>CI17+CJ10-CJ15</f>
        <v/>
      </c>
      <c r="CK17" s="20">
        <f>CJ17+CK10-CK15</f>
        <v/>
      </c>
      <c r="CL17" s="20">
        <f>CK17+CL10-CL15</f>
        <v/>
      </c>
      <c r="CM17" s="20">
        <f>CL17+CM10-CM15</f>
        <v/>
      </c>
      <c r="CN17" s="20">
        <f>CM17+CN10-CN15</f>
        <v/>
      </c>
      <c r="CO17" s="20">
        <f>CN17+CO10-CO15</f>
        <v/>
      </c>
      <c r="CP17" s="20">
        <f>CO17+CP10-CP15</f>
        <v/>
      </c>
      <c r="CQ17" s="20">
        <f>CP17+CQ10-CQ15</f>
        <v/>
      </c>
      <c r="CR17" s="20">
        <f>CQ17+CR10-CR15</f>
        <v/>
      </c>
      <c r="CS17" s="20">
        <f>CR17+CS10-CS15</f>
        <v/>
      </c>
      <c r="CT17" s="20">
        <f>CS17+CT10-CT15</f>
        <v/>
      </c>
      <c r="CU17" s="20">
        <f>CT17+CU10-CU15</f>
        <v/>
      </c>
      <c r="CV17" s="20">
        <f>CU17+CV10-CV15</f>
        <v/>
      </c>
      <c r="CW17" s="20">
        <f>CV17+CW10-CW15</f>
        <v/>
      </c>
      <c r="CX17" s="20">
        <f>CW17+CX10-CX15</f>
        <v/>
      </c>
      <c r="CY17" s="20">
        <f>CX17+CY10-CY15</f>
        <v/>
      </c>
      <c r="CZ17" s="20">
        <f>CY17+CZ10-CZ15</f>
        <v/>
      </c>
      <c r="DA17" s="20">
        <f>CZ17+DA10-DA15</f>
        <v/>
      </c>
      <c r="DB17" s="20">
        <f>DA17+DB10-DB15</f>
        <v/>
      </c>
      <c r="DC17" s="20">
        <f>DB17+DC10-DC15</f>
        <v/>
      </c>
      <c r="DD17" s="20">
        <f>DC17+DD10-DD15</f>
        <v/>
      </c>
      <c r="DE17" s="20">
        <f>DD17+DE10-DE15</f>
        <v/>
      </c>
      <c r="DF17" s="20">
        <f>DE17+DF10-DF15</f>
        <v/>
      </c>
      <c r="DG17" s="20">
        <f>DF17+DG10-DG15</f>
        <v/>
      </c>
      <c r="DH17" s="20">
        <f>DG17+DH10-DH15</f>
        <v/>
      </c>
      <c r="DI17" s="20">
        <f>DH17+DI10-DI15</f>
        <v/>
      </c>
      <c r="DJ17" s="20">
        <f>DI17+DJ10-DJ15</f>
        <v/>
      </c>
      <c r="DK17" s="20">
        <f>DJ17+DK10-DK15</f>
        <v/>
      </c>
      <c r="DL17" s="20">
        <f>DK17+DL10-DL15</f>
        <v/>
      </c>
      <c r="DM17" s="20">
        <f>DL17+DM10-DM15</f>
        <v/>
      </c>
      <c r="DN17" s="20">
        <f>DM17+DN10-DN15</f>
        <v/>
      </c>
      <c r="DO17" s="20">
        <f>DN17+DO10-DO15</f>
        <v/>
      </c>
      <c r="DP17" s="20">
        <f>DO17+DP10-DP15</f>
        <v/>
      </c>
      <c r="DQ17" s="20">
        <f>DP17+DQ10-DQ15</f>
        <v/>
      </c>
      <c r="DR17" s="20">
        <f>DQ17+DR10-DR15</f>
        <v/>
      </c>
      <c r="DS17" s="20">
        <f>DR17+DS10-DS15</f>
        <v/>
      </c>
      <c r="DT17" s="20">
        <f>DS17+DT10-DT15</f>
        <v/>
      </c>
      <c r="DU17" s="20">
        <f>DT17+DU10-DU15</f>
        <v/>
      </c>
      <c r="DV17" s="20">
        <f>DU17+DV10-DV15</f>
        <v/>
      </c>
      <c r="DW17" s="20">
        <f>DV17+DW10-DW15</f>
        <v/>
      </c>
      <c r="DX17" s="20">
        <f>DW17+DX10-DX15</f>
        <v/>
      </c>
      <c r="DY17" s="20">
        <f>DX17+DY10-DY15</f>
        <v/>
      </c>
      <c r="DZ17" s="20">
        <f>DY17+DZ10-DZ15</f>
        <v/>
      </c>
      <c r="EA17" s="20">
        <f>DZ17+EA10-EA15</f>
        <v/>
      </c>
      <c r="EB17" s="20">
        <f>EA17+EB10-EB15</f>
        <v/>
      </c>
      <c r="EC17" s="20">
        <f>EB17+EC10-EC15</f>
        <v/>
      </c>
      <c r="ED17" s="20">
        <f>EC17+ED10-ED15</f>
        <v/>
      </c>
      <c r="EE17" s="20">
        <f>ED17+EE10-EE15</f>
        <v/>
      </c>
      <c r="EF17" s="20">
        <f>EE17+EF10-EF15</f>
        <v/>
      </c>
      <c r="EG17" s="20">
        <f>EF17+EG10-EG15</f>
        <v/>
      </c>
      <c r="EH17" s="20">
        <f>EG17+EH10-EH15</f>
        <v/>
      </c>
      <c r="EI17" s="20">
        <f>EH17+EI10-EI15</f>
        <v/>
      </c>
      <c r="EJ17" s="20">
        <f>EI17+EJ10-EJ15</f>
        <v/>
      </c>
      <c r="EK17" s="20">
        <f>EJ17+EK10-EK15</f>
        <v/>
      </c>
      <c r="EL17" s="20">
        <f>EK17+EL10-EL15</f>
        <v/>
      </c>
      <c r="EM17" s="20">
        <f>EL17+EM10-EM15</f>
        <v/>
      </c>
      <c r="EN17" s="20">
        <f>EM17+EN10-EN15</f>
        <v/>
      </c>
      <c r="EO17" s="20">
        <f>EN17+EO10-EO15</f>
        <v/>
      </c>
      <c r="EP17" s="20">
        <f>EO17+EP10-EP15</f>
        <v/>
      </c>
      <c r="EQ17" s="20">
        <f>EP17+EQ10-EQ15</f>
        <v/>
      </c>
      <c r="ER17" s="20">
        <f>EQ17+ER10-ER15</f>
        <v/>
      </c>
      <c r="ES17" s="20">
        <f>ER17+ES10-ES15</f>
        <v/>
      </c>
      <c r="ET17" s="20">
        <f>ES17+ET10-ET15</f>
        <v/>
      </c>
      <c r="EU17" s="20">
        <f>ET17+EU10-EU15</f>
        <v/>
      </c>
      <c r="EV17" s="20">
        <f>EU17+EV10-EV15</f>
        <v/>
      </c>
      <c r="EW17" s="20">
        <f>EV17+EW10-EW15</f>
        <v/>
      </c>
      <c r="EX17" s="20">
        <f>EW17+EX10-EX15</f>
        <v/>
      </c>
      <c r="EY17" s="20">
        <f>EX17+EY10-EY15</f>
        <v/>
      </c>
      <c r="EZ17" s="20">
        <f>EY17+EZ10-EZ15</f>
        <v/>
      </c>
      <c r="FA17" s="20">
        <f>EZ17+FA10-FA15</f>
        <v/>
      </c>
      <c r="FB17" s="20">
        <f>FA17+FB10-FB15</f>
        <v/>
      </c>
      <c r="FC17" s="20">
        <f>FB17+FC10-FC15</f>
        <v/>
      </c>
      <c r="FD17" s="20">
        <f>FC17+FD10-FD15</f>
        <v/>
      </c>
      <c r="FE17" s="20">
        <f>FD17+FE10-FE15</f>
        <v/>
      </c>
      <c r="FF17" s="20">
        <f>FE17+FF10-FF15</f>
        <v/>
      </c>
      <c r="FG17" s="20">
        <f>FF17+FG10-FG15</f>
        <v/>
      </c>
      <c r="FH17" s="20">
        <f>FG17+FH10-FH15</f>
        <v/>
      </c>
      <c r="FI17" s="20">
        <f>FH17+FI10-FI15</f>
        <v/>
      </c>
      <c r="FJ17" s="20">
        <f>FI17+FJ10-FJ15</f>
        <v/>
      </c>
      <c r="FK17" s="20">
        <f>FJ17+FK10-FK15</f>
        <v/>
      </c>
      <c r="FL17" s="20">
        <f>FK17+FL10-FL15</f>
        <v/>
      </c>
      <c r="FM17" s="20">
        <f>FL17+FM10-FM15</f>
        <v/>
      </c>
      <c r="FN17" s="20">
        <f>FM17+FN10-FN15</f>
        <v/>
      </c>
      <c r="FO17" s="20">
        <f>FN17+FO10-FO15</f>
        <v/>
      </c>
      <c r="FP17" s="20">
        <f>FO17+FP10-FP15</f>
        <v/>
      </c>
      <c r="FQ17" s="20">
        <f>FP17+FQ10-FQ15</f>
        <v/>
      </c>
      <c r="FR17" s="20">
        <f>FQ17+FR10-FR15</f>
        <v/>
      </c>
      <c r="FS17" s="20">
        <f>FR17+FS10-FS15</f>
        <v/>
      </c>
      <c r="FT17" s="20">
        <f>FS17+FT10-FT15</f>
        <v/>
      </c>
      <c r="FU17" s="20">
        <f>FT17+FU10-FU15</f>
        <v/>
      </c>
      <c r="FV17" s="20">
        <f>FU17+FV10-FV15</f>
        <v/>
      </c>
      <c r="FW17" s="20">
        <f>FV17+FW10-FW15</f>
        <v/>
      </c>
      <c r="FX17" s="20">
        <f>FW17+FX10-FX15</f>
        <v/>
      </c>
      <c r="FY17" s="20">
        <f>FX17+FY10-FY15</f>
        <v/>
      </c>
      <c r="FZ17" s="20">
        <f>FY17+FZ10-FZ15</f>
        <v/>
      </c>
      <c r="GA17" s="20">
        <f>FZ17+GA10-GA15</f>
        <v/>
      </c>
      <c r="GB17" s="20">
        <f>GA17+GB10-GB15</f>
        <v/>
      </c>
      <c r="GC17" s="20">
        <f>GB17+GC10-GC15</f>
        <v/>
      </c>
      <c r="GD17" s="20">
        <f>GC17+GD10-GD15</f>
        <v/>
      </c>
      <c r="GE17" s="20">
        <f>GD17+GE10-GE15</f>
        <v/>
      </c>
      <c r="GF17" s="20">
        <f>GE17+GF10-GF15</f>
        <v/>
      </c>
      <c r="GG17" s="20">
        <f>GF17+GG10-GG15</f>
        <v/>
      </c>
      <c r="GH17" s="20">
        <f>GG17+GH10-GH15</f>
        <v/>
      </c>
      <c r="GI17" s="20">
        <f>GH17+GI10-GI15</f>
        <v/>
      </c>
      <c r="GJ17" s="20">
        <f>GI17+GJ10-GJ15</f>
        <v/>
      </c>
      <c r="GK17" s="20">
        <f>GJ17+GK10-GK15</f>
        <v/>
      </c>
      <c r="GL17" s="20">
        <f>GK17+GL10-GL15</f>
        <v/>
      </c>
      <c r="GM17" s="20">
        <f>GL17+GM10-GM15</f>
        <v/>
      </c>
      <c r="GN17" s="20">
        <f>GM17+GN10-GN15</f>
        <v/>
      </c>
      <c r="GO17" s="20">
        <f>GN17+GO10-GO15</f>
        <v/>
      </c>
      <c r="GP17" s="20">
        <f>GO17+GP10-GP15</f>
        <v/>
      </c>
      <c r="GQ17" s="20">
        <f>GP17+GQ10-GQ15</f>
        <v/>
      </c>
      <c r="GR17" s="20">
        <f>GQ17+GR10-GR15</f>
        <v/>
      </c>
      <c r="GS17" s="20">
        <f>GR17+GS10-GS15</f>
        <v/>
      </c>
      <c r="GT17" s="20">
        <f>GS17+GT10-GT15</f>
        <v/>
      </c>
      <c r="GU17" s="20">
        <f>GT17+GU10-GU15</f>
        <v/>
      </c>
      <c r="GV17" s="20">
        <f>GU17+GV10-GV15</f>
        <v/>
      </c>
      <c r="GW17" s="20">
        <f>GV17+GW10-GW15</f>
        <v/>
      </c>
      <c r="GX17" s="20">
        <f>GW17+GX10-GX15</f>
        <v/>
      </c>
      <c r="GY17" s="20">
        <f>GX17+GY10-GY15</f>
        <v/>
      </c>
      <c r="GZ17" s="20">
        <f>GY17+GZ10-GZ15</f>
        <v/>
      </c>
      <c r="HA17" s="20">
        <f>GZ17+HA10-HA15</f>
        <v/>
      </c>
      <c r="HB17" s="20">
        <f>HA17+HB10-HB15</f>
        <v/>
      </c>
      <c r="HC17" s="20">
        <f>HB17+HC10-HC15</f>
        <v/>
      </c>
      <c r="HD17" s="20">
        <f>HC17+HD10-HD15</f>
        <v/>
      </c>
      <c r="HE17" s="20">
        <f>HD17+HE10-HE15</f>
        <v/>
      </c>
      <c r="HF17" s="20">
        <f>HE17+HF10-HF15</f>
        <v/>
      </c>
      <c r="HG17" s="20">
        <f>HF17+HG10-HG15</f>
        <v/>
      </c>
      <c r="HH17" s="20">
        <f>HG17+HH10-HH15</f>
        <v/>
      </c>
      <c r="HI17" s="20">
        <f>HH17+HI10-HI15</f>
        <v/>
      </c>
      <c r="HJ17" s="20">
        <f>HI17+HJ10-HJ15</f>
        <v/>
      </c>
      <c r="HK17" s="20">
        <f>HJ17+HK10-HK15</f>
        <v/>
      </c>
      <c r="HL17" s="20">
        <f>HK17+HL10-HL15</f>
        <v/>
      </c>
      <c r="HM17" s="20">
        <f>HL17+HM10-HM15</f>
        <v/>
      </c>
      <c r="HN17" s="20">
        <f>HM17+HN10-HN15</f>
        <v/>
      </c>
      <c r="HO17" s="20">
        <f>HN17+HO10-HO15</f>
        <v/>
      </c>
      <c r="HP17" s="20">
        <f>HO17+HP10-HP15</f>
        <v/>
      </c>
      <c r="HQ17" s="20">
        <f>HP17+HQ10-HQ15</f>
        <v/>
      </c>
      <c r="HR17" s="20">
        <f>HQ17+HR10-HR15</f>
        <v/>
      </c>
      <c r="HS17" s="20">
        <f>HR17+HS10-HS15</f>
        <v/>
      </c>
      <c r="HT17" s="20">
        <f>HS17+HT10-HT15</f>
        <v/>
      </c>
      <c r="HU17" s="20">
        <f>HT17+HU10-HU15</f>
        <v/>
      </c>
      <c r="HV17" s="20">
        <f>HU17+HV10-HV15</f>
        <v/>
      </c>
      <c r="HW17" s="20">
        <f>HV17+HW10-HW15</f>
        <v/>
      </c>
      <c r="HX17" s="20">
        <f>HW17+HX10-HX15</f>
        <v/>
      </c>
      <c r="HY17" s="20">
        <f>HX17+HY10-HY15</f>
        <v/>
      </c>
      <c r="HZ17" s="20">
        <f>HY17+HZ10-HZ15</f>
        <v/>
      </c>
      <c r="IA17" s="20">
        <f>HZ17+IA10-IA15</f>
        <v/>
      </c>
      <c r="IB17" s="20">
        <f>IA17+IB10-IB15</f>
        <v/>
      </c>
      <c r="IC17" s="20">
        <f>IB17+IC10-IC15</f>
        <v/>
      </c>
      <c r="ID17" s="20">
        <f>IC17+ID10-ID15</f>
        <v/>
      </c>
      <c r="IE17" s="20">
        <f>ID17+IE10-IE15</f>
        <v/>
      </c>
      <c r="IF17" s="20">
        <f>IE17+IF10-IF15</f>
        <v/>
      </c>
      <c r="IG17" s="20">
        <f>IF17+IG10-IG15</f>
        <v/>
      </c>
      <c r="IH17" s="20">
        <f>IG17+IH10-IH15</f>
        <v/>
      </c>
      <c r="II17" s="20">
        <f>IH17+II10-II15</f>
        <v/>
      </c>
      <c r="IJ17" s="20">
        <f>II17+IJ10-IJ15</f>
        <v/>
      </c>
      <c r="IK17" s="20">
        <f>IJ17+IK10-IK15</f>
        <v/>
      </c>
      <c r="IL17" s="20">
        <f>IK17+IL10-IL15</f>
        <v/>
      </c>
      <c r="IM17" s="20">
        <f>IL17+IM10-IM15</f>
        <v/>
      </c>
      <c r="IN17" s="20">
        <f>IM17+IN10-IN15</f>
        <v/>
      </c>
      <c r="IO17" s="20">
        <f>IN17+IO10-IO15</f>
        <v/>
      </c>
      <c r="IP17" s="20">
        <f>IO17+IP10-IP15</f>
        <v/>
      </c>
      <c r="IQ17" s="20">
        <f>IP17+IQ10-IQ15</f>
        <v/>
      </c>
      <c r="IR17" s="20">
        <f>IQ17+IR10-IR15</f>
        <v/>
      </c>
      <c r="IS17" s="20">
        <f>IR17+IS10-IS15</f>
        <v/>
      </c>
      <c r="IT17" s="20">
        <f>IS17+IT10-IT15</f>
        <v/>
      </c>
      <c r="IU17" s="20">
        <f>IT17+IU10-IU15</f>
        <v/>
      </c>
      <c r="IV17" s="20">
        <f>IU17+IV10-IV15</f>
        <v/>
      </c>
      <c r="IW17" s="20">
        <f>IV17+IW10-IW15</f>
        <v/>
      </c>
      <c r="IX17" s="20">
        <f>IW17+IX10-IX15</f>
        <v/>
      </c>
      <c r="IY17" s="20">
        <f>IX17+IY10-IY15</f>
        <v/>
      </c>
      <c r="IZ17" s="20">
        <f>IY17+IZ10-IZ15</f>
        <v/>
      </c>
      <c r="JA17" s="20">
        <f>IZ17+JA10-JA15</f>
        <v/>
      </c>
      <c r="JB17" s="20">
        <f>JA17+JB10-JB15</f>
        <v/>
      </c>
      <c r="JC17" s="20">
        <f>JB17+JC10-JC15</f>
        <v/>
      </c>
      <c r="JD17" s="20">
        <f>JC17+JD10-JD15</f>
        <v/>
      </c>
      <c r="JE17" s="20">
        <f>JD17+JE10-JE15</f>
        <v/>
      </c>
      <c r="JF17" s="20">
        <f>JE17+JF10-JF15</f>
        <v/>
      </c>
      <c r="JG17" s="20">
        <f>JF17+JG10-JG15</f>
        <v/>
      </c>
      <c r="JH17" s="20">
        <f>JG17+JH10-JH15</f>
        <v/>
      </c>
      <c r="JI17" s="20">
        <f>JH17+JI10-JI15</f>
        <v/>
      </c>
      <c r="JJ17" s="20">
        <f>JI17+JJ10-JJ15</f>
        <v/>
      </c>
      <c r="JK17" s="20">
        <f>JJ17+JK10-JK15</f>
        <v/>
      </c>
      <c r="JL17" s="20">
        <f>JK17+JL10-JL15</f>
        <v/>
      </c>
      <c r="JM17" s="20">
        <f>JL17+JM10-JM15</f>
        <v/>
      </c>
      <c r="JN17" s="20">
        <f>JM17+JN10-JN15</f>
        <v/>
      </c>
      <c r="JO17" s="20">
        <f>JN17+JO10-JO15</f>
        <v/>
      </c>
      <c r="JP17" s="20">
        <f>JO17+JP10-JP15</f>
        <v/>
      </c>
      <c r="JQ17" s="20">
        <f>JP17+JQ10-JQ15</f>
        <v/>
      </c>
      <c r="JR17" s="20">
        <f>JQ17+JR10-JR15</f>
        <v/>
      </c>
      <c r="JS17" s="20">
        <f>JR17+JS10-JS15</f>
        <v/>
      </c>
      <c r="JT17" s="20">
        <f>JS17+JT10-JT15</f>
        <v/>
      </c>
      <c r="JU17" s="20">
        <f>JT17+JU10-JU15</f>
        <v/>
      </c>
      <c r="JV17" s="20">
        <f>JU17+JV10-JV15</f>
        <v/>
      </c>
      <c r="JW17" s="20">
        <f>JV17+JW10-JW15</f>
        <v/>
      </c>
      <c r="JX17" s="20">
        <f>JW17+JX10-JX15</f>
        <v/>
      </c>
      <c r="JY17" s="20">
        <f>JX17+JY10-JY15</f>
        <v/>
      </c>
      <c r="JZ17" s="20">
        <f>JY17+JZ10-JZ15</f>
        <v/>
      </c>
      <c r="KA17" s="20">
        <f>JZ17+KA10-KA15</f>
        <v/>
      </c>
      <c r="KB17" s="20">
        <f>KA17+KB10-KB15</f>
        <v/>
      </c>
      <c r="KC17" s="20">
        <f>KB17+KC10-KC15</f>
        <v/>
      </c>
      <c r="KD17" s="20">
        <f>KC17+KD10-KD15</f>
        <v/>
      </c>
      <c r="KE17" s="20">
        <f>KD17+KE10-KE15</f>
        <v/>
      </c>
      <c r="KF17" s="20">
        <f>KE17+KF10-KF15</f>
        <v/>
      </c>
      <c r="KG17" s="20">
        <f>KF17+KG10-KG15</f>
        <v/>
      </c>
      <c r="KH17" s="20">
        <f>KG17+KH10-KH15</f>
        <v/>
      </c>
      <c r="KI17" s="20">
        <f>KH17+KI10-KI15</f>
        <v/>
      </c>
      <c r="KJ17" s="20">
        <f>KI17+KJ10-KJ15</f>
        <v/>
      </c>
      <c r="KK17" s="20">
        <f>KJ17+KK10-KK15</f>
        <v/>
      </c>
      <c r="KL17" s="20">
        <f>KK17+KL10-KL15</f>
        <v/>
      </c>
      <c r="KM17" s="20">
        <f>KL17+KM10-KM15</f>
        <v/>
      </c>
      <c r="KN17" s="20">
        <f>KM17+KN10-KN15</f>
        <v/>
      </c>
      <c r="KO17" s="20">
        <f>KN17+KO10-KO15</f>
        <v/>
      </c>
      <c r="KP17" s="20">
        <f>KO17+KP10-KP15</f>
        <v/>
      </c>
      <c r="KQ17" s="20">
        <f>KP17+KQ10-KQ15</f>
        <v/>
      </c>
      <c r="KR17" s="20">
        <f>KQ17+KR10-KR15</f>
        <v/>
      </c>
      <c r="KS17" s="20">
        <f>KR17+KS10-KS15</f>
        <v/>
      </c>
      <c r="KT17" s="20">
        <f>KS17+KT10-KT15</f>
        <v/>
      </c>
      <c r="KU17" s="20">
        <f>KT17+KU10-KU15</f>
        <v/>
      </c>
      <c r="KV17" s="20">
        <f>KU17+KV10-KV15</f>
        <v/>
      </c>
      <c r="KW17" s="20">
        <f>KV17+KW10-KW15</f>
        <v/>
      </c>
      <c r="KX17" s="20">
        <f>KW17+KX10-KX15</f>
        <v/>
      </c>
      <c r="KY17" s="20">
        <f>KX17+KY10-KY15</f>
        <v/>
      </c>
      <c r="KZ17" s="20">
        <f>KY17+KZ10-KZ15</f>
        <v/>
      </c>
      <c r="LA17" s="20">
        <f>KZ17+LA10-LA15</f>
        <v/>
      </c>
      <c r="LB17" s="20">
        <f>LA17+LB10-LB15</f>
        <v/>
      </c>
      <c r="LC17" s="20">
        <f>LB17+LC10-LC15</f>
        <v/>
      </c>
      <c r="LD17" s="20">
        <f>LC17+LD10-LD15</f>
        <v/>
      </c>
      <c r="LE17" s="20">
        <f>LD17+LE10-LE15</f>
        <v/>
      </c>
      <c r="LF17" s="20">
        <f>LE17+LF10-LF15</f>
        <v/>
      </c>
      <c r="LG17" s="20">
        <f>LF17+LG10-LG15</f>
        <v/>
      </c>
      <c r="LH17" s="20">
        <f>LG17+LH10-LH15</f>
        <v/>
      </c>
      <c r="LI17" s="20">
        <f>LH17+LI10-LI15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I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</cols>
  <sheetData>
    <row r="2">
      <c r="B2" s="1" t="inlineStr">
        <is>
          <t>Ingreso tarifario al usuario</t>
        </is>
      </c>
    </row>
    <row r="3">
      <c r="B3" s="2" t="inlineStr">
        <is>
          <t>Mismo reajuste por IPM con gatillo que la pata variable; aqui es todo el ingreso del proyecto.</t>
        </is>
      </c>
    </row>
    <row r="6">
      <c r="B6" s="16" t="inlineStr">
        <is>
          <t>Mes</t>
        </is>
      </c>
      <c r="D6" s="17" t="inlineStr">
        <is>
          <t>2026-10-31</t>
        </is>
      </c>
      <c r="E6" s="17" t="inlineStr">
        <is>
          <t>2026-11-30</t>
        </is>
      </c>
      <c r="F6" s="17" t="inlineStr">
        <is>
          <t>2026-12-31</t>
        </is>
      </c>
      <c r="G6" s="17" t="inlineStr">
        <is>
          <t>2027-01-31</t>
        </is>
      </c>
      <c r="H6" s="17" t="inlineStr">
        <is>
          <t>2027-02-28</t>
        </is>
      </c>
      <c r="I6" s="17" t="inlineStr">
        <is>
          <t>2027-03-31</t>
        </is>
      </c>
      <c r="J6" s="17" t="inlineStr">
        <is>
          <t>2027-04-30</t>
        </is>
      </c>
      <c r="K6" s="17" t="inlineStr">
        <is>
          <t>2027-05-31</t>
        </is>
      </c>
      <c r="L6" s="17" t="inlineStr">
        <is>
          <t>2027-06-30</t>
        </is>
      </c>
      <c r="M6" s="17" t="inlineStr">
        <is>
          <t>2027-07-31</t>
        </is>
      </c>
      <c r="N6" s="17" t="inlineStr">
        <is>
          <t>2027-08-31</t>
        </is>
      </c>
      <c r="O6" s="17" t="inlineStr">
        <is>
          <t>2027-09-30</t>
        </is>
      </c>
      <c r="P6" s="17" t="inlineStr">
        <is>
          <t>2027-10-31</t>
        </is>
      </c>
      <c r="Q6" s="17" t="inlineStr">
        <is>
          <t>2027-11-30</t>
        </is>
      </c>
      <c r="R6" s="17" t="inlineStr">
        <is>
          <t>2027-12-31</t>
        </is>
      </c>
      <c r="S6" s="17" t="inlineStr">
        <is>
          <t>2028-01-31</t>
        </is>
      </c>
      <c r="T6" s="17" t="inlineStr">
        <is>
          <t>2028-02-29</t>
        </is>
      </c>
      <c r="U6" s="17" t="inlineStr">
        <is>
          <t>2028-03-31</t>
        </is>
      </c>
      <c r="V6" s="17" t="inlineStr">
        <is>
          <t>2028-04-30</t>
        </is>
      </c>
      <c r="W6" s="17" t="inlineStr">
        <is>
          <t>2028-05-31</t>
        </is>
      </c>
      <c r="X6" s="17" t="inlineStr">
        <is>
          <t>2028-06-30</t>
        </is>
      </c>
      <c r="Y6" s="17" t="inlineStr">
        <is>
          <t>2028-07-31</t>
        </is>
      </c>
      <c r="Z6" s="17" t="inlineStr">
        <is>
          <t>2028-08-31</t>
        </is>
      </c>
      <c r="AA6" s="17" t="inlineStr">
        <is>
          <t>2028-09-30</t>
        </is>
      </c>
      <c r="AB6" s="17" t="inlineStr">
        <is>
          <t>2028-10-31</t>
        </is>
      </c>
      <c r="AC6" s="17" t="inlineStr">
        <is>
          <t>2028-11-30</t>
        </is>
      </c>
      <c r="AD6" s="17" t="inlineStr">
        <is>
          <t>2028-12-31</t>
        </is>
      </c>
      <c r="AE6" s="17" t="inlineStr">
        <is>
          <t>2029-01-31</t>
        </is>
      </c>
      <c r="AF6" s="17" t="inlineStr">
        <is>
          <t>2029-02-28</t>
        </is>
      </c>
      <c r="AG6" s="17" t="inlineStr">
        <is>
          <t>2029-03-31</t>
        </is>
      </c>
      <c r="AH6" s="17" t="inlineStr">
        <is>
          <t>2029-04-30</t>
        </is>
      </c>
      <c r="AI6" s="17" t="inlineStr">
        <is>
          <t>2029-05-31</t>
        </is>
      </c>
      <c r="AJ6" s="17" t="inlineStr">
        <is>
          <t>2029-06-30</t>
        </is>
      </c>
      <c r="AK6" s="17" t="inlineStr">
        <is>
          <t>2029-07-31</t>
        </is>
      </c>
      <c r="AL6" s="17" t="inlineStr">
        <is>
          <t>2029-08-31</t>
        </is>
      </c>
      <c r="AM6" s="17" t="inlineStr">
        <is>
          <t>2029-09-30</t>
        </is>
      </c>
      <c r="AN6" s="17" t="inlineStr">
        <is>
          <t>2029-10-31</t>
        </is>
      </c>
      <c r="AO6" s="17" t="inlineStr">
        <is>
          <t>2029-11-30</t>
        </is>
      </c>
      <c r="AP6" s="17" t="inlineStr">
        <is>
          <t>2029-12-31</t>
        </is>
      </c>
      <c r="AQ6" s="17" t="inlineStr">
        <is>
          <t>2030-01-31</t>
        </is>
      </c>
      <c r="AR6" s="17" t="inlineStr">
        <is>
          <t>2030-02-28</t>
        </is>
      </c>
      <c r="AS6" s="17" t="inlineStr">
        <is>
          <t>2030-03-31</t>
        </is>
      </c>
      <c r="AT6" s="17" t="inlineStr">
        <is>
          <t>2030-04-30</t>
        </is>
      </c>
      <c r="AU6" s="17" t="inlineStr">
        <is>
          <t>2030-05-31</t>
        </is>
      </c>
      <c r="AV6" s="17" t="inlineStr">
        <is>
          <t>2030-06-30</t>
        </is>
      </c>
      <c r="AW6" s="17" t="inlineStr">
        <is>
          <t>2030-07-31</t>
        </is>
      </c>
      <c r="AX6" s="17" t="inlineStr">
        <is>
          <t>2030-08-31</t>
        </is>
      </c>
      <c r="AY6" s="17" t="inlineStr">
        <is>
          <t>2030-09-30</t>
        </is>
      </c>
      <c r="AZ6" s="17" t="inlineStr">
        <is>
          <t>2030-10-31</t>
        </is>
      </c>
      <c r="BA6" s="17" t="inlineStr">
        <is>
          <t>2030-11-30</t>
        </is>
      </c>
      <c r="BB6" s="17" t="inlineStr">
        <is>
          <t>2030-12-31</t>
        </is>
      </c>
      <c r="BC6" s="17" t="inlineStr">
        <is>
          <t>2031-01-31</t>
        </is>
      </c>
      <c r="BD6" s="17" t="inlineStr">
        <is>
          <t>2031-02-28</t>
        </is>
      </c>
      <c r="BE6" s="17" t="inlineStr">
        <is>
          <t>2031-03-31</t>
        </is>
      </c>
      <c r="BF6" s="17" t="inlineStr">
        <is>
          <t>2031-04-30</t>
        </is>
      </c>
      <c r="BG6" s="17" t="inlineStr">
        <is>
          <t>2031-05-31</t>
        </is>
      </c>
      <c r="BH6" s="17" t="inlineStr">
        <is>
          <t>2031-06-30</t>
        </is>
      </c>
      <c r="BI6" s="17" t="inlineStr">
        <is>
          <t>2031-07-31</t>
        </is>
      </c>
      <c r="BJ6" s="17" t="inlineStr">
        <is>
          <t>2031-08-31</t>
        </is>
      </c>
      <c r="BK6" s="17" t="inlineStr">
        <is>
          <t>2031-09-30</t>
        </is>
      </c>
      <c r="BL6" s="17" t="inlineStr">
        <is>
          <t>2031-10-31</t>
        </is>
      </c>
      <c r="BM6" s="17" t="inlineStr">
        <is>
          <t>2031-11-30</t>
        </is>
      </c>
      <c r="BN6" s="17" t="inlineStr">
        <is>
          <t>2031-12-31</t>
        </is>
      </c>
      <c r="BO6" s="17" t="inlineStr">
        <is>
          <t>2032-01-31</t>
        </is>
      </c>
      <c r="BP6" s="17" t="inlineStr">
        <is>
          <t>2032-02-29</t>
        </is>
      </c>
      <c r="BQ6" s="17" t="inlineStr">
        <is>
          <t>2032-03-31</t>
        </is>
      </c>
      <c r="BR6" s="17" t="inlineStr">
        <is>
          <t>2032-04-30</t>
        </is>
      </c>
      <c r="BS6" s="17" t="inlineStr">
        <is>
          <t>2032-05-31</t>
        </is>
      </c>
      <c r="BT6" s="17" t="inlineStr">
        <is>
          <t>2032-06-30</t>
        </is>
      </c>
      <c r="BU6" s="17" t="inlineStr">
        <is>
          <t>2032-07-31</t>
        </is>
      </c>
      <c r="BV6" s="17" t="inlineStr">
        <is>
          <t>2032-08-31</t>
        </is>
      </c>
      <c r="BW6" s="17" t="inlineStr">
        <is>
          <t>2032-09-30</t>
        </is>
      </c>
      <c r="BX6" s="17" t="inlineStr">
        <is>
          <t>2032-10-31</t>
        </is>
      </c>
      <c r="BY6" s="17" t="inlineStr">
        <is>
          <t>2032-11-30</t>
        </is>
      </c>
      <c r="BZ6" s="17" t="inlineStr">
        <is>
          <t>2032-12-31</t>
        </is>
      </c>
      <c r="CA6" s="17" t="inlineStr">
        <is>
          <t>2033-01-31</t>
        </is>
      </c>
      <c r="CB6" s="17" t="inlineStr">
        <is>
          <t>2033-02-28</t>
        </is>
      </c>
      <c r="CC6" s="17" t="inlineStr">
        <is>
          <t>2033-03-31</t>
        </is>
      </c>
      <c r="CD6" s="17" t="inlineStr">
        <is>
          <t>2033-04-30</t>
        </is>
      </c>
      <c r="CE6" s="17" t="inlineStr">
        <is>
          <t>2033-05-31</t>
        </is>
      </c>
      <c r="CF6" s="17" t="inlineStr">
        <is>
          <t>2033-06-30</t>
        </is>
      </c>
      <c r="CG6" s="17" t="inlineStr">
        <is>
          <t>2033-07-31</t>
        </is>
      </c>
      <c r="CH6" s="17" t="inlineStr">
        <is>
          <t>2033-08-31</t>
        </is>
      </c>
      <c r="CI6" s="17" t="inlineStr">
        <is>
          <t>2033-09-30</t>
        </is>
      </c>
      <c r="CJ6" s="17" t="inlineStr">
        <is>
          <t>2033-10-31</t>
        </is>
      </c>
      <c r="CK6" s="17" t="inlineStr">
        <is>
          <t>2033-11-30</t>
        </is>
      </c>
      <c r="CL6" s="17" t="inlineStr">
        <is>
          <t>2033-12-31</t>
        </is>
      </c>
      <c r="CM6" s="17" t="inlineStr">
        <is>
          <t>2034-01-31</t>
        </is>
      </c>
      <c r="CN6" s="17" t="inlineStr">
        <is>
          <t>2034-02-28</t>
        </is>
      </c>
      <c r="CO6" s="17" t="inlineStr">
        <is>
          <t>2034-03-31</t>
        </is>
      </c>
      <c r="CP6" s="17" t="inlineStr">
        <is>
          <t>2034-04-30</t>
        </is>
      </c>
      <c r="CQ6" s="17" t="inlineStr">
        <is>
          <t>2034-05-31</t>
        </is>
      </c>
      <c r="CR6" s="17" t="inlineStr">
        <is>
          <t>2034-06-30</t>
        </is>
      </c>
      <c r="CS6" s="17" t="inlineStr">
        <is>
          <t>2034-07-31</t>
        </is>
      </c>
      <c r="CT6" s="17" t="inlineStr">
        <is>
          <t>2034-08-31</t>
        </is>
      </c>
      <c r="CU6" s="17" t="inlineStr">
        <is>
          <t>2034-09-30</t>
        </is>
      </c>
      <c r="CV6" s="17" t="inlineStr">
        <is>
          <t>2034-10-31</t>
        </is>
      </c>
      <c r="CW6" s="17" t="inlineStr">
        <is>
          <t>2034-11-30</t>
        </is>
      </c>
      <c r="CX6" s="17" t="inlineStr">
        <is>
          <t>2034-12-31</t>
        </is>
      </c>
      <c r="CY6" s="17" t="inlineStr">
        <is>
          <t>2035-01-31</t>
        </is>
      </c>
      <c r="CZ6" s="17" t="inlineStr">
        <is>
          <t>2035-02-28</t>
        </is>
      </c>
      <c r="DA6" s="17" t="inlineStr">
        <is>
          <t>2035-03-31</t>
        </is>
      </c>
      <c r="DB6" s="17" t="inlineStr">
        <is>
          <t>2035-04-30</t>
        </is>
      </c>
      <c r="DC6" s="17" t="inlineStr">
        <is>
          <t>2035-05-31</t>
        </is>
      </c>
      <c r="DD6" s="17" t="inlineStr">
        <is>
          <t>2035-06-30</t>
        </is>
      </c>
      <c r="DE6" s="17" t="inlineStr">
        <is>
          <t>2035-07-31</t>
        </is>
      </c>
      <c r="DF6" s="17" t="inlineStr">
        <is>
          <t>2035-08-31</t>
        </is>
      </c>
      <c r="DG6" s="17" t="inlineStr">
        <is>
          <t>2035-09-30</t>
        </is>
      </c>
      <c r="DH6" s="17" t="inlineStr">
        <is>
          <t>2035-10-31</t>
        </is>
      </c>
      <c r="DI6" s="17" t="inlineStr">
        <is>
          <t>2035-11-30</t>
        </is>
      </c>
      <c r="DJ6" s="17" t="inlineStr">
        <is>
          <t>2035-12-31</t>
        </is>
      </c>
      <c r="DK6" s="17" t="inlineStr">
        <is>
          <t>2036-01-31</t>
        </is>
      </c>
      <c r="DL6" s="17" t="inlineStr">
        <is>
          <t>2036-02-29</t>
        </is>
      </c>
      <c r="DM6" s="17" t="inlineStr">
        <is>
          <t>2036-03-31</t>
        </is>
      </c>
      <c r="DN6" s="17" t="inlineStr">
        <is>
          <t>2036-04-30</t>
        </is>
      </c>
      <c r="DO6" s="17" t="inlineStr">
        <is>
          <t>2036-05-31</t>
        </is>
      </c>
      <c r="DP6" s="17" t="inlineStr">
        <is>
          <t>2036-06-30</t>
        </is>
      </c>
      <c r="DQ6" s="17" t="inlineStr">
        <is>
          <t>2036-07-31</t>
        </is>
      </c>
      <c r="DR6" s="17" t="inlineStr">
        <is>
          <t>2036-08-31</t>
        </is>
      </c>
      <c r="DS6" s="17" t="inlineStr">
        <is>
          <t>2036-09-30</t>
        </is>
      </c>
      <c r="DT6" s="17" t="inlineStr">
        <is>
          <t>2036-10-31</t>
        </is>
      </c>
      <c r="DU6" s="17" t="inlineStr">
        <is>
          <t>2036-11-30</t>
        </is>
      </c>
      <c r="DV6" s="17" t="inlineStr">
        <is>
          <t>2036-12-31</t>
        </is>
      </c>
      <c r="DW6" s="17" t="inlineStr">
        <is>
          <t>2037-01-31</t>
        </is>
      </c>
      <c r="DX6" s="17" t="inlineStr">
        <is>
          <t>2037-02-28</t>
        </is>
      </c>
      <c r="DY6" s="17" t="inlineStr">
        <is>
          <t>2037-03-31</t>
        </is>
      </c>
      <c r="DZ6" s="17" t="inlineStr">
        <is>
          <t>2037-04-30</t>
        </is>
      </c>
      <c r="EA6" s="17" t="inlineStr">
        <is>
          <t>2037-05-31</t>
        </is>
      </c>
      <c r="EB6" s="17" t="inlineStr">
        <is>
          <t>2037-06-30</t>
        </is>
      </c>
      <c r="EC6" s="17" t="inlineStr">
        <is>
          <t>2037-07-31</t>
        </is>
      </c>
      <c r="ED6" s="17" t="inlineStr">
        <is>
          <t>2037-08-31</t>
        </is>
      </c>
      <c r="EE6" s="17" t="inlineStr">
        <is>
          <t>2037-09-30</t>
        </is>
      </c>
      <c r="EF6" s="17" t="inlineStr">
        <is>
          <t>2037-10-31</t>
        </is>
      </c>
      <c r="EG6" s="17" t="inlineStr">
        <is>
          <t>2037-11-30</t>
        </is>
      </c>
      <c r="EH6" s="17" t="inlineStr">
        <is>
          <t>2037-12-31</t>
        </is>
      </c>
      <c r="EI6" s="17" t="inlineStr">
        <is>
          <t>2038-01-31</t>
        </is>
      </c>
      <c r="EJ6" s="17" t="inlineStr">
        <is>
          <t>2038-02-28</t>
        </is>
      </c>
      <c r="EK6" s="17" t="inlineStr">
        <is>
          <t>2038-03-31</t>
        </is>
      </c>
      <c r="EL6" s="17" t="inlineStr">
        <is>
          <t>2038-04-30</t>
        </is>
      </c>
      <c r="EM6" s="17" t="inlineStr">
        <is>
          <t>2038-05-31</t>
        </is>
      </c>
      <c r="EN6" s="17" t="inlineStr">
        <is>
          <t>2038-06-30</t>
        </is>
      </c>
      <c r="EO6" s="17" t="inlineStr">
        <is>
          <t>2038-07-31</t>
        </is>
      </c>
      <c r="EP6" s="17" t="inlineStr">
        <is>
          <t>2038-08-31</t>
        </is>
      </c>
      <c r="EQ6" s="17" t="inlineStr">
        <is>
          <t>2038-09-30</t>
        </is>
      </c>
      <c r="ER6" s="17" t="inlineStr">
        <is>
          <t>2038-10-31</t>
        </is>
      </c>
      <c r="ES6" s="17" t="inlineStr">
        <is>
          <t>2038-11-30</t>
        </is>
      </c>
      <c r="ET6" s="17" t="inlineStr">
        <is>
          <t>2038-12-31</t>
        </is>
      </c>
      <c r="EU6" s="17" t="inlineStr">
        <is>
          <t>2039-01-31</t>
        </is>
      </c>
      <c r="EV6" s="17" t="inlineStr">
        <is>
          <t>2039-02-28</t>
        </is>
      </c>
      <c r="EW6" s="17" t="inlineStr">
        <is>
          <t>2039-03-31</t>
        </is>
      </c>
      <c r="EX6" s="17" t="inlineStr">
        <is>
          <t>2039-04-30</t>
        </is>
      </c>
      <c r="EY6" s="17" t="inlineStr">
        <is>
          <t>2039-05-31</t>
        </is>
      </c>
      <c r="EZ6" s="17" t="inlineStr">
        <is>
          <t>2039-06-30</t>
        </is>
      </c>
      <c r="FA6" s="17" t="inlineStr">
        <is>
          <t>2039-07-31</t>
        </is>
      </c>
      <c r="FB6" s="17" t="inlineStr">
        <is>
          <t>2039-08-31</t>
        </is>
      </c>
      <c r="FC6" s="17" t="inlineStr">
        <is>
          <t>2039-09-30</t>
        </is>
      </c>
      <c r="FD6" s="17" t="inlineStr">
        <is>
          <t>2039-10-31</t>
        </is>
      </c>
      <c r="FE6" s="17" t="inlineStr">
        <is>
          <t>2039-11-30</t>
        </is>
      </c>
      <c r="FF6" s="17" t="inlineStr">
        <is>
          <t>2039-12-31</t>
        </is>
      </c>
      <c r="FG6" s="17" t="inlineStr">
        <is>
          <t>2040-01-31</t>
        </is>
      </c>
      <c r="FH6" s="17" t="inlineStr">
        <is>
          <t>2040-02-29</t>
        </is>
      </c>
      <c r="FI6" s="17" t="inlineStr">
        <is>
          <t>2040-03-31</t>
        </is>
      </c>
      <c r="FJ6" s="17" t="inlineStr">
        <is>
          <t>2040-04-30</t>
        </is>
      </c>
      <c r="FK6" s="17" t="inlineStr">
        <is>
          <t>2040-05-31</t>
        </is>
      </c>
      <c r="FL6" s="17" t="inlineStr">
        <is>
          <t>2040-06-30</t>
        </is>
      </c>
      <c r="FM6" s="17" t="inlineStr">
        <is>
          <t>2040-07-31</t>
        </is>
      </c>
      <c r="FN6" s="17" t="inlineStr">
        <is>
          <t>2040-08-31</t>
        </is>
      </c>
      <c r="FO6" s="17" t="inlineStr">
        <is>
          <t>2040-09-30</t>
        </is>
      </c>
      <c r="FP6" s="17" t="inlineStr">
        <is>
          <t>2040-10-31</t>
        </is>
      </c>
      <c r="FQ6" s="17" t="inlineStr">
        <is>
          <t>2040-11-30</t>
        </is>
      </c>
      <c r="FR6" s="17" t="inlineStr">
        <is>
          <t>2040-12-31</t>
        </is>
      </c>
      <c r="FS6" s="17" t="inlineStr">
        <is>
          <t>2041-01-31</t>
        </is>
      </c>
      <c r="FT6" s="17" t="inlineStr">
        <is>
          <t>2041-02-28</t>
        </is>
      </c>
      <c r="FU6" s="17" t="inlineStr">
        <is>
          <t>2041-03-31</t>
        </is>
      </c>
      <c r="FV6" s="17" t="inlineStr">
        <is>
          <t>2041-04-30</t>
        </is>
      </c>
      <c r="FW6" s="17" t="inlineStr">
        <is>
          <t>2041-05-31</t>
        </is>
      </c>
      <c r="FX6" s="17" t="inlineStr">
        <is>
          <t>2041-06-30</t>
        </is>
      </c>
      <c r="FY6" s="17" t="inlineStr">
        <is>
          <t>2041-07-31</t>
        </is>
      </c>
      <c r="FZ6" s="17" t="inlineStr">
        <is>
          <t>2041-08-31</t>
        </is>
      </c>
      <c r="GA6" s="17" t="inlineStr">
        <is>
          <t>2041-09-30</t>
        </is>
      </c>
      <c r="GB6" s="17" t="inlineStr">
        <is>
          <t>2041-10-31</t>
        </is>
      </c>
      <c r="GC6" s="17" t="inlineStr">
        <is>
          <t>2041-11-30</t>
        </is>
      </c>
      <c r="GD6" s="17" t="inlineStr">
        <is>
          <t>2041-12-31</t>
        </is>
      </c>
      <c r="GE6" s="17" t="inlineStr">
        <is>
          <t>2042-01-31</t>
        </is>
      </c>
      <c r="GF6" s="17" t="inlineStr">
        <is>
          <t>2042-02-28</t>
        </is>
      </c>
      <c r="GG6" s="17" t="inlineStr">
        <is>
          <t>2042-03-31</t>
        </is>
      </c>
      <c r="GH6" s="17" t="inlineStr">
        <is>
          <t>2042-04-30</t>
        </is>
      </c>
      <c r="GI6" s="17" t="inlineStr">
        <is>
          <t>2042-05-31</t>
        </is>
      </c>
      <c r="GJ6" s="17" t="inlineStr">
        <is>
          <t>2042-06-30</t>
        </is>
      </c>
      <c r="GK6" s="17" t="inlineStr">
        <is>
          <t>2042-07-31</t>
        </is>
      </c>
      <c r="GL6" s="17" t="inlineStr">
        <is>
          <t>2042-08-31</t>
        </is>
      </c>
      <c r="GM6" s="17" t="inlineStr">
        <is>
          <t>2042-09-30</t>
        </is>
      </c>
      <c r="GN6" s="17" t="inlineStr">
        <is>
          <t>2042-10-31</t>
        </is>
      </c>
      <c r="GO6" s="17" t="inlineStr">
        <is>
          <t>2042-11-30</t>
        </is>
      </c>
      <c r="GP6" s="17" t="inlineStr">
        <is>
          <t>2042-12-31</t>
        </is>
      </c>
      <c r="GQ6" s="17" t="inlineStr">
        <is>
          <t>2043-01-31</t>
        </is>
      </c>
      <c r="GR6" s="17" t="inlineStr">
        <is>
          <t>2043-02-28</t>
        </is>
      </c>
      <c r="GS6" s="17" t="inlineStr">
        <is>
          <t>2043-03-31</t>
        </is>
      </c>
      <c r="GT6" s="17" t="inlineStr">
        <is>
          <t>2043-04-30</t>
        </is>
      </c>
      <c r="GU6" s="17" t="inlineStr">
        <is>
          <t>2043-05-31</t>
        </is>
      </c>
      <c r="GV6" s="17" t="inlineStr">
        <is>
          <t>2043-06-30</t>
        </is>
      </c>
      <c r="GW6" s="17" t="inlineStr">
        <is>
          <t>2043-07-31</t>
        </is>
      </c>
      <c r="GX6" s="17" t="inlineStr">
        <is>
          <t>2043-08-31</t>
        </is>
      </c>
      <c r="GY6" s="17" t="inlineStr">
        <is>
          <t>2043-09-30</t>
        </is>
      </c>
      <c r="GZ6" s="17" t="inlineStr">
        <is>
          <t>2043-10-31</t>
        </is>
      </c>
      <c r="HA6" s="17" t="inlineStr">
        <is>
          <t>2043-11-30</t>
        </is>
      </c>
      <c r="HB6" s="17" t="inlineStr">
        <is>
          <t>2043-12-31</t>
        </is>
      </c>
      <c r="HC6" s="17" t="inlineStr">
        <is>
          <t>2044-01-31</t>
        </is>
      </c>
      <c r="HD6" s="17" t="inlineStr">
        <is>
          <t>2044-02-29</t>
        </is>
      </c>
      <c r="HE6" s="17" t="inlineStr">
        <is>
          <t>2044-03-31</t>
        </is>
      </c>
      <c r="HF6" s="17" t="inlineStr">
        <is>
          <t>2044-04-30</t>
        </is>
      </c>
      <c r="HG6" s="17" t="inlineStr">
        <is>
          <t>2044-05-31</t>
        </is>
      </c>
      <c r="HH6" s="17" t="inlineStr">
        <is>
          <t>2044-06-30</t>
        </is>
      </c>
      <c r="HI6" s="17" t="inlineStr">
        <is>
          <t>2044-07-31</t>
        </is>
      </c>
      <c r="HJ6" s="17" t="inlineStr">
        <is>
          <t>2044-08-31</t>
        </is>
      </c>
      <c r="HK6" s="17" t="inlineStr">
        <is>
          <t>2044-09-30</t>
        </is>
      </c>
      <c r="HL6" s="17" t="inlineStr">
        <is>
          <t>2044-10-31</t>
        </is>
      </c>
      <c r="HM6" s="17" t="inlineStr">
        <is>
          <t>2044-11-30</t>
        </is>
      </c>
      <c r="HN6" s="17" t="inlineStr">
        <is>
          <t>2044-12-31</t>
        </is>
      </c>
      <c r="HO6" s="17" t="inlineStr">
        <is>
          <t>2045-01-31</t>
        </is>
      </c>
      <c r="HP6" s="17" t="inlineStr">
        <is>
          <t>2045-02-28</t>
        </is>
      </c>
      <c r="HQ6" s="17" t="inlineStr">
        <is>
          <t>2045-03-31</t>
        </is>
      </c>
      <c r="HR6" s="17" t="inlineStr">
        <is>
          <t>2045-04-30</t>
        </is>
      </c>
      <c r="HS6" s="17" t="inlineStr">
        <is>
          <t>2045-05-31</t>
        </is>
      </c>
      <c r="HT6" s="17" t="inlineStr">
        <is>
          <t>2045-06-30</t>
        </is>
      </c>
      <c r="HU6" s="17" t="inlineStr">
        <is>
          <t>2045-07-31</t>
        </is>
      </c>
      <c r="HV6" s="17" t="inlineStr">
        <is>
          <t>2045-08-31</t>
        </is>
      </c>
      <c r="HW6" s="17" t="inlineStr">
        <is>
          <t>2045-09-30</t>
        </is>
      </c>
      <c r="HX6" s="17" t="inlineStr">
        <is>
          <t>2045-10-31</t>
        </is>
      </c>
      <c r="HY6" s="17" t="inlineStr">
        <is>
          <t>2045-11-30</t>
        </is>
      </c>
      <c r="HZ6" s="17" t="inlineStr">
        <is>
          <t>2045-12-31</t>
        </is>
      </c>
      <c r="IA6" s="17" t="inlineStr">
        <is>
          <t>2046-01-31</t>
        </is>
      </c>
      <c r="IB6" s="17" t="inlineStr">
        <is>
          <t>2046-02-28</t>
        </is>
      </c>
      <c r="IC6" s="17" t="inlineStr">
        <is>
          <t>2046-03-31</t>
        </is>
      </c>
      <c r="ID6" s="17" t="inlineStr">
        <is>
          <t>2046-04-30</t>
        </is>
      </c>
      <c r="IE6" s="17" t="inlineStr">
        <is>
          <t>2046-05-31</t>
        </is>
      </c>
      <c r="IF6" s="17" t="inlineStr">
        <is>
          <t>2046-06-30</t>
        </is>
      </c>
      <c r="IG6" s="17" t="inlineStr">
        <is>
          <t>2046-07-31</t>
        </is>
      </c>
      <c r="IH6" s="17" t="inlineStr">
        <is>
          <t>2046-08-31</t>
        </is>
      </c>
      <c r="II6" s="17" t="inlineStr">
        <is>
          <t>2046-09-30</t>
        </is>
      </c>
      <c r="IJ6" s="17" t="inlineStr">
        <is>
          <t>2046-10-31</t>
        </is>
      </c>
      <c r="IK6" s="17" t="inlineStr">
        <is>
          <t>2046-11-30</t>
        </is>
      </c>
      <c r="IL6" s="17" t="inlineStr">
        <is>
          <t>2046-12-31</t>
        </is>
      </c>
      <c r="IM6" s="17" t="inlineStr">
        <is>
          <t>2047-01-31</t>
        </is>
      </c>
      <c r="IN6" s="17" t="inlineStr">
        <is>
          <t>2047-02-28</t>
        </is>
      </c>
      <c r="IO6" s="17" t="inlineStr">
        <is>
          <t>2047-03-31</t>
        </is>
      </c>
      <c r="IP6" s="17" t="inlineStr">
        <is>
          <t>2047-04-30</t>
        </is>
      </c>
      <c r="IQ6" s="17" t="inlineStr">
        <is>
          <t>2047-05-31</t>
        </is>
      </c>
      <c r="IR6" s="17" t="inlineStr">
        <is>
          <t>2047-06-30</t>
        </is>
      </c>
      <c r="IS6" s="17" t="inlineStr">
        <is>
          <t>2047-07-31</t>
        </is>
      </c>
      <c r="IT6" s="17" t="inlineStr">
        <is>
          <t>2047-08-31</t>
        </is>
      </c>
      <c r="IU6" s="17" t="inlineStr">
        <is>
          <t>2047-09-30</t>
        </is>
      </c>
      <c r="IV6" s="17" t="inlineStr">
        <is>
          <t>2047-10-31</t>
        </is>
      </c>
      <c r="IW6" s="17" t="inlineStr">
        <is>
          <t>2047-11-30</t>
        </is>
      </c>
      <c r="IX6" s="17" t="inlineStr">
        <is>
          <t>2047-12-31</t>
        </is>
      </c>
      <c r="IY6" s="17" t="inlineStr">
        <is>
          <t>2048-01-31</t>
        </is>
      </c>
      <c r="IZ6" s="17" t="inlineStr">
        <is>
          <t>2048-02-29</t>
        </is>
      </c>
      <c r="JA6" s="17" t="inlineStr">
        <is>
          <t>2048-03-31</t>
        </is>
      </c>
      <c r="JB6" s="17" t="inlineStr">
        <is>
          <t>2048-04-30</t>
        </is>
      </c>
      <c r="JC6" s="17" t="inlineStr">
        <is>
          <t>2048-05-31</t>
        </is>
      </c>
      <c r="JD6" s="17" t="inlineStr">
        <is>
          <t>2048-06-30</t>
        </is>
      </c>
      <c r="JE6" s="17" t="inlineStr">
        <is>
          <t>2048-07-31</t>
        </is>
      </c>
      <c r="JF6" s="17" t="inlineStr">
        <is>
          <t>2048-08-31</t>
        </is>
      </c>
      <c r="JG6" s="17" t="inlineStr">
        <is>
          <t>2048-09-30</t>
        </is>
      </c>
      <c r="JH6" s="17" t="inlineStr">
        <is>
          <t>2048-10-31</t>
        </is>
      </c>
      <c r="JI6" s="17" t="inlineStr">
        <is>
          <t>2048-11-30</t>
        </is>
      </c>
      <c r="JJ6" s="17" t="inlineStr">
        <is>
          <t>2048-12-31</t>
        </is>
      </c>
      <c r="JK6" s="17" t="inlineStr">
        <is>
          <t>2049-01-31</t>
        </is>
      </c>
      <c r="JL6" s="17" t="inlineStr">
        <is>
          <t>2049-02-28</t>
        </is>
      </c>
      <c r="JM6" s="17" t="inlineStr">
        <is>
          <t>2049-03-31</t>
        </is>
      </c>
      <c r="JN6" s="17" t="inlineStr">
        <is>
          <t>2049-04-30</t>
        </is>
      </c>
      <c r="JO6" s="17" t="inlineStr">
        <is>
          <t>2049-05-31</t>
        </is>
      </c>
      <c r="JP6" s="17" t="inlineStr">
        <is>
          <t>2049-06-30</t>
        </is>
      </c>
      <c r="JQ6" s="17" t="inlineStr">
        <is>
          <t>2049-07-31</t>
        </is>
      </c>
      <c r="JR6" s="17" t="inlineStr">
        <is>
          <t>2049-08-31</t>
        </is>
      </c>
      <c r="JS6" s="17" t="inlineStr">
        <is>
          <t>2049-09-30</t>
        </is>
      </c>
      <c r="JT6" s="17" t="inlineStr">
        <is>
          <t>2049-10-31</t>
        </is>
      </c>
      <c r="JU6" s="17" t="inlineStr">
        <is>
          <t>2049-11-30</t>
        </is>
      </c>
      <c r="JV6" s="17" t="inlineStr">
        <is>
          <t>2049-12-31</t>
        </is>
      </c>
      <c r="JW6" s="17" t="inlineStr">
        <is>
          <t>2050-01-31</t>
        </is>
      </c>
      <c r="JX6" s="17" t="inlineStr">
        <is>
          <t>2050-02-28</t>
        </is>
      </c>
      <c r="JY6" s="17" t="inlineStr">
        <is>
          <t>2050-03-31</t>
        </is>
      </c>
      <c r="JZ6" s="17" t="inlineStr">
        <is>
          <t>2050-04-30</t>
        </is>
      </c>
      <c r="KA6" s="17" t="inlineStr">
        <is>
          <t>2050-05-31</t>
        </is>
      </c>
      <c r="KB6" s="17" t="inlineStr">
        <is>
          <t>2050-06-30</t>
        </is>
      </c>
      <c r="KC6" s="17" t="inlineStr">
        <is>
          <t>2050-07-31</t>
        </is>
      </c>
      <c r="KD6" s="17" t="inlineStr">
        <is>
          <t>2050-08-31</t>
        </is>
      </c>
      <c r="KE6" s="17" t="inlineStr">
        <is>
          <t>2050-09-30</t>
        </is>
      </c>
      <c r="KF6" s="17" t="inlineStr">
        <is>
          <t>2050-10-31</t>
        </is>
      </c>
      <c r="KG6" s="17" t="inlineStr">
        <is>
          <t>2050-11-30</t>
        </is>
      </c>
      <c r="KH6" s="17" t="inlineStr">
        <is>
          <t>2050-12-31</t>
        </is>
      </c>
      <c r="KI6" s="17" t="inlineStr">
        <is>
          <t>2051-01-31</t>
        </is>
      </c>
      <c r="KJ6" s="17" t="inlineStr">
        <is>
          <t>2051-02-28</t>
        </is>
      </c>
      <c r="KK6" s="17" t="inlineStr">
        <is>
          <t>2051-03-31</t>
        </is>
      </c>
      <c r="KL6" s="17" t="inlineStr">
        <is>
          <t>2051-04-30</t>
        </is>
      </c>
      <c r="KM6" s="17" t="inlineStr">
        <is>
          <t>2051-05-31</t>
        </is>
      </c>
      <c r="KN6" s="17" t="inlineStr">
        <is>
          <t>2051-06-30</t>
        </is>
      </c>
      <c r="KO6" s="17" t="inlineStr">
        <is>
          <t>2051-07-31</t>
        </is>
      </c>
      <c r="KP6" s="17" t="inlineStr">
        <is>
          <t>2051-08-31</t>
        </is>
      </c>
      <c r="KQ6" s="17" t="inlineStr">
        <is>
          <t>2051-09-30</t>
        </is>
      </c>
      <c r="KR6" s="17" t="inlineStr">
        <is>
          <t>2051-10-31</t>
        </is>
      </c>
      <c r="KS6" s="17" t="inlineStr">
        <is>
          <t>2051-11-30</t>
        </is>
      </c>
      <c r="KT6" s="17" t="inlineStr">
        <is>
          <t>2051-12-31</t>
        </is>
      </c>
      <c r="KU6" s="17" t="inlineStr">
        <is>
          <t>2052-01-31</t>
        </is>
      </c>
      <c r="KV6" s="17" t="inlineStr">
        <is>
          <t>2052-02-29</t>
        </is>
      </c>
      <c r="KW6" s="17" t="inlineStr">
        <is>
          <t>2052-03-31</t>
        </is>
      </c>
      <c r="KX6" s="17" t="inlineStr">
        <is>
          <t>2052-04-30</t>
        </is>
      </c>
      <c r="KY6" s="17" t="inlineStr">
        <is>
          <t>2052-05-31</t>
        </is>
      </c>
      <c r="KZ6" s="17" t="inlineStr">
        <is>
          <t>2052-06-30</t>
        </is>
      </c>
      <c r="LA6" s="17" t="inlineStr">
        <is>
          <t>2052-07-31</t>
        </is>
      </c>
      <c r="LB6" s="17" t="inlineStr">
        <is>
          <t>2052-08-31</t>
        </is>
      </c>
      <c r="LC6" s="17" t="inlineStr">
        <is>
          <t>2052-09-30</t>
        </is>
      </c>
      <c r="LD6" s="17" t="inlineStr">
        <is>
          <t>2052-10-31</t>
        </is>
      </c>
      <c r="LE6" s="17" t="inlineStr">
        <is>
          <t>2052-11-30</t>
        </is>
      </c>
      <c r="LF6" s="17" t="inlineStr">
        <is>
          <t>2052-12-31</t>
        </is>
      </c>
      <c r="LG6" s="17" t="inlineStr">
        <is>
          <t>2053-01-31</t>
        </is>
      </c>
      <c r="LH6" s="17" t="inlineStr">
        <is>
          <t>2053-02-28</t>
        </is>
      </c>
      <c r="LI6" s="17" t="inlineStr">
        <is>
          <t>2053-03-31</t>
        </is>
      </c>
    </row>
    <row r="7">
      <c r="B7" s="18" t="inlineStr">
        <is>
          <t>Flag de operacion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1</v>
      </c>
      <c r="BA7" s="19" t="n">
        <v>1</v>
      </c>
      <c r="BB7" s="19" t="n">
        <v>1</v>
      </c>
      <c r="BC7" s="19" t="n">
        <v>1</v>
      </c>
      <c r="BD7" s="19" t="n">
        <v>1</v>
      </c>
      <c r="BE7" s="19" t="n">
        <v>1</v>
      </c>
      <c r="BF7" s="19" t="n">
        <v>1</v>
      </c>
      <c r="BG7" s="19" t="n">
        <v>1</v>
      </c>
      <c r="BH7" s="19" t="n">
        <v>1</v>
      </c>
      <c r="BI7" s="19" t="n">
        <v>1</v>
      </c>
      <c r="BJ7" s="19" t="n">
        <v>1</v>
      </c>
      <c r="BK7" s="19" t="n">
        <v>1</v>
      </c>
      <c r="BL7" s="19" t="n">
        <v>1</v>
      </c>
      <c r="BM7" s="19" t="n">
        <v>1</v>
      </c>
      <c r="BN7" s="19" t="n">
        <v>1</v>
      </c>
      <c r="BO7" s="19" t="n">
        <v>1</v>
      </c>
      <c r="BP7" s="19" t="n">
        <v>1</v>
      </c>
      <c r="BQ7" s="19" t="n">
        <v>1</v>
      </c>
      <c r="BR7" s="19" t="n">
        <v>1</v>
      </c>
      <c r="BS7" s="19" t="n">
        <v>1</v>
      </c>
      <c r="BT7" s="19" t="n">
        <v>1</v>
      </c>
      <c r="BU7" s="19" t="n">
        <v>1</v>
      </c>
      <c r="BV7" s="19" t="n">
        <v>1</v>
      </c>
      <c r="BW7" s="19" t="n">
        <v>1</v>
      </c>
      <c r="BX7" s="19" t="n">
        <v>1</v>
      </c>
      <c r="BY7" s="19" t="n">
        <v>1</v>
      </c>
      <c r="BZ7" s="19" t="n">
        <v>1</v>
      </c>
      <c r="CA7" s="19" t="n">
        <v>1</v>
      </c>
      <c r="CB7" s="19" t="n">
        <v>1</v>
      </c>
      <c r="CC7" s="19" t="n">
        <v>1</v>
      </c>
      <c r="CD7" s="19" t="n">
        <v>1</v>
      </c>
      <c r="CE7" s="19" t="n">
        <v>1</v>
      </c>
      <c r="CF7" s="19" t="n">
        <v>1</v>
      </c>
      <c r="CG7" s="19" t="n">
        <v>1</v>
      </c>
      <c r="CH7" s="19" t="n">
        <v>1</v>
      </c>
      <c r="CI7" s="19" t="n">
        <v>1</v>
      </c>
      <c r="CJ7" s="19" t="n">
        <v>1</v>
      </c>
      <c r="CK7" s="19" t="n">
        <v>1</v>
      </c>
      <c r="CL7" s="19" t="n">
        <v>1</v>
      </c>
      <c r="CM7" s="19" t="n">
        <v>1</v>
      </c>
      <c r="CN7" s="19" t="n">
        <v>1</v>
      </c>
      <c r="CO7" s="19" t="n">
        <v>1</v>
      </c>
      <c r="CP7" s="19" t="n">
        <v>1</v>
      </c>
      <c r="CQ7" s="19" t="n">
        <v>1</v>
      </c>
      <c r="CR7" s="19" t="n">
        <v>1</v>
      </c>
      <c r="CS7" s="19" t="n">
        <v>1</v>
      </c>
      <c r="CT7" s="19" t="n">
        <v>1</v>
      </c>
      <c r="CU7" s="19" t="n">
        <v>1</v>
      </c>
      <c r="CV7" s="19" t="n">
        <v>1</v>
      </c>
      <c r="CW7" s="19" t="n">
        <v>1</v>
      </c>
      <c r="CX7" s="19" t="n">
        <v>1</v>
      </c>
      <c r="CY7" s="19" t="n">
        <v>1</v>
      </c>
      <c r="CZ7" s="19" t="n">
        <v>1</v>
      </c>
      <c r="DA7" s="19" t="n">
        <v>1</v>
      </c>
      <c r="DB7" s="19" t="n">
        <v>1</v>
      </c>
      <c r="DC7" s="19" t="n">
        <v>1</v>
      </c>
      <c r="DD7" s="19" t="n">
        <v>1</v>
      </c>
      <c r="DE7" s="19" t="n">
        <v>1</v>
      </c>
      <c r="DF7" s="19" t="n">
        <v>1</v>
      </c>
      <c r="DG7" s="19" t="n">
        <v>1</v>
      </c>
      <c r="DH7" s="19" t="n">
        <v>1</v>
      </c>
      <c r="DI7" s="19" t="n">
        <v>1</v>
      </c>
      <c r="DJ7" s="19" t="n">
        <v>1</v>
      </c>
      <c r="DK7" s="19" t="n">
        <v>1</v>
      </c>
      <c r="DL7" s="19" t="n">
        <v>1</v>
      </c>
      <c r="DM7" s="19" t="n">
        <v>1</v>
      </c>
      <c r="DN7" s="19" t="n">
        <v>1</v>
      </c>
      <c r="DO7" s="19" t="n">
        <v>1</v>
      </c>
      <c r="DP7" s="19" t="n">
        <v>1</v>
      </c>
      <c r="DQ7" s="19" t="n">
        <v>1</v>
      </c>
      <c r="DR7" s="19" t="n">
        <v>1</v>
      </c>
      <c r="DS7" s="19" t="n">
        <v>1</v>
      </c>
      <c r="DT7" s="19" t="n">
        <v>1</v>
      </c>
      <c r="DU7" s="19" t="n">
        <v>1</v>
      </c>
      <c r="DV7" s="19" t="n">
        <v>1</v>
      </c>
      <c r="DW7" s="19" t="n">
        <v>1</v>
      </c>
      <c r="DX7" s="19" t="n">
        <v>1</v>
      </c>
      <c r="DY7" s="19" t="n">
        <v>1</v>
      </c>
      <c r="DZ7" s="19" t="n">
        <v>1</v>
      </c>
      <c r="EA7" s="19" t="n">
        <v>1</v>
      </c>
      <c r="EB7" s="19" t="n">
        <v>1</v>
      </c>
      <c r="EC7" s="19" t="n">
        <v>1</v>
      </c>
      <c r="ED7" s="19" t="n">
        <v>1</v>
      </c>
      <c r="EE7" s="19" t="n">
        <v>1</v>
      </c>
      <c r="EF7" s="19" t="n">
        <v>1</v>
      </c>
      <c r="EG7" s="19" t="n">
        <v>1</v>
      </c>
      <c r="EH7" s="19" t="n">
        <v>1</v>
      </c>
      <c r="EI7" s="19" t="n">
        <v>1</v>
      </c>
      <c r="EJ7" s="19" t="n">
        <v>1</v>
      </c>
      <c r="EK7" s="19" t="n">
        <v>1</v>
      </c>
      <c r="EL7" s="19" t="n">
        <v>1</v>
      </c>
      <c r="EM7" s="19" t="n">
        <v>1</v>
      </c>
      <c r="EN7" s="19" t="n">
        <v>1</v>
      </c>
      <c r="EO7" s="19" t="n">
        <v>1</v>
      </c>
      <c r="EP7" s="19" t="n">
        <v>1</v>
      </c>
      <c r="EQ7" s="19" t="n">
        <v>1</v>
      </c>
      <c r="ER7" s="19" t="n">
        <v>1</v>
      </c>
      <c r="ES7" s="19" t="n">
        <v>1</v>
      </c>
      <c r="ET7" s="19" t="n">
        <v>1</v>
      </c>
      <c r="EU7" s="19" t="n">
        <v>1</v>
      </c>
      <c r="EV7" s="19" t="n">
        <v>1</v>
      </c>
      <c r="EW7" s="19" t="n">
        <v>1</v>
      </c>
      <c r="EX7" s="19" t="n">
        <v>1</v>
      </c>
      <c r="EY7" s="19" t="n">
        <v>1</v>
      </c>
      <c r="EZ7" s="19" t="n">
        <v>1</v>
      </c>
      <c r="FA7" s="19" t="n">
        <v>1</v>
      </c>
      <c r="FB7" s="19" t="n">
        <v>1</v>
      </c>
      <c r="FC7" s="19" t="n">
        <v>1</v>
      </c>
      <c r="FD7" s="19" t="n">
        <v>1</v>
      </c>
      <c r="FE7" s="19" t="n">
        <v>1</v>
      </c>
      <c r="FF7" s="19" t="n">
        <v>1</v>
      </c>
      <c r="FG7" s="19" t="n">
        <v>1</v>
      </c>
      <c r="FH7" s="19" t="n">
        <v>1</v>
      </c>
      <c r="FI7" s="19" t="n">
        <v>1</v>
      </c>
      <c r="FJ7" s="19" t="n">
        <v>1</v>
      </c>
      <c r="FK7" s="19" t="n">
        <v>1</v>
      </c>
      <c r="FL7" s="19" t="n">
        <v>1</v>
      </c>
      <c r="FM7" s="19" t="n">
        <v>1</v>
      </c>
      <c r="FN7" s="19" t="n">
        <v>1</v>
      </c>
      <c r="FO7" s="19" t="n">
        <v>1</v>
      </c>
      <c r="FP7" s="19" t="n">
        <v>1</v>
      </c>
      <c r="FQ7" s="19" t="n">
        <v>1</v>
      </c>
      <c r="FR7" s="19" t="n">
        <v>1</v>
      </c>
      <c r="FS7" s="19" t="n">
        <v>1</v>
      </c>
      <c r="FT7" s="19" t="n">
        <v>1</v>
      </c>
      <c r="FU7" s="19" t="n">
        <v>1</v>
      </c>
      <c r="FV7" s="19" t="n">
        <v>1</v>
      </c>
      <c r="FW7" s="19" t="n">
        <v>1</v>
      </c>
      <c r="FX7" s="19" t="n">
        <v>1</v>
      </c>
      <c r="FY7" s="19" t="n">
        <v>1</v>
      </c>
      <c r="FZ7" s="19" t="n">
        <v>1</v>
      </c>
      <c r="GA7" s="19" t="n">
        <v>1</v>
      </c>
      <c r="GB7" s="19" t="n">
        <v>1</v>
      </c>
      <c r="GC7" s="19" t="n">
        <v>1</v>
      </c>
      <c r="GD7" s="19" t="n">
        <v>1</v>
      </c>
      <c r="GE7" s="19" t="n">
        <v>1</v>
      </c>
      <c r="GF7" s="19" t="n">
        <v>1</v>
      </c>
      <c r="GG7" s="19" t="n">
        <v>1</v>
      </c>
      <c r="GH7" s="19" t="n">
        <v>1</v>
      </c>
      <c r="GI7" s="19" t="n">
        <v>1</v>
      </c>
      <c r="GJ7" s="19" t="n">
        <v>1</v>
      </c>
      <c r="GK7" s="19" t="n">
        <v>1</v>
      </c>
      <c r="GL7" s="19" t="n">
        <v>1</v>
      </c>
      <c r="GM7" s="19" t="n">
        <v>1</v>
      </c>
      <c r="GN7" s="19" t="n">
        <v>1</v>
      </c>
      <c r="GO7" s="19" t="n">
        <v>1</v>
      </c>
      <c r="GP7" s="19" t="n">
        <v>1</v>
      </c>
      <c r="GQ7" s="19" t="n">
        <v>1</v>
      </c>
      <c r="GR7" s="19" t="n">
        <v>1</v>
      </c>
      <c r="GS7" s="19" t="n">
        <v>1</v>
      </c>
      <c r="GT7" s="19" t="n">
        <v>1</v>
      </c>
      <c r="GU7" s="19" t="n">
        <v>1</v>
      </c>
      <c r="GV7" s="19" t="n">
        <v>1</v>
      </c>
      <c r="GW7" s="19" t="n">
        <v>1</v>
      </c>
      <c r="GX7" s="19" t="n">
        <v>1</v>
      </c>
      <c r="GY7" s="19" t="n">
        <v>1</v>
      </c>
      <c r="GZ7" s="19" t="n">
        <v>1</v>
      </c>
      <c r="HA7" s="19" t="n">
        <v>1</v>
      </c>
      <c r="HB7" s="19" t="n">
        <v>1</v>
      </c>
      <c r="HC7" s="19" t="n">
        <v>1</v>
      </c>
      <c r="HD7" s="19" t="n">
        <v>1</v>
      </c>
      <c r="HE7" s="19" t="n">
        <v>1</v>
      </c>
      <c r="HF7" s="19" t="n">
        <v>1</v>
      </c>
      <c r="HG7" s="19" t="n">
        <v>1</v>
      </c>
      <c r="HH7" s="19" t="n">
        <v>1</v>
      </c>
      <c r="HI7" s="19" t="n">
        <v>1</v>
      </c>
      <c r="HJ7" s="19" t="n">
        <v>1</v>
      </c>
      <c r="HK7" s="19" t="n">
        <v>1</v>
      </c>
      <c r="HL7" s="19" t="n">
        <v>1</v>
      </c>
      <c r="HM7" s="19" t="n">
        <v>1</v>
      </c>
      <c r="HN7" s="19" t="n">
        <v>1</v>
      </c>
      <c r="HO7" s="19" t="n">
        <v>1</v>
      </c>
      <c r="HP7" s="19" t="n">
        <v>1</v>
      </c>
      <c r="HQ7" s="19" t="n">
        <v>1</v>
      </c>
      <c r="HR7" s="19" t="n">
        <v>1</v>
      </c>
      <c r="HS7" s="19" t="n">
        <v>1</v>
      </c>
      <c r="HT7" s="19" t="n">
        <v>1</v>
      </c>
      <c r="HU7" s="19" t="n">
        <v>1</v>
      </c>
      <c r="HV7" s="19" t="n">
        <v>1</v>
      </c>
      <c r="HW7" s="19" t="n">
        <v>1</v>
      </c>
      <c r="HX7" s="19" t="n">
        <v>1</v>
      </c>
      <c r="HY7" s="19" t="n">
        <v>1</v>
      </c>
      <c r="HZ7" s="19" t="n">
        <v>1</v>
      </c>
      <c r="IA7" s="19" t="n">
        <v>1</v>
      </c>
      <c r="IB7" s="19" t="n">
        <v>1</v>
      </c>
      <c r="IC7" s="19" t="n">
        <v>1</v>
      </c>
      <c r="ID7" s="19" t="n">
        <v>1</v>
      </c>
      <c r="IE7" s="19" t="n">
        <v>1</v>
      </c>
      <c r="IF7" s="19" t="n">
        <v>1</v>
      </c>
      <c r="IG7" s="19" t="n">
        <v>1</v>
      </c>
      <c r="IH7" s="19" t="n">
        <v>1</v>
      </c>
      <c r="II7" s="19" t="n">
        <v>1</v>
      </c>
      <c r="IJ7" s="19" t="n">
        <v>1</v>
      </c>
      <c r="IK7" s="19" t="n">
        <v>1</v>
      </c>
      <c r="IL7" s="19" t="n">
        <v>1</v>
      </c>
      <c r="IM7" s="19" t="n">
        <v>1</v>
      </c>
      <c r="IN7" s="19" t="n">
        <v>1</v>
      </c>
      <c r="IO7" s="19" t="n">
        <v>1</v>
      </c>
      <c r="IP7" s="19" t="n">
        <v>1</v>
      </c>
      <c r="IQ7" s="19" t="n">
        <v>1</v>
      </c>
      <c r="IR7" s="19" t="n">
        <v>1</v>
      </c>
      <c r="IS7" s="19" t="n">
        <v>1</v>
      </c>
      <c r="IT7" s="19" t="n">
        <v>1</v>
      </c>
      <c r="IU7" s="19" t="n">
        <v>1</v>
      </c>
      <c r="IV7" s="19" t="n">
        <v>1</v>
      </c>
      <c r="IW7" s="19" t="n">
        <v>1</v>
      </c>
      <c r="IX7" s="19" t="n">
        <v>1</v>
      </c>
      <c r="IY7" s="19" t="n">
        <v>1</v>
      </c>
      <c r="IZ7" s="19" t="n">
        <v>1</v>
      </c>
      <c r="JA7" s="19" t="n">
        <v>1</v>
      </c>
      <c r="JB7" s="19" t="n">
        <v>1</v>
      </c>
      <c r="JC7" s="19" t="n">
        <v>1</v>
      </c>
      <c r="JD7" s="19" t="n">
        <v>1</v>
      </c>
      <c r="JE7" s="19" t="n">
        <v>1</v>
      </c>
      <c r="JF7" s="19" t="n">
        <v>1</v>
      </c>
      <c r="JG7" s="19" t="n">
        <v>1</v>
      </c>
      <c r="JH7" s="19" t="n">
        <v>1</v>
      </c>
      <c r="JI7" s="19" t="n">
        <v>1</v>
      </c>
      <c r="JJ7" s="19" t="n">
        <v>1</v>
      </c>
      <c r="JK7" s="19" t="n">
        <v>1</v>
      </c>
      <c r="JL7" s="19" t="n">
        <v>1</v>
      </c>
      <c r="JM7" s="19" t="n">
        <v>1</v>
      </c>
      <c r="JN7" s="19" t="n">
        <v>1</v>
      </c>
      <c r="JO7" s="19" t="n">
        <v>1</v>
      </c>
      <c r="JP7" s="19" t="n">
        <v>1</v>
      </c>
      <c r="JQ7" s="19" t="n">
        <v>1</v>
      </c>
      <c r="JR7" s="19" t="n">
        <v>1</v>
      </c>
      <c r="JS7" s="19" t="n">
        <v>1</v>
      </c>
      <c r="JT7" s="19" t="n">
        <v>1</v>
      </c>
      <c r="JU7" s="19" t="n">
        <v>1</v>
      </c>
      <c r="JV7" s="19" t="n">
        <v>1</v>
      </c>
      <c r="JW7" s="19" t="n">
        <v>1</v>
      </c>
      <c r="JX7" s="19" t="n">
        <v>1</v>
      </c>
      <c r="JY7" s="19" t="n">
        <v>1</v>
      </c>
      <c r="JZ7" s="19" t="n">
        <v>1</v>
      </c>
      <c r="KA7" s="19" t="n">
        <v>1</v>
      </c>
      <c r="KB7" s="19" t="n">
        <v>1</v>
      </c>
      <c r="KC7" s="19" t="n">
        <v>1</v>
      </c>
      <c r="KD7" s="19" t="n">
        <v>1</v>
      </c>
      <c r="KE7" s="19" t="n">
        <v>1</v>
      </c>
      <c r="KF7" s="19" t="n">
        <v>1</v>
      </c>
      <c r="KG7" s="19" t="n">
        <v>1</v>
      </c>
      <c r="KH7" s="19" t="n">
        <v>1</v>
      </c>
      <c r="KI7" s="19" t="n">
        <v>1</v>
      </c>
      <c r="KJ7" s="19" t="n">
        <v>1</v>
      </c>
      <c r="KK7" s="19" t="n">
        <v>1</v>
      </c>
      <c r="KL7" s="19" t="n">
        <v>1</v>
      </c>
      <c r="KM7" s="19" t="n">
        <v>1</v>
      </c>
      <c r="KN7" s="19" t="n">
        <v>1</v>
      </c>
      <c r="KO7" s="19" t="n">
        <v>1</v>
      </c>
      <c r="KP7" s="19" t="n">
        <v>1</v>
      </c>
      <c r="KQ7" s="19" t="n">
        <v>1</v>
      </c>
      <c r="KR7" s="19" t="n">
        <v>1</v>
      </c>
      <c r="KS7" s="19" t="n">
        <v>1</v>
      </c>
      <c r="KT7" s="19" t="n">
        <v>1</v>
      </c>
      <c r="KU7" s="19" t="n">
        <v>1</v>
      </c>
      <c r="KV7" s="19" t="n">
        <v>1</v>
      </c>
      <c r="KW7" s="19" t="n">
        <v>1</v>
      </c>
      <c r="KX7" s="19" t="n">
        <v>1</v>
      </c>
      <c r="KY7" s="19" t="n">
        <v>1</v>
      </c>
      <c r="KZ7" s="19" t="n">
        <v>1</v>
      </c>
      <c r="LA7" s="19" t="n">
        <v>1</v>
      </c>
      <c r="LB7" s="19" t="n">
        <v>1</v>
      </c>
      <c r="LC7" s="19" t="n">
        <v>1</v>
      </c>
      <c r="LD7" s="19" t="n">
        <v>0</v>
      </c>
      <c r="LE7" s="19" t="n">
        <v>0</v>
      </c>
      <c r="LF7" s="19" t="n">
        <v>0</v>
      </c>
      <c r="LG7" s="19" t="n">
        <v>0</v>
      </c>
      <c r="LH7" s="19" t="n">
        <v>0</v>
      </c>
      <c r="LI7" s="19" t="n">
        <v>0</v>
      </c>
    </row>
    <row r="8">
      <c r="B8" s="18" t="inlineStr">
        <is>
          <t>Trimestre del mes</t>
        </is>
      </c>
      <c r="D8" s="19" t="n">
        <v>1</v>
      </c>
      <c r="E8" s="19" t="n">
        <v>1</v>
      </c>
      <c r="F8" s="19" t="n">
        <v>1</v>
      </c>
      <c r="G8" s="19" t="n">
        <v>2</v>
      </c>
      <c r="H8" s="19" t="n">
        <v>2</v>
      </c>
      <c r="I8" s="19" t="n">
        <v>2</v>
      </c>
      <c r="J8" s="19" t="n">
        <v>3</v>
      </c>
      <c r="K8" s="19" t="n">
        <v>3</v>
      </c>
      <c r="L8" s="19" t="n">
        <v>3</v>
      </c>
      <c r="M8" s="19" t="n">
        <v>4</v>
      </c>
      <c r="N8" s="19" t="n">
        <v>4</v>
      </c>
      <c r="O8" s="19" t="n">
        <v>4</v>
      </c>
      <c r="P8" s="19" t="n">
        <v>5</v>
      </c>
      <c r="Q8" s="19" t="n">
        <v>5</v>
      </c>
      <c r="R8" s="19" t="n">
        <v>5</v>
      </c>
      <c r="S8" s="19" t="n">
        <v>6</v>
      </c>
      <c r="T8" s="19" t="n">
        <v>6</v>
      </c>
      <c r="U8" s="19" t="n">
        <v>6</v>
      </c>
      <c r="V8" s="19" t="n">
        <v>7</v>
      </c>
      <c r="W8" s="19" t="n">
        <v>7</v>
      </c>
      <c r="X8" s="19" t="n">
        <v>7</v>
      </c>
      <c r="Y8" s="19" t="n">
        <v>8</v>
      </c>
      <c r="Z8" s="19" t="n">
        <v>8</v>
      </c>
      <c r="AA8" s="19" t="n">
        <v>8</v>
      </c>
      <c r="AB8" s="19" t="n">
        <v>9</v>
      </c>
      <c r="AC8" s="19" t="n">
        <v>9</v>
      </c>
      <c r="AD8" s="19" t="n">
        <v>9</v>
      </c>
      <c r="AE8" s="19" t="n">
        <v>10</v>
      </c>
      <c r="AF8" s="19" t="n">
        <v>10</v>
      </c>
      <c r="AG8" s="19" t="n">
        <v>10</v>
      </c>
      <c r="AH8" s="19" t="n">
        <v>11</v>
      </c>
      <c r="AI8" s="19" t="n">
        <v>11</v>
      </c>
      <c r="AJ8" s="19" t="n">
        <v>11</v>
      </c>
      <c r="AK8" s="19" t="n">
        <v>12</v>
      </c>
      <c r="AL8" s="19" t="n">
        <v>12</v>
      </c>
      <c r="AM8" s="19" t="n">
        <v>12</v>
      </c>
      <c r="AN8" s="19" t="n">
        <v>13</v>
      </c>
      <c r="AO8" s="19" t="n">
        <v>13</v>
      </c>
      <c r="AP8" s="19" t="n">
        <v>13</v>
      </c>
      <c r="AQ8" s="19" t="n">
        <v>14</v>
      </c>
      <c r="AR8" s="19" t="n">
        <v>14</v>
      </c>
      <c r="AS8" s="19" t="n">
        <v>14</v>
      </c>
      <c r="AT8" s="19" t="n">
        <v>15</v>
      </c>
      <c r="AU8" s="19" t="n">
        <v>15</v>
      </c>
      <c r="AV8" s="19" t="n">
        <v>15</v>
      </c>
      <c r="AW8" s="19" t="n">
        <v>16</v>
      </c>
      <c r="AX8" s="19" t="n">
        <v>16</v>
      </c>
      <c r="AY8" s="19" t="n">
        <v>16</v>
      </c>
      <c r="AZ8" s="19" t="n">
        <v>17</v>
      </c>
      <c r="BA8" s="19" t="n">
        <v>17</v>
      </c>
      <c r="BB8" s="19" t="n">
        <v>17</v>
      </c>
      <c r="BC8" s="19" t="n">
        <v>18</v>
      </c>
      <c r="BD8" s="19" t="n">
        <v>18</v>
      </c>
      <c r="BE8" s="19" t="n">
        <v>18</v>
      </c>
      <c r="BF8" s="19" t="n">
        <v>19</v>
      </c>
      <c r="BG8" s="19" t="n">
        <v>19</v>
      </c>
      <c r="BH8" s="19" t="n">
        <v>19</v>
      </c>
      <c r="BI8" s="19" t="n">
        <v>20</v>
      </c>
      <c r="BJ8" s="19" t="n">
        <v>20</v>
      </c>
      <c r="BK8" s="19" t="n">
        <v>20</v>
      </c>
      <c r="BL8" s="19" t="n">
        <v>21</v>
      </c>
      <c r="BM8" s="19" t="n">
        <v>21</v>
      </c>
      <c r="BN8" s="19" t="n">
        <v>21</v>
      </c>
      <c r="BO8" s="19" t="n">
        <v>22</v>
      </c>
      <c r="BP8" s="19" t="n">
        <v>22</v>
      </c>
      <c r="BQ8" s="19" t="n">
        <v>22</v>
      </c>
      <c r="BR8" s="19" t="n">
        <v>23</v>
      </c>
      <c r="BS8" s="19" t="n">
        <v>23</v>
      </c>
      <c r="BT8" s="19" t="n">
        <v>23</v>
      </c>
      <c r="BU8" s="19" t="n">
        <v>24</v>
      </c>
      <c r="BV8" s="19" t="n">
        <v>24</v>
      </c>
      <c r="BW8" s="19" t="n">
        <v>24</v>
      </c>
      <c r="BX8" s="19" t="n">
        <v>25</v>
      </c>
      <c r="BY8" s="19" t="n">
        <v>25</v>
      </c>
      <c r="BZ8" s="19" t="n">
        <v>25</v>
      </c>
      <c r="CA8" s="19" t="n">
        <v>26</v>
      </c>
      <c r="CB8" s="19" t="n">
        <v>26</v>
      </c>
      <c r="CC8" s="19" t="n">
        <v>26</v>
      </c>
      <c r="CD8" s="19" t="n">
        <v>27</v>
      </c>
      <c r="CE8" s="19" t="n">
        <v>27</v>
      </c>
      <c r="CF8" s="19" t="n">
        <v>27</v>
      </c>
      <c r="CG8" s="19" t="n">
        <v>28</v>
      </c>
      <c r="CH8" s="19" t="n">
        <v>28</v>
      </c>
      <c r="CI8" s="19" t="n">
        <v>28</v>
      </c>
      <c r="CJ8" s="19" t="n">
        <v>29</v>
      </c>
      <c r="CK8" s="19" t="n">
        <v>29</v>
      </c>
      <c r="CL8" s="19" t="n">
        <v>29</v>
      </c>
      <c r="CM8" s="19" t="n">
        <v>30</v>
      </c>
      <c r="CN8" s="19" t="n">
        <v>30</v>
      </c>
      <c r="CO8" s="19" t="n">
        <v>30</v>
      </c>
      <c r="CP8" s="19" t="n">
        <v>31</v>
      </c>
      <c r="CQ8" s="19" t="n">
        <v>31</v>
      </c>
      <c r="CR8" s="19" t="n">
        <v>31</v>
      </c>
      <c r="CS8" s="19" t="n">
        <v>32</v>
      </c>
      <c r="CT8" s="19" t="n">
        <v>32</v>
      </c>
      <c r="CU8" s="19" t="n">
        <v>32</v>
      </c>
      <c r="CV8" s="19" t="n">
        <v>33</v>
      </c>
      <c r="CW8" s="19" t="n">
        <v>33</v>
      </c>
      <c r="CX8" s="19" t="n">
        <v>33</v>
      </c>
      <c r="CY8" s="19" t="n">
        <v>34</v>
      </c>
      <c r="CZ8" s="19" t="n">
        <v>34</v>
      </c>
      <c r="DA8" s="19" t="n">
        <v>34</v>
      </c>
      <c r="DB8" s="19" t="n">
        <v>35</v>
      </c>
      <c r="DC8" s="19" t="n">
        <v>35</v>
      </c>
      <c r="DD8" s="19" t="n">
        <v>35</v>
      </c>
      <c r="DE8" s="19" t="n">
        <v>36</v>
      </c>
      <c r="DF8" s="19" t="n">
        <v>36</v>
      </c>
      <c r="DG8" s="19" t="n">
        <v>36</v>
      </c>
      <c r="DH8" s="19" t="n">
        <v>37</v>
      </c>
      <c r="DI8" s="19" t="n">
        <v>37</v>
      </c>
      <c r="DJ8" s="19" t="n">
        <v>37</v>
      </c>
      <c r="DK8" s="19" t="n">
        <v>38</v>
      </c>
      <c r="DL8" s="19" t="n">
        <v>38</v>
      </c>
      <c r="DM8" s="19" t="n">
        <v>38</v>
      </c>
      <c r="DN8" s="19" t="n">
        <v>39</v>
      </c>
      <c r="DO8" s="19" t="n">
        <v>39</v>
      </c>
      <c r="DP8" s="19" t="n">
        <v>39</v>
      </c>
      <c r="DQ8" s="19" t="n">
        <v>40</v>
      </c>
      <c r="DR8" s="19" t="n">
        <v>40</v>
      </c>
      <c r="DS8" s="19" t="n">
        <v>40</v>
      </c>
      <c r="DT8" s="19" t="n">
        <v>41</v>
      </c>
      <c r="DU8" s="19" t="n">
        <v>41</v>
      </c>
      <c r="DV8" s="19" t="n">
        <v>41</v>
      </c>
      <c r="DW8" s="19" t="n">
        <v>42</v>
      </c>
      <c r="DX8" s="19" t="n">
        <v>42</v>
      </c>
      <c r="DY8" s="19" t="n">
        <v>42</v>
      </c>
      <c r="DZ8" s="19" t="n">
        <v>43</v>
      </c>
      <c r="EA8" s="19" t="n">
        <v>43</v>
      </c>
      <c r="EB8" s="19" t="n">
        <v>43</v>
      </c>
      <c r="EC8" s="19" t="n">
        <v>44</v>
      </c>
      <c r="ED8" s="19" t="n">
        <v>44</v>
      </c>
      <c r="EE8" s="19" t="n">
        <v>44</v>
      </c>
      <c r="EF8" s="19" t="n">
        <v>45</v>
      </c>
      <c r="EG8" s="19" t="n">
        <v>45</v>
      </c>
      <c r="EH8" s="19" t="n">
        <v>45</v>
      </c>
      <c r="EI8" s="19" t="n">
        <v>46</v>
      </c>
      <c r="EJ8" s="19" t="n">
        <v>46</v>
      </c>
      <c r="EK8" s="19" t="n">
        <v>46</v>
      </c>
      <c r="EL8" s="19" t="n">
        <v>47</v>
      </c>
      <c r="EM8" s="19" t="n">
        <v>47</v>
      </c>
      <c r="EN8" s="19" t="n">
        <v>47</v>
      </c>
      <c r="EO8" s="19" t="n">
        <v>48</v>
      </c>
      <c r="EP8" s="19" t="n">
        <v>48</v>
      </c>
      <c r="EQ8" s="19" t="n">
        <v>48</v>
      </c>
      <c r="ER8" s="19" t="n">
        <v>49</v>
      </c>
      <c r="ES8" s="19" t="n">
        <v>49</v>
      </c>
      <c r="ET8" s="19" t="n">
        <v>49</v>
      </c>
      <c r="EU8" s="19" t="n">
        <v>50</v>
      </c>
      <c r="EV8" s="19" t="n">
        <v>50</v>
      </c>
      <c r="EW8" s="19" t="n">
        <v>50</v>
      </c>
      <c r="EX8" s="19" t="n">
        <v>51</v>
      </c>
      <c r="EY8" s="19" t="n">
        <v>51</v>
      </c>
      <c r="EZ8" s="19" t="n">
        <v>51</v>
      </c>
      <c r="FA8" s="19" t="n">
        <v>52</v>
      </c>
      <c r="FB8" s="19" t="n">
        <v>52</v>
      </c>
      <c r="FC8" s="19" t="n">
        <v>52</v>
      </c>
      <c r="FD8" s="19" t="n">
        <v>53</v>
      </c>
      <c r="FE8" s="19" t="n">
        <v>53</v>
      </c>
      <c r="FF8" s="19" t="n">
        <v>53</v>
      </c>
      <c r="FG8" s="19" t="n">
        <v>54</v>
      </c>
      <c r="FH8" s="19" t="n">
        <v>54</v>
      </c>
      <c r="FI8" s="19" t="n">
        <v>54</v>
      </c>
      <c r="FJ8" s="19" t="n">
        <v>55</v>
      </c>
      <c r="FK8" s="19" t="n">
        <v>55</v>
      </c>
      <c r="FL8" s="19" t="n">
        <v>55</v>
      </c>
      <c r="FM8" s="19" t="n">
        <v>56</v>
      </c>
      <c r="FN8" s="19" t="n">
        <v>56</v>
      </c>
      <c r="FO8" s="19" t="n">
        <v>56</v>
      </c>
      <c r="FP8" s="19" t="n">
        <v>57</v>
      </c>
      <c r="FQ8" s="19" t="n">
        <v>57</v>
      </c>
      <c r="FR8" s="19" t="n">
        <v>57</v>
      </c>
      <c r="FS8" s="19" t="n">
        <v>58</v>
      </c>
      <c r="FT8" s="19" t="n">
        <v>58</v>
      </c>
      <c r="FU8" s="19" t="n">
        <v>58</v>
      </c>
      <c r="FV8" s="19" t="n">
        <v>59</v>
      </c>
      <c r="FW8" s="19" t="n">
        <v>59</v>
      </c>
      <c r="FX8" s="19" t="n">
        <v>59</v>
      </c>
      <c r="FY8" s="19" t="n">
        <v>60</v>
      </c>
      <c r="FZ8" s="19" t="n">
        <v>60</v>
      </c>
      <c r="GA8" s="19" t="n">
        <v>60</v>
      </c>
      <c r="GB8" s="19" t="n">
        <v>61</v>
      </c>
      <c r="GC8" s="19" t="n">
        <v>61</v>
      </c>
      <c r="GD8" s="19" t="n">
        <v>61</v>
      </c>
      <c r="GE8" s="19" t="n">
        <v>62</v>
      </c>
      <c r="GF8" s="19" t="n">
        <v>62</v>
      </c>
      <c r="GG8" s="19" t="n">
        <v>62</v>
      </c>
      <c r="GH8" s="19" t="n">
        <v>63</v>
      </c>
      <c r="GI8" s="19" t="n">
        <v>63</v>
      </c>
      <c r="GJ8" s="19" t="n">
        <v>63</v>
      </c>
      <c r="GK8" s="19" t="n">
        <v>64</v>
      </c>
      <c r="GL8" s="19" t="n">
        <v>64</v>
      </c>
      <c r="GM8" s="19" t="n">
        <v>64</v>
      </c>
      <c r="GN8" s="19" t="n">
        <v>65</v>
      </c>
      <c r="GO8" s="19" t="n">
        <v>65</v>
      </c>
      <c r="GP8" s="19" t="n">
        <v>65</v>
      </c>
      <c r="GQ8" s="19" t="n">
        <v>66</v>
      </c>
      <c r="GR8" s="19" t="n">
        <v>66</v>
      </c>
      <c r="GS8" s="19" t="n">
        <v>66</v>
      </c>
      <c r="GT8" s="19" t="n">
        <v>67</v>
      </c>
      <c r="GU8" s="19" t="n">
        <v>67</v>
      </c>
      <c r="GV8" s="19" t="n">
        <v>67</v>
      </c>
      <c r="GW8" s="19" t="n">
        <v>68</v>
      </c>
      <c r="GX8" s="19" t="n">
        <v>68</v>
      </c>
      <c r="GY8" s="19" t="n">
        <v>68</v>
      </c>
      <c r="GZ8" s="19" t="n">
        <v>69</v>
      </c>
      <c r="HA8" s="19" t="n">
        <v>69</v>
      </c>
      <c r="HB8" s="19" t="n">
        <v>69</v>
      </c>
      <c r="HC8" s="19" t="n">
        <v>70</v>
      </c>
      <c r="HD8" s="19" t="n">
        <v>70</v>
      </c>
      <c r="HE8" s="19" t="n">
        <v>70</v>
      </c>
      <c r="HF8" s="19" t="n">
        <v>71</v>
      </c>
      <c r="HG8" s="19" t="n">
        <v>71</v>
      </c>
      <c r="HH8" s="19" t="n">
        <v>71</v>
      </c>
      <c r="HI8" s="19" t="n">
        <v>72</v>
      </c>
      <c r="HJ8" s="19" t="n">
        <v>72</v>
      </c>
      <c r="HK8" s="19" t="n">
        <v>72</v>
      </c>
      <c r="HL8" s="19" t="n">
        <v>73</v>
      </c>
      <c r="HM8" s="19" t="n">
        <v>73</v>
      </c>
      <c r="HN8" s="19" t="n">
        <v>73</v>
      </c>
      <c r="HO8" s="19" t="n">
        <v>74</v>
      </c>
      <c r="HP8" s="19" t="n">
        <v>74</v>
      </c>
      <c r="HQ8" s="19" t="n">
        <v>74</v>
      </c>
      <c r="HR8" s="19" t="n">
        <v>75</v>
      </c>
      <c r="HS8" s="19" t="n">
        <v>75</v>
      </c>
      <c r="HT8" s="19" t="n">
        <v>75</v>
      </c>
      <c r="HU8" s="19" t="n">
        <v>76</v>
      </c>
      <c r="HV8" s="19" t="n">
        <v>76</v>
      </c>
      <c r="HW8" s="19" t="n">
        <v>76</v>
      </c>
      <c r="HX8" s="19" t="n">
        <v>77</v>
      </c>
      <c r="HY8" s="19" t="n">
        <v>77</v>
      </c>
      <c r="HZ8" s="19" t="n">
        <v>77</v>
      </c>
      <c r="IA8" s="19" t="n">
        <v>78</v>
      </c>
      <c r="IB8" s="19" t="n">
        <v>78</v>
      </c>
      <c r="IC8" s="19" t="n">
        <v>78</v>
      </c>
      <c r="ID8" s="19" t="n">
        <v>79</v>
      </c>
      <c r="IE8" s="19" t="n">
        <v>79</v>
      </c>
      <c r="IF8" s="19" t="n">
        <v>79</v>
      </c>
      <c r="IG8" s="19" t="n">
        <v>80</v>
      </c>
      <c r="IH8" s="19" t="n">
        <v>80</v>
      </c>
      <c r="II8" s="19" t="n">
        <v>80</v>
      </c>
      <c r="IJ8" s="19" t="n">
        <v>81</v>
      </c>
      <c r="IK8" s="19" t="n">
        <v>81</v>
      </c>
      <c r="IL8" s="19" t="n">
        <v>81</v>
      </c>
      <c r="IM8" s="19" t="n">
        <v>82</v>
      </c>
      <c r="IN8" s="19" t="n">
        <v>82</v>
      </c>
      <c r="IO8" s="19" t="n">
        <v>82</v>
      </c>
      <c r="IP8" s="19" t="n">
        <v>83</v>
      </c>
      <c r="IQ8" s="19" t="n">
        <v>83</v>
      </c>
      <c r="IR8" s="19" t="n">
        <v>83</v>
      </c>
      <c r="IS8" s="19" t="n">
        <v>84</v>
      </c>
      <c r="IT8" s="19" t="n">
        <v>84</v>
      </c>
      <c r="IU8" s="19" t="n">
        <v>84</v>
      </c>
      <c r="IV8" s="19" t="n">
        <v>85</v>
      </c>
      <c r="IW8" s="19" t="n">
        <v>85</v>
      </c>
      <c r="IX8" s="19" t="n">
        <v>85</v>
      </c>
      <c r="IY8" s="19" t="n">
        <v>86</v>
      </c>
      <c r="IZ8" s="19" t="n">
        <v>86</v>
      </c>
      <c r="JA8" s="19" t="n">
        <v>86</v>
      </c>
      <c r="JB8" s="19" t="n">
        <v>87</v>
      </c>
      <c r="JC8" s="19" t="n">
        <v>87</v>
      </c>
      <c r="JD8" s="19" t="n">
        <v>87</v>
      </c>
      <c r="JE8" s="19" t="n">
        <v>88</v>
      </c>
      <c r="JF8" s="19" t="n">
        <v>88</v>
      </c>
      <c r="JG8" s="19" t="n">
        <v>88</v>
      </c>
      <c r="JH8" s="19" t="n">
        <v>89</v>
      </c>
      <c r="JI8" s="19" t="n">
        <v>89</v>
      </c>
      <c r="JJ8" s="19" t="n">
        <v>89</v>
      </c>
      <c r="JK8" s="19" t="n">
        <v>90</v>
      </c>
      <c r="JL8" s="19" t="n">
        <v>90</v>
      </c>
      <c r="JM8" s="19" t="n">
        <v>90</v>
      </c>
      <c r="JN8" s="19" t="n">
        <v>91</v>
      </c>
      <c r="JO8" s="19" t="n">
        <v>91</v>
      </c>
      <c r="JP8" s="19" t="n">
        <v>91</v>
      </c>
      <c r="JQ8" s="19" t="n">
        <v>92</v>
      </c>
      <c r="JR8" s="19" t="n">
        <v>92</v>
      </c>
      <c r="JS8" s="19" t="n">
        <v>92</v>
      </c>
      <c r="JT8" s="19" t="n">
        <v>93</v>
      </c>
      <c r="JU8" s="19" t="n">
        <v>93</v>
      </c>
      <c r="JV8" s="19" t="n">
        <v>93</v>
      </c>
      <c r="JW8" s="19" t="n">
        <v>94</v>
      </c>
      <c r="JX8" s="19" t="n">
        <v>94</v>
      </c>
      <c r="JY8" s="19" t="n">
        <v>94</v>
      </c>
      <c r="JZ8" s="19" t="n">
        <v>95</v>
      </c>
      <c r="KA8" s="19" t="n">
        <v>95</v>
      </c>
      <c r="KB8" s="19" t="n">
        <v>95</v>
      </c>
      <c r="KC8" s="19" t="n">
        <v>96</v>
      </c>
      <c r="KD8" s="19" t="n">
        <v>96</v>
      </c>
      <c r="KE8" s="19" t="n">
        <v>96</v>
      </c>
      <c r="KF8" s="19" t="n">
        <v>97</v>
      </c>
      <c r="KG8" s="19" t="n">
        <v>97</v>
      </c>
      <c r="KH8" s="19" t="n">
        <v>97</v>
      </c>
      <c r="KI8" s="19" t="n">
        <v>98</v>
      </c>
      <c r="KJ8" s="19" t="n">
        <v>98</v>
      </c>
      <c r="KK8" s="19" t="n">
        <v>98</v>
      </c>
      <c r="KL8" s="19" t="n">
        <v>99</v>
      </c>
      <c r="KM8" s="19" t="n">
        <v>99</v>
      </c>
      <c r="KN8" s="19" t="n">
        <v>99</v>
      </c>
      <c r="KO8" s="19" t="n">
        <v>100</v>
      </c>
      <c r="KP8" s="19" t="n">
        <v>100</v>
      </c>
      <c r="KQ8" s="19" t="n">
        <v>100</v>
      </c>
      <c r="KR8" s="19" t="n">
        <v>101</v>
      </c>
      <c r="KS8" s="19" t="n">
        <v>101</v>
      </c>
      <c r="KT8" s="19" t="n">
        <v>101</v>
      </c>
      <c r="KU8" s="19" t="n">
        <v>102</v>
      </c>
      <c r="KV8" s="19" t="n">
        <v>102</v>
      </c>
      <c r="KW8" s="19" t="n">
        <v>102</v>
      </c>
      <c r="KX8" s="19" t="n">
        <v>103</v>
      </c>
      <c r="KY8" s="19" t="n">
        <v>103</v>
      </c>
      <c r="KZ8" s="19" t="n">
        <v>103</v>
      </c>
      <c r="LA8" s="19" t="n">
        <v>104</v>
      </c>
      <c r="LB8" s="19" t="n">
        <v>104</v>
      </c>
      <c r="LC8" s="19" t="n">
        <v>104</v>
      </c>
      <c r="LD8" s="19" t="n">
        <v>105</v>
      </c>
      <c r="LE8" s="19" t="n">
        <v>105</v>
      </c>
      <c r="LF8" s="19" t="n">
        <v>105</v>
      </c>
      <c r="LG8" s="19" t="n">
        <v>106</v>
      </c>
      <c r="LH8" s="19" t="n">
        <v>106</v>
      </c>
      <c r="LI8" s="19" t="n">
        <v>106</v>
      </c>
    </row>
    <row r="9">
      <c r="B9" s="18" t="inlineStr">
        <is>
          <t>Produccion efectiva, kg DBO5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0" t="n">
        <v>0</v>
      </c>
      <c r="AQ9" s="20" t="n">
        <v>0</v>
      </c>
      <c r="AR9" s="20" t="n">
        <v>0</v>
      </c>
      <c r="AS9" s="20" t="n">
        <v>0</v>
      </c>
      <c r="AT9" s="20" t="n">
        <v>0</v>
      </c>
      <c r="AU9" s="20" t="n">
        <v>0</v>
      </c>
      <c r="AV9" s="20" t="n">
        <v>0</v>
      </c>
      <c r="AW9" s="20" t="n">
        <v>0</v>
      </c>
      <c r="AX9" s="20" t="n">
        <v>0</v>
      </c>
      <c r="AY9" s="20" t="n">
        <v>0</v>
      </c>
      <c r="AZ9" s="20" t="n">
        <v>558467.3352985304</v>
      </c>
      <c r="BA9" s="20" t="n">
        <v>558467.3352985304</v>
      </c>
      <c r="BB9" s="20" t="n">
        <v>558467.3352985304</v>
      </c>
      <c r="BC9" s="20" t="n">
        <v>565769.1527136344</v>
      </c>
      <c r="BD9" s="20" t="n">
        <v>565769.1527136344</v>
      </c>
      <c r="BE9" s="20" t="n">
        <v>565769.1527136344</v>
      </c>
      <c r="BF9" s="20" t="n">
        <v>565769.1527136344</v>
      </c>
      <c r="BG9" s="20" t="n">
        <v>565769.1527136344</v>
      </c>
      <c r="BH9" s="20" t="n">
        <v>565769.1527136344</v>
      </c>
      <c r="BI9" s="20" t="n">
        <v>565769.1527136344</v>
      </c>
      <c r="BJ9" s="20" t="n">
        <v>565769.1527136344</v>
      </c>
      <c r="BK9" s="20" t="n">
        <v>565769.1527136344</v>
      </c>
      <c r="BL9" s="20" t="n">
        <v>565769.1527136344</v>
      </c>
      <c r="BM9" s="20" t="n">
        <v>565769.1527136344</v>
      </c>
      <c r="BN9" s="20" t="n">
        <v>565769.1527136344</v>
      </c>
      <c r="BO9" s="20" t="n">
        <v>571854.0005595542</v>
      </c>
      <c r="BP9" s="20" t="n">
        <v>571854.0005595542</v>
      </c>
      <c r="BQ9" s="20" t="n">
        <v>571854.0005595542</v>
      </c>
      <c r="BR9" s="20" t="n">
        <v>571854.0005595542</v>
      </c>
      <c r="BS9" s="20" t="n">
        <v>571854.0005595542</v>
      </c>
      <c r="BT9" s="20" t="n">
        <v>571854.0005595542</v>
      </c>
      <c r="BU9" s="20" t="n">
        <v>571854.0005595542</v>
      </c>
      <c r="BV9" s="20" t="n">
        <v>571854.0005595542</v>
      </c>
      <c r="BW9" s="20" t="n">
        <v>571854.0005595542</v>
      </c>
      <c r="BX9" s="20" t="n">
        <v>571854.0005595542</v>
      </c>
      <c r="BY9" s="20" t="n">
        <v>571854.0005595542</v>
      </c>
      <c r="BZ9" s="20" t="n">
        <v>571854.0005595542</v>
      </c>
      <c r="CA9" s="20" t="n">
        <v>576721.8788362902</v>
      </c>
      <c r="CB9" s="20" t="n">
        <v>576721.8788362902</v>
      </c>
      <c r="CC9" s="20" t="n">
        <v>576721.8788362902</v>
      </c>
      <c r="CD9" s="20" t="n">
        <v>576721.8788362902</v>
      </c>
      <c r="CE9" s="20" t="n">
        <v>576721.8788362902</v>
      </c>
      <c r="CF9" s="20" t="n">
        <v>576721.8788362902</v>
      </c>
      <c r="CG9" s="20" t="n">
        <v>576721.8788362902</v>
      </c>
      <c r="CH9" s="20" t="n">
        <v>576721.8788362902</v>
      </c>
      <c r="CI9" s="20" t="n">
        <v>576721.8788362902</v>
      </c>
      <c r="CJ9" s="20" t="n">
        <v>576721.8788362902</v>
      </c>
      <c r="CK9" s="20" t="n">
        <v>576721.8788362902</v>
      </c>
      <c r="CL9" s="20" t="n">
        <v>576721.8788362902</v>
      </c>
      <c r="CM9" s="20" t="n">
        <v>581589.7571130261</v>
      </c>
      <c r="CN9" s="20" t="n">
        <v>581589.7571130261</v>
      </c>
      <c r="CO9" s="20" t="n">
        <v>581589.7571130261</v>
      </c>
      <c r="CP9" s="20" t="n">
        <v>581589.7571130261</v>
      </c>
      <c r="CQ9" s="20" t="n">
        <v>581589.7571130261</v>
      </c>
      <c r="CR9" s="20" t="n">
        <v>581589.7571130261</v>
      </c>
      <c r="CS9" s="20" t="n">
        <v>581589.7571130261</v>
      </c>
      <c r="CT9" s="20" t="n">
        <v>581589.7571130261</v>
      </c>
      <c r="CU9" s="20" t="n">
        <v>581589.7571130261</v>
      </c>
      <c r="CV9" s="20" t="n">
        <v>581589.7571130261</v>
      </c>
      <c r="CW9" s="20" t="n">
        <v>581589.7571130261</v>
      </c>
      <c r="CX9" s="20" t="n">
        <v>581589.7571130261</v>
      </c>
      <c r="CY9" s="20" t="n">
        <v>586457.635389762</v>
      </c>
      <c r="CZ9" s="20" t="n">
        <v>586457.635389762</v>
      </c>
      <c r="DA9" s="20" t="n">
        <v>586457.635389762</v>
      </c>
      <c r="DB9" s="20" t="n">
        <v>586457.635389762</v>
      </c>
      <c r="DC9" s="20" t="n">
        <v>586457.635389762</v>
      </c>
      <c r="DD9" s="20" t="n">
        <v>586457.635389762</v>
      </c>
      <c r="DE9" s="20" t="n">
        <v>586457.635389762</v>
      </c>
      <c r="DF9" s="20" t="n">
        <v>586457.635389762</v>
      </c>
      <c r="DG9" s="20" t="n">
        <v>586457.635389762</v>
      </c>
      <c r="DH9" s="20" t="n">
        <v>586457.635389762</v>
      </c>
      <c r="DI9" s="20" t="n">
        <v>586457.635389762</v>
      </c>
      <c r="DJ9" s="20" t="n">
        <v>586457.635389762</v>
      </c>
      <c r="DK9" s="20" t="n">
        <v>591325.513666498</v>
      </c>
      <c r="DL9" s="20" t="n">
        <v>591325.513666498</v>
      </c>
      <c r="DM9" s="20" t="n">
        <v>591325.513666498</v>
      </c>
      <c r="DN9" s="20" t="n">
        <v>591325.513666498</v>
      </c>
      <c r="DO9" s="20" t="n">
        <v>591325.513666498</v>
      </c>
      <c r="DP9" s="20" t="n">
        <v>591325.513666498</v>
      </c>
      <c r="DQ9" s="20" t="n">
        <v>591325.513666498</v>
      </c>
      <c r="DR9" s="20" t="n">
        <v>591325.513666498</v>
      </c>
      <c r="DS9" s="20" t="n">
        <v>591325.513666498</v>
      </c>
      <c r="DT9" s="20" t="n">
        <v>591325.513666498</v>
      </c>
      <c r="DU9" s="20" t="n">
        <v>591325.513666498</v>
      </c>
      <c r="DV9" s="20" t="n">
        <v>591325.513666498</v>
      </c>
      <c r="DW9" s="20" t="n">
        <v>620532.7833269137</v>
      </c>
      <c r="DX9" s="20" t="n">
        <v>620532.7833269137</v>
      </c>
      <c r="DY9" s="20" t="n">
        <v>620532.7833269137</v>
      </c>
      <c r="DZ9" s="20" t="n">
        <v>620532.7833269137</v>
      </c>
      <c r="EA9" s="20" t="n">
        <v>620532.7833269137</v>
      </c>
      <c r="EB9" s="20" t="n">
        <v>620532.7833269137</v>
      </c>
      <c r="EC9" s="20" t="n">
        <v>620532.7833269137</v>
      </c>
      <c r="ED9" s="20" t="n">
        <v>620532.7833269137</v>
      </c>
      <c r="EE9" s="20" t="n">
        <v>620532.7833269137</v>
      </c>
      <c r="EF9" s="20" t="n">
        <v>620532.7833269137</v>
      </c>
      <c r="EG9" s="20" t="n">
        <v>620532.7833269137</v>
      </c>
      <c r="EH9" s="20" t="n">
        <v>620532.7833269137</v>
      </c>
      <c r="EI9" s="20" t="n">
        <v>626617.6311728336</v>
      </c>
      <c r="EJ9" s="20" t="n">
        <v>626617.6311728336</v>
      </c>
      <c r="EK9" s="20" t="n">
        <v>626617.6311728336</v>
      </c>
      <c r="EL9" s="20" t="n">
        <v>626617.6311728336</v>
      </c>
      <c r="EM9" s="20" t="n">
        <v>626617.6311728336</v>
      </c>
      <c r="EN9" s="20" t="n">
        <v>626617.6311728336</v>
      </c>
      <c r="EO9" s="20" t="n">
        <v>626617.6311728336</v>
      </c>
      <c r="EP9" s="20" t="n">
        <v>626617.6311728336</v>
      </c>
      <c r="EQ9" s="20" t="n">
        <v>626617.6311728336</v>
      </c>
      <c r="ER9" s="20" t="n">
        <v>626617.6311728336</v>
      </c>
      <c r="ES9" s="20" t="n">
        <v>626617.6311728336</v>
      </c>
      <c r="ET9" s="20" t="n">
        <v>626617.6311728336</v>
      </c>
      <c r="EU9" s="20" t="n">
        <v>632702.4790187534</v>
      </c>
      <c r="EV9" s="20" t="n">
        <v>632702.4790187534</v>
      </c>
      <c r="EW9" s="20" t="n">
        <v>632702.4790187534</v>
      </c>
      <c r="EX9" s="20" t="n">
        <v>632702.4790187534</v>
      </c>
      <c r="EY9" s="20" t="n">
        <v>632702.4790187534</v>
      </c>
      <c r="EZ9" s="20" t="n">
        <v>632702.4790187534</v>
      </c>
      <c r="FA9" s="20" t="n">
        <v>632702.4790187534</v>
      </c>
      <c r="FB9" s="20" t="n">
        <v>632702.4790187534</v>
      </c>
      <c r="FC9" s="20" t="n">
        <v>632702.4790187534</v>
      </c>
      <c r="FD9" s="20" t="n">
        <v>632702.4790187534</v>
      </c>
      <c r="FE9" s="20" t="n">
        <v>632702.4790187534</v>
      </c>
      <c r="FF9" s="20" t="n">
        <v>632702.4790187534</v>
      </c>
      <c r="FG9" s="20" t="n">
        <v>640004.2964338574</v>
      </c>
      <c r="FH9" s="20" t="n">
        <v>640004.2964338574</v>
      </c>
      <c r="FI9" s="20" t="n">
        <v>640004.2964338574</v>
      </c>
      <c r="FJ9" s="20" t="n">
        <v>640004.2964338574</v>
      </c>
      <c r="FK9" s="20" t="n">
        <v>640004.2964338574</v>
      </c>
      <c r="FL9" s="20" t="n">
        <v>640004.2964338574</v>
      </c>
      <c r="FM9" s="20" t="n">
        <v>640004.2964338574</v>
      </c>
      <c r="FN9" s="20" t="n">
        <v>640004.2964338574</v>
      </c>
      <c r="FO9" s="20" t="n">
        <v>640004.2964338574</v>
      </c>
      <c r="FP9" s="20" t="n">
        <v>640004.2964338574</v>
      </c>
      <c r="FQ9" s="20" t="n">
        <v>640004.2964338574</v>
      </c>
      <c r="FR9" s="20" t="n">
        <v>640004.2964338574</v>
      </c>
      <c r="FS9" s="20" t="n">
        <v>646089.1442797773</v>
      </c>
      <c r="FT9" s="20" t="n">
        <v>646089.1442797773</v>
      </c>
      <c r="FU9" s="20" t="n">
        <v>646089.1442797773</v>
      </c>
      <c r="FV9" s="20" t="n">
        <v>646089.1442797773</v>
      </c>
      <c r="FW9" s="20" t="n">
        <v>646089.1442797773</v>
      </c>
      <c r="FX9" s="20" t="n">
        <v>646089.1442797773</v>
      </c>
      <c r="FY9" s="20" t="n">
        <v>646089.1442797773</v>
      </c>
      <c r="FZ9" s="20" t="n">
        <v>646089.1442797773</v>
      </c>
      <c r="GA9" s="20" t="n">
        <v>646089.1442797773</v>
      </c>
      <c r="GB9" s="20" t="n">
        <v>646089.1442797773</v>
      </c>
      <c r="GC9" s="20" t="n">
        <v>646089.1442797773</v>
      </c>
      <c r="GD9" s="20" t="n">
        <v>646089.1442797773</v>
      </c>
      <c r="GE9" s="20" t="n">
        <v>653390.9616948812</v>
      </c>
      <c r="GF9" s="20" t="n">
        <v>653390.9616948812</v>
      </c>
      <c r="GG9" s="20" t="n">
        <v>653390.9616948812</v>
      </c>
      <c r="GH9" s="20" t="n">
        <v>653390.9616948812</v>
      </c>
      <c r="GI9" s="20" t="n">
        <v>653390.9616948812</v>
      </c>
      <c r="GJ9" s="20" t="n">
        <v>653390.9616948812</v>
      </c>
      <c r="GK9" s="20" t="n">
        <v>653390.9616948812</v>
      </c>
      <c r="GL9" s="20" t="n">
        <v>653390.9616948812</v>
      </c>
      <c r="GM9" s="20" t="n">
        <v>653390.9616948812</v>
      </c>
      <c r="GN9" s="20" t="n">
        <v>653390.9616948812</v>
      </c>
      <c r="GO9" s="20" t="n">
        <v>653390.9616948812</v>
      </c>
      <c r="GP9" s="20" t="n">
        <v>653390.9616948812</v>
      </c>
      <c r="GQ9" s="20" t="n">
        <v>659475.8095408011</v>
      </c>
      <c r="GR9" s="20" t="n">
        <v>659475.8095408011</v>
      </c>
      <c r="GS9" s="20" t="n">
        <v>659475.8095408011</v>
      </c>
      <c r="GT9" s="20" t="n">
        <v>659475.8095408011</v>
      </c>
      <c r="GU9" s="20" t="n">
        <v>659475.8095408011</v>
      </c>
      <c r="GV9" s="20" t="n">
        <v>659475.8095408011</v>
      </c>
      <c r="GW9" s="20" t="n">
        <v>659475.8095408011</v>
      </c>
      <c r="GX9" s="20" t="n">
        <v>659475.8095408011</v>
      </c>
      <c r="GY9" s="20" t="n">
        <v>659475.8095408011</v>
      </c>
      <c r="GZ9" s="20" t="n">
        <v>659475.8095408011</v>
      </c>
      <c r="HA9" s="20" t="n">
        <v>659475.8095408011</v>
      </c>
      <c r="HB9" s="20" t="n">
        <v>659475.8095408011</v>
      </c>
      <c r="HC9" s="20" t="n">
        <v>666777.626955905</v>
      </c>
      <c r="HD9" s="20" t="n">
        <v>666777.626955905</v>
      </c>
      <c r="HE9" s="20" t="n">
        <v>666777.626955905</v>
      </c>
      <c r="HF9" s="20" t="n">
        <v>666777.626955905</v>
      </c>
      <c r="HG9" s="20" t="n">
        <v>666777.626955905</v>
      </c>
      <c r="HH9" s="20" t="n">
        <v>666777.626955905</v>
      </c>
      <c r="HI9" s="20" t="n">
        <v>666777.626955905</v>
      </c>
      <c r="HJ9" s="20" t="n">
        <v>666777.626955905</v>
      </c>
      <c r="HK9" s="20" t="n">
        <v>666777.626955905</v>
      </c>
      <c r="HL9" s="20" t="n">
        <v>666777.626955905</v>
      </c>
      <c r="HM9" s="20" t="n">
        <v>666777.626955905</v>
      </c>
      <c r="HN9" s="20" t="n">
        <v>666777.626955905</v>
      </c>
      <c r="HO9" s="20" t="n">
        <v>674079.444371009</v>
      </c>
      <c r="HP9" s="20" t="n">
        <v>674079.444371009</v>
      </c>
      <c r="HQ9" s="20" t="n">
        <v>674079.444371009</v>
      </c>
      <c r="HR9" s="20" t="n">
        <v>674079.444371009</v>
      </c>
      <c r="HS9" s="20" t="n">
        <v>674079.444371009</v>
      </c>
      <c r="HT9" s="20" t="n">
        <v>674079.444371009</v>
      </c>
      <c r="HU9" s="20" t="n">
        <v>674079.444371009</v>
      </c>
      <c r="HV9" s="20" t="n">
        <v>674079.444371009</v>
      </c>
      <c r="HW9" s="20" t="n">
        <v>674079.444371009</v>
      </c>
      <c r="HX9" s="20" t="n">
        <v>674079.444371009</v>
      </c>
      <c r="HY9" s="20" t="n">
        <v>674079.444371009</v>
      </c>
      <c r="HZ9" s="20" t="n">
        <v>674079.444371009</v>
      </c>
      <c r="IA9" s="20" t="n">
        <v>681381.2617861128</v>
      </c>
      <c r="IB9" s="20" t="n">
        <v>681381.2617861128</v>
      </c>
      <c r="IC9" s="20" t="n">
        <v>681381.2617861128</v>
      </c>
      <c r="ID9" s="20" t="n">
        <v>681381.2617861128</v>
      </c>
      <c r="IE9" s="20" t="n">
        <v>681381.2617861128</v>
      </c>
      <c r="IF9" s="20" t="n">
        <v>681381.2617861128</v>
      </c>
      <c r="IG9" s="20" t="n">
        <v>681381.2617861128</v>
      </c>
      <c r="IH9" s="20" t="n">
        <v>681381.2617861128</v>
      </c>
      <c r="II9" s="20" t="n">
        <v>681381.2617861128</v>
      </c>
      <c r="IJ9" s="20" t="n">
        <v>681381.2617861128</v>
      </c>
      <c r="IK9" s="20" t="n">
        <v>681381.2617861128</v>
      </c>
      <c r="IL9" s="20" t="n">
        <v>681381.2617861128</v>
      </c>
      <c r="IM9" s="20" t="n">
        <v>688683.0792012167</v>
      </c>
      <c r="IN9" s="20" t="n">
        <v>688683.0792012167</v>
      </c>
      <c r="IO9" s="20" t="n">
        <v>688683.0792012167</v>
      </c>
      <c r="IP9" s="20" t="n">
        <v>688683.0792012167</v>
      </c>
      <c r="IQ9" s="20" t="n">
        <v>688683.0792012167</v>
      </c>
      <c r="IR9" s="20" t="n">
        <v>688683.0792012167</v>
      </c>
      <c r="IS9" s="20" t="n">
        <v>688683.0792012167</v>
      </c>
      <c r="IT9" s="20" t="n">
        <v>688683.0792012167</v>
      </c>
      <c r="IU9" s="20" t="n">
        <v>688683.0792012167</v>
      </c>
      <c r="IV9" s="20" t="n">
        <v>688683.0792012167</v>
      </c>
      <c r="IW9" s="20" t="n">
        <v>688683.0792012167</v>
      </c>
      <c r="IX9" s="20" t="n">
        <v>688683.0792012167</v>
      </c>
      <c r="IY9" s="20" t="n">
        <v>695984.8966163206</v>
      </c>
      <c r="IZ9" s="20" t="n">
        <v>695984.8966163206</v>
      </c>
      <c r="JA9" s="20" t="n">
        <v>695984.8966163206</v>
      </c>
      <c r="JB9" s="20" t="n">
        <v>695984.8966163206</v>
      </c>
      <c r="JC9" s="20" t="n">
        <v>695984.8966163206</v>
      </c>
      <c r="JD9" s="20" t="n">
        <v>695984.8966163206</v>
      </c>
      <c r="JE9" s="20" t="n">
        <v>695984.8966163206</v>
      </c>
      <c r="JF9" s="20" t="n">
        <v>695984.8966163206</v>
      </c>
      <c r="JG9" s="20" t="n">
        <v>695984.8966163206</v>
      </c>
      <c r="JH9" s="20" t="n">
        <v>695984.8966163206</v>
      </c>
      <c r="JI9" s="20" t="n">
        <v>695984.8966163206</v>
      </c>
      <c r="JJ9" s="20" t="n">
        <v>695984.8966163206</v>
      </c>
      <c r="JK9" s="20" t="n">
        <v>703286.7140314245</v>
      </c>
      <c r="JL9" s="20" t="n">
        <v>703286.7140314245</v>
      </c>
      <c r="JM9" s="20" t="n">
        <v>703286.7140314245</v>
      </c>
      <c r="JN9" s="20" t="n">
        <v>703286.7140314245</v>
      </c>
      <c r="JO9" s="20" t="n">
        <v>703286.7140314245</v>
      </c>
      <c r="JP9" s="20" t="n">
        <v>703286.7140314245</v>
      </c>
      <c r="JQ9" s="20" t="n">
        <v>703286.7140314245</v>
      </c>
      <c r="JR9" s="20" t="n">
        <v>703286.7140314245</v>
      </c>
      <c r="JS9" s="20" t="n">
        <v>703286.7140314245</v>
      </c>
      <c r="JT9" s="20" t="n">
        <v>703286.7140314245</v>
      </c>
      <c r="JU9" s="20" t="n">
        <v>703286.7140314245</v>
      </c>
      <c r="JV9" s="20" t="n">
        <v>703286.7140314245</v>
      </c>
      <c r="JW9" s="20" t="n">
        <v>711805.5010157124</v>
      </c>
      <c r="JX9" s="20" t="n">
        <v>711805.5010157124</v>
      </c>
      <c r="JY9" s="20" t="n">
        <v>711805.5010157124</v>
      </c>
      <c r="JZ9" s="20" t="n">
        <v>711805.5010157124</v>
      </c>
      <c r="KA9" s="20" t="n">
        <v>711805.5010157124</v>
      </c>
      <c r="KB9" s="20" t="n">
        <v>711805.5010157124</v>
      </c>
      <c r="KC9" s="20" t="n">
        <v>711805.5010157124</v>
      </c>
      <c r="KD9" s="20" t="n">
        <v>711805.5010157124</v>
      </c>
      <c r="KE9" s="20" t="n">
        <v>711805.5010157124</v>
      </c>
      <c r="KF9" s="20" t="n">
        <v>711805.5010157124</v>
      </c>
      <c r="KG9" s="20" t="n">
        <v>711805.5010157124</v>
      </c>
      <c r="KH9" s="20" t="n">
        <v>711805.5010157124</v>
      </c>
      <c r="KI9" s="20" t="n">
        <v>720324.2880000004</v>
      </c>
      <c r="KJ9" s="20" t="n">
        <v>720324.2880000004</v>
      </c>
      <c r="KK9" s="20" t="n">
        <v>720324.2880000004</v>
      </c>
      <c r="KL9" s="20" t="n">
        <v>720324.2880000004</v>
      </c>
      <c r="KM9" s="20" t="n">
        <v>720324.2880000004</v>
      </c>
      <c r="KN9" s="20" t="n">
        <v>720324.2880000004</v>
      </c>
      <c r="KO9" s="20" t="n">
        <v>720324.2880000004</v>
      </c>
      <c r="KP9" s="20" t="n">
        <v>720324.2880000004</v>
      </c>
      <c r="KQ9" s="20" t="n">
        <v>720324.2880000004</v>
      </c>
      <c r="KR9" s="20" t="n">
        <v>720324.2880000004</v>
      </c>
      <c r="KS9" s="20" t="n">
        <v>720324.2880000004</v>
      </c>
      <c r="KT9" s="20" t="n">
        <v>720324.2880000004</v>
      </c>
      <c r="KU9" s="20" t="n">
        <v>720324.2880000004</v>
      </c>
      <c r="KV9" s="20" t="n">
        <v>720324.2880000004</v>
      </c>
      <c r="KW9" s="20" t="n">
        <v>720324.2880000004</v>
      </c>
      <c r="KX9" s="20" t="n">
        <v>720324.2880000004</v>
      </c>
      <c r="KY9" s="20" t="n">
        <v>720324.2880000004</v>
      </c>
      <c r="KZ9" s="20" t="n">
        <v>720324.2880000004</v>
      </c>
      <c r="LA9" s="20" t="n">
        <v>720324.2880000004</v>
      </c>
      <c r="LB9" s="20" t="n">
        <v>720324.2880000004</v>
      </c>
      <c r="LC9" s="20" t="n">
        <v>720324.2880000004</v>
      </c>
      <c r="LD9" s="20" t="n">
        <v>0</v>
      </c>
      <c r="LE9" s="20" t="n">
        <v>0</v>
      </c>
      <c r="LF9" s="20" t="n">
        <v>0</v>
      </c>
      <c r="LG9" s="20" t="n">
        <v>0</v>
      </c>
      <c r="LH9" s="20" t="n">
        <v>0</v>
      </c>
      <c r="LI9" s="20" t="n">
        <v>0</v>
      </c>
    </row>
    <row r="10">
      <c r="B10" s="18" t="inlineStr">
        <is>
          <t>IPM mensual</t>
        </is>
      </c>
      <c r="D10" s="24">
        <f>((1+p_ipm)^(1/12)-1)*D7</f>
        <v/>
      </c>
      <c r="E10" s="24">
        <f>((1+p_ipm)^(1/12)-1)*E7</f>
        <v/>
      </c>
      <c r="F10" s="24">
        <f>((1+p_ipm)^(1/12)-1)*F7</f>
        <v/>
      </c>
      <c r="G10" s="24">
        <f>((1+p_ipm)^(1/12)-1)*G7</f>
        <v/>
      </c>
      <c r="H10" s="24">
        <f>((1+p_ipm)^(1/12)-1)*H7</f>
        <v/>
      </c>
      <c r="I10" s="24">
        <f>((1+p_ipm)^(1/12)-1)*I7</f>
        <v/>
      </c>
      <c r="J10" s="24">
        <f>((1+p_ipm)^(1/12)-1)*J7</f>
        <v/>
      </c>
      <c r="K10" s="24">
        <f>((1+p_ipm)^(1/12)-1)*K7</f>
        <v/>
      </c>
      <c r="L10" s="24">
        <f>((1+p_ipm)^(1/12)-1)*L7</f>
        <v/>
      </c>
      <c r="M10" s="24">
        <f>((1+p_ipm)^(1/12)-1)*M7</f>
        <v/>
      </c>
      <c r="N10" s="24">
        <f>((1+p_ipm)^(1/12)-1)*N7</f>
        <v/>
      </c>
      <c r="O10" s="24">
        <f>((1+p_ipm)^(1/12)-1)*O7</f>
        <v/>
      </c>
      <c r="P10" s="24">
        <f>((1+p_ipm)^(1/12)-1)*P7</f>
        <v/>
      </c>
      <c r="Q10" s="24">
        <f>((1+p_ipm)^(1/12)-1)*Q7</f>
        <v/>
      </c>
      <c r="R10" s="24">
        <f>((1+p_ipm)^(1/12)-1)*R7</f>
        <v/>
      </c>
      <c r="S10" s="24">
        <f>((1+p_ipm)^(1/12)-1)*S7</f>
        <v/>
      </c>
      <c r="T10" s="24">
        <f>((1+p_ipm)^(1/12)-1)*T7</f>
        <v/>
      </c>
      <c r="U10" s="24">
        <f>((1+p_ipm)^(1/12)-1)*U7</f>
        <v/>
      </c>
      <c r="V10" s="24">
        <f>((1+p_ipm)^(1/12)-1)*V7</f>
        <v/>
      </c>
      <c r="W10" s="24">
        <f>((1+p_ipm)^(1/12)-1)*W7</f>
        <v/>
      </c>
      <c r="X10" s="24">
        <f>((1+p_ipm)^(1/12)-1)*X7</f>
        <v/>
      </c>
      <c r="Y10" s="24">
        <f>((1+p_ipm)^(1/12)-1)*Y7</f>
        <v/>
      </c>
      <c r="Z10" s="24">
        <f>((1+p_ipm)^(1/12)-1)*Z7</f>
        <v/>
      </c>
      <c r="AA10" s="24">
        <f>((1+p_ipm)^(1/12)-1)*AA7</f>
        <v/>
      </c>
      <c r="AB10" s="24">
        <f>((1+p_ipm)^(1/12)-1)*AB7</f>
        <v/>
      </c>
      <c r="AC10" s="24">
        <f>((1+p_ipm)^(1/12)-1)*AC7</f>
        <v/>
      </c>
      <c r="AD10" s="24">
        <f>((1+p_ipm)^(1/12)-1)*AD7</f>
        <v/>
      </c>
      <c r="AE10" s="24">
        <f>((1+p_ipm)^(1/12)-1)*AE7</f>
        <v/>
      </c>
      <c r="AF10" s="24">
        <f>((1+p_ipm)^(1/12)-1)*AF7</f>
        <v/>
      </c>
      <c r="AG10" s="24">
        <f>((1+p_ipm)^(1/12)-1)*AG7</f>
        <v/>
      </c>
      <c r="AH10" s="24">
        <f>((1+p_ipm)^(1/12)-1)*AH7</f>
        <v/>
      </c>
      <c r="AI10" s="24">
        <f>((1+p_ipm)^(1/12)-1)*AI7</f>
        <v/>
      </c>
      <c r="AJ10" s="24">
        <f>((1+p_ipm)^(1/12)-1)*AJ7</f>
        <v/>
      </c>
      <c r="AK10" s="24">
        <f>((1+p_ipm)^(1/12)-1)*AK7</f>
        <v/>
      </c>
      <c r="AL10" s="24">
        <f>((1+p_ipm)^(1/12)-1)*AL7</f>
        <v/>
      </c>
      <c r="AM10" s="24">
        <f>((1+p_ipm)^(1/12)-1)*AM7</f>
        <v/>
      </c>
      <c r="AN10" s="24">
        <f>((1+p_ipm)^(1/12)-1)*AN7</f>
        <v/>
      </c>
      <c r="AO10" s="24">
        <f>((1+p_ipm)^(1/12)-1)*AO7</f>
        <v/>
      </c>
      <c r="AP10" s="24">
        <f>((1+p_ipm)^(1/12)-1)*AP7</f>
        <v/>
      </c>
      <c r="AQ10" s="24">
        <f>((1+p_ipm)^(1/12)-1)*AQ7</f>
        <v/>
      </c>
      <c r="AR10" s="24">
        <f>((1+p_ipm)^(1/12)-1)*AR7</f>
        <v/>
      </c>
      <c r="AS10" s="24">
        <f>((1+p_ipm)^(1/12)-1)*AS7</f>
        <v/>
      </c>
      <c r="AT10" s="24">
        <f>((1+p_ipm)^(1/12)-1)*AT7</f>
        <v/>
      </c>
      <c r="AU10" s="24">
        <f>((1+p_ipm)^(1/12)-1)*AU7</f>
        <v/>
      </c>
      <c r="AV10" s="24">
        <f>((1+p_ipm)^(1/12)-1)*AV7</f>
        <v/>
      </c>
      <c r="AW10" s="24">
        <f>((1+p_ipm)^(1/12)-1)*AW7</f>
        <v/>
      </c>
      <c r="AX10" s="24">
        <f>((1+p_ipm)^(1/12)-1)*AX7</f>
        <v/>
      </c>
      <c r="AY10" s="24">
        <f>((1+p_ipm)^(1/12)-1)*AY7</f>
        <v/>
      </c>
      <c r="AZ10" s="24">
        <f>((1+p_ipm)^(1/12)-1)*AZ7</f>
        <v/>
      </c>
      <c r="BA10" s="24">
        <f>((1+p_ipm)^(1/12)-1)*BA7</f>
        <v/>
      </c>
      <c r="BB10" s="24">
        <f>((1+p_ipm)^(1/12)-1)*BB7</f>
        <v/>
      </c>
      <c r="BC10" s="24">
        <f>((1+p_ipm)^(1/12)-1)*BC7</f>
        <v/>
      </c>
      <c r="BD10" s="24">
        <f>((1+p_ipm)^(1/12)-1)*BD7</f>
        <v/>
      </c>
      <c r="BE10" s="24">
        <f>((1+p_ipm)^(1/12)-1)*BE7</f>
        <v/>
      </c>
      <c r="BF10" s="24">
        <f>((1+p_ipm)^(1/12)-1)*BF7</f>
        <v/>
      </c>
      <c r="BG10" s="24">
        <f>((1+p_ipm)^(1/12)-1)*BG7</f>
        <v/>
      </c>
      <c r="BH10" s="24">
        <f>((1+p_ipm)^(1/12)-1)*BH7</f>
        <v/>
      </c>
      <c r="BI10" s="24">
        <f>((1+p_ipm)^(1/12)-1)*BI7</f>
        <v/>
      </c>
      <c r="BJ10" s="24">
        <f>((1+p_ipm)^(1/12)-1)*BJ7</f>
        <v/>
      </c>
      <c r="BK10" s="24">
        <f>((1+p_ipm)^(1/12)-1)*BK7</f>
        <v/>
      </c>
      <c r="BL10" s="24">
        <f>((1+p_ipm)^(1/12)-1)*BL7</f>
        <v/>
      </c>
      <c r="BM10" s="24">
        <f>((1+p_ipm)^(1/12)-1)*BM7</f>
        <v/>
      </c>
      <c r="BN10" s="24">
        <f>((1+p_ipm)^(1/12)-1)*BN7</f>
        <v/>
      </c>
      <c r="BO10" s="24">
        <f>((1+p_ipm)^(1/12)-1)*BO7</f>
        <v/>
      </c>
      <c r="BP10" s="24">
        <f>((1+p_ipm)^(1/12)-1)*BP7</f>
        <v/>
      </c>
      <c r="BQ10" s="24">
        <f>((1+p_ipm)^(1/12)-1)*BQ7</f>
        <v/>
      </c>
      <c r="BR10" s="24">
        <f>((1+p_ipm)^(1/12)-1)*BR7</f>
        <v/>
      </c>
      <c r="BS10" s="24">
        <f>((1+p_ipm)^(1/12)-1)*BS7</f>
        <v/>
      </c>
      <c r="BT10" s="24">
        <f>((1+p_ipm)^(1/12)-1)*BT7</f>
        <v/>
      </c>
      <c r="BU10" s="24">
        <f>((1+p_ipm)^(1/12)-1)*BU7</f>
        <v/>
      </c>
      <c r="BV10" s="24">
        <f>((1+p_ipm)^(1/12)-1)*BV7</f>
        <v/>
      </c>
      <c r="BW10" s="24">
        <f>((1+p_ipm)^(1/12)-1)*BW7</f>
        <v/>
      </c>
      <c r="BX10" s="24">
        <f>((1+p_ipm)^(1/12)-1)*BX7</f>
        <v/>
      </c>
      <c r="BY10" s="24">
        <f>((1+p_ipm)^(1/12)-1)*BY7</f>
        <v/>
      </c>
      <c r="BZ10" s="24">
        <f>((1+p_ipm)^(1/12)-1)*BZ7</f>
        <v/>
      </c>
      <c r="CA10" s="24">
        <f>((1+p_ipm)^(1/12)-1)*CA7</f>
        <v/>
      </c>
      <c r="CB10" s="24">
        <f>((1+p_ipm)^(1/12)-1)*CB7</f>
        <v/>
      </c>
      <c r="CC10" s="24">
        <f>((1+p_ipm)^(1/12)-1)*CC7</f>
        <v/>
      </c>
      <c r="CD10" s="24">
        <f>((1+p_ipm)^(1/12)-1)*CD7</f>
        <v/>
      </c>
      <c r="CE10" s="24">
        <f>((1+p_ipm)^(1/12)-1)*CE7</f>
        <v/>
      </c>
      <c r="CF10" s="24">
        <f>((1+p_ipm)^(1/12)-1)*CF7</f>
        <v/>
      </c>
      <c r="CG10" s="24">
        <f>((1+p_ipm)^(1/12)-1)*CG7</f>
        <v/>
      </c>
      <c r="CH10" s="24">
        <f>((1+p_ipm)^(1/12)-1)*CH7</f>
        <v/>
      </c>
      <c r="CI10" s="24">
        <f>((1+p_ipm)^(1/12)-1)*CI7</f>
        <v/>
      </c>
      <c r="CJ10" s="24">
        <f>((1+p_ipm)^(1/12)-1)*CJ7</f>
        <v/>
      </c>
      <c r="CK10" s="24">
        <f>((1+p_ipm)^(1/12)-1)*CK7</f>
        <v/>
      </c>
      <c r="CL10" s="24">
        <f>((1+p_ipm)^(1/12)-1)*CL7</f>
        <v/>
      </c>
      <c r="CM10" s="24">
        <f>((1+p_ipm)^(1/12)-1)*CM7</f>
        <v/>
      </c>
      <c r="CN10" s="24">
        <f>((1+p_ipm)^(1/12)-1)*CN7</f>
        <v/>
      </c>
      <c r="CO10" s="24">
        <f>((1+p_ipm)^(1/12)-1)*CO7</f>
        <v/>
      </c>
      <c r="CP10" s="24">
        <f>((1+p_ipm)^(1/12)-1)*CP7</f>
        <v/>
      </c>
      <c r="CQ10" s="24">
        <f>((1+p_ipm)^(1/12)-1)*CQ7</f>
        <v/>
      </c>
      <c r="CR10" s="24">
        <f>((1+p_ipm)^(1/12)-1)*CR7</f>
        <v/>
      </c>
      <c r="CS10" s="24">
        <f>((1+p_ipm)^(1/12)-1)*CS7</f>
        <v/>
      </c>
      <c r="CT10" s="24">
        <f>((1+p_ipm)^(1/12)-1)*CT7</f>
        <v/>
      </c>
      <c r="CU10" s="24">
        <f>((1+p_ipm)^(1/12)-1)*CU7</f>
        <v/>
      </c>
      <c r="CV10" s="24">
        <f>((1+p_ipm)^(1/12)-1)*CV7</f>
        <v/>
      </c>
      <c r="CW10" s="24">
        <f>((1+p_ipm)^(1/12)-1)*CW7</f>
        <v/>
      </c>
      <c r="CX10" s="24">
        <f>((1+p_ipm)^(1/12)-1)*CX7</f>
        <v/>
      </c>
      <c r="CY10" s="24">
        <f>((1+p_ipm)^(1/12)-1)*CY7</f>
        <v/>
      </c>
      <c r="CZ10" s="24">
        <f>((1+p_ipm)^(1/12)-1)*CZ7</f>
        <v/>
      </c>
      <c r="DA10" s="24">
        <f>((1+p_ipm)^(1/12)-1)*DA7</f>
        <v/>
      </c>
      <c r="DB10" s="24">
        <f>((1+p_ipm)^(1/12)-1)*DB7</f>
        <v/>
      </c>
      <c r="DC10" s="24">
        <f>((1+p_ipm)^(1/12)-1)*DC7</f>
        <v/>
      </c>
      <c r="DD10" s="24">
        <f>((1+p_ipm)^(1/12)-1)*DD7</f>
        <v/>
      </c>
      <c r="DE10" s="24">
        <f>((1+p_ipm)^(1/12)-1)*DE7</f>
        <v/>
      </c>
      <c r="DF10" s="24">
        <f>((1+p_ipm)^(1/12)-1)*DF7</f>
        <v/>
      </c>
      <c r="DG10" s="24">
        <f>((1+p_ipm)^(1/12)-1)*DG7</f>
        <v/>
      </c>
      <c r="DH10" s="24">
        <f>((1+p_ipm)^(1/12)-1)*DH7</f>
        <v/>
      </c>
      <c r="DI10" s="24">
        <f>((1+p_ipm)^(1/12)-1)*DI7</f>
        <v/>
      </c>
      <c r="DJ10" s="24">
        <f>((1+p_ipm)^(1/12)-1)*DJ7</f>
        <v/>
      </c>
      <c r="DK10" s="24">
        <f>((1+p_ipm)^(1/12)-1)*DK7</f>
        <v/>
      </c>
      <c r="DL10" s="24">
        <f>((1+p_ipm)^(1/12)-1)*DL7</f>
        <v/>
      </c>
      <c r="DM10" s="24">
        <f>((1+p_ipm)^(1/12)-1)*DM7</f>
        <v/>
      </c>
      <c r="DN10" s="24">
        <f>((1+p_ipm)^(1/12)-1)*DN7</f>
        <v/>
      </c>
      <c r="DO10" s="24">
        <f>((1+p_ipm)^(1/12)-1)*DO7</f>
        <v/>
      </c>
      <c r="DP10" s="24">
        <f>((1+p_ipm)^(1/12)-1)*DP7</f>
        <v/>
      </c>
      <c r="DQ10" s="24">
        <f>((1+p_ipm)^(1/12)-1)*DQ7</f>
        <v/>
      </c>
      <c r="DR10" s="24">
        <f>((1+p_ipm)^(1/12)-1)*DR7</f>
        <v/>
      </c>
      <c r="DS10" s="24">
        <f>((1+p_ipm)^(1/12)-1)*DS7</f>
        <v/>
      </c>
      <c r="DT10" s="24">
        <f>((1+p_ipm)^(1/12)-1)*DT7</f>
        <v/>
      </c>
      <c r="DU10" s="24">
        <f>((1+p_ipm)^(1/12)-1)*DU7</f>
        <v/>
      </c>
      <c r="DV10" s="24">
        <f>((1+p_ipm)^(1/12)-1)*DV7</f>
        <v/>
      </c>
      <c r="DW10" s="24">
        <f>((1+p_ipm)^(1/12)-1)*DW7</f>
        <v/>
      </c>
      <c r="DX10" s="24">
        <f>((1+p_ipm)^(1/12)-1)*DX7</f>
        <v/>
      </c>
      <c r="DY10" s="24">
        <f>((1+p_ipm)^(1/12)-1)*DY7</f>
        <v/>
      </c>
      <c r="DZ10" s="24">
        <f>((1+p_ipm)^(1/12)-1)*DZ7</f>
        <v/>
      </c>
      <c r="EA10" s="24">
        <f>((1+p_ipm)^(1/12)-1)*EA7</f>
        <v/>
      </c>
      <c r="EB10" s="24">
        <f>((1+p_ipm)^(1/12)-1)*EB7</f>
        <v/>
      </c>
      <c r="EC10" s="24">
        <f>((1+p_ipm)^(1/12)-1)*EC7</f>
        <v/>
      </c>
      <c r="ED10" s="24">
        <f>((1+p_ipm)^(1/12)-1)*ED7</f>
        <v/>
      </c>
      <c r="EE10" s="24">
        <f>((1+p_ipm)^(1/12)-1)*EE7</f>
        <v/>
      </c>
      <c r="EF10" s="24">
        <f>((1+p_ipm)^(1/12)-1)*EF7</f>
        <v/>
      </c>
      <c r="EG10" s="24">
        <f>((1+p_ipm)^(1/12)-1)*EG7</f>
        <v/>
      </c>
      <c r="EH10" s="24">
        <f>((1+p_ipm)^(1/12)-1)*EH7</f>
        <v/>
      </c>
      <c r="EI10" s="24">
        <f>((1+p_ipm)^(1/12)-1)*EI7</f>
        <v/>
      </c>
      <c r="EJ10" s="24">
        <f>((1+p_ipm)^(1/12)-1)*EJ7</f>
        <v/>
      </c>
      <c r="EK10" s="24">
        <f>((1+p_ipm)^(1/12)-1)*EK7</f>
        <v/>
      </c>
      <c r="EL10" s="24">
        <f>((1+p_ipm)^(1/12)-1)*EL7</f>
        <v/>
      </c>
      <c r="EM10" s="24">
        <f>((1+p_ipm)^(1/12)-1)*EM7</f>
        <v/>
      </c>
      <c r="EN10" s="24">
        <f>((1+p_ipm)^(1/12)-1)*EN7</f>
        <v/>
      </c>
      <c r="EO10" s="24">
        <f>((1+p_ipm)^(1/12)-1)*EO7</f>
        <v/>
      </c>
      <c r="EP10" s="24">
        <f>((1+p_ipm)^(1/12)-1)*EP7</f>
        <v/>
      </c>
      <c r="EQ10" s="24">
        <f>((1+p_ipm)^(1/12)-1)*EQ7</f>
        <v/>
      </c>
      <c r="ER10" s="24">
        <f>((1+p_ipm)^(1/12)-1)*ER7</f>
        <v/>
      </c>
      <c r="ES10" s="24">
        <f>((1+p_ipm)^(1/12)-1)*ES7</f>
        <v/>
      </c>
      <c r="ET10" s="24">
        <f>((1+p_ipm)^(1/12)-1)*ET7</f>
        <v/>
      </c>
      <c r="EU10" s="24">
        <f>((1+p_ipm)^(1/12)-1)*EU7</f>
        <v/>
      </c>
      <c r="EV10" s="24">
        <f>((1+p_ipm)^(1/12)-1)*EV7</f>
        <v/>
      </c>
      <c r="EW10" s="24">
        <f>((1+p_ipm)^(1/12)-1)*EW7</f>
        <v/>
      </c>
      <c r="EX10" s="24">
        <f>((1+p_ipm)^(1/12)-1)*EX7</f>
        <v/>
      </c>
      <c r="EY10" s="24">
        <f>((1+p_ipm)^(1/12)-1)*EY7</f>
        <v/>
      </c>
      <c r="EZ10" s="24">
        <f>((1+p_ipm)^(1/12)-1)*EZ7</f>
        <v/>
      </c>
      <c r="FA10" s="24">
        <f>((1+p_ipm)^(1/12)-1)*FA7</f>
        <v/>
      </c>
      <c r="FB10" s="24">
        <f>((1+p_ipm)^(1/12)-1)*FB7</f>
        <v/>
      </c>
      <c r="FC10" s="24">
        <f>((1+p_ipm)^(1/12)-1)*FC7</f>
        <v/>
      </c>
      <c r="FD10" s="24">
        <f>((1+p_ipm)^(1/12)-1)*FD7</f>
        <v/>
      </c>
      <c r="FE10" s="24">
        <f>((1+p_ipm)^(1/12)-1)*FE7</f>
        <v/>
      </c>
      <c r="FF10" s="24">
        <f>((1+p_ipm)^(1/12)-1)*FF7</f>
        <v/>
      </c>
      <c r="FG10" s="24">
        <f>((1+p_ipm)^(1/12)-1)*FG7</f>
        <v/>
      </c>
      <c r="FH10" s="24">
        <f>((1+p_ipm)^(1/12)-1)*FH7</f>
        <v/>
      </c>
      <c r="FI10" s="24">
        <f>((1+p_ipm)^(1/12)-1)*FI7</f>
        <v/>
      </c>
      <c r="FJ10" s="24">
        <f>((1+p_ipm)^(1/12)-1)*FJ7</f>
        <v/>
      </c>
      <c r="FK10" s="24">
        <f>((1+p_ipm)^(1/12)-1)*FK7</f>
        <v/>
      </c>
      <c r="FL10" s="24">
        <f>((1+p_ipm)^(1/12)-1)*FL7</f>
        <v/>
      </c>
      <c r="FM10" s="24">
        <f>((1+p_ipm)^(1/12)-1)*FM7</f>
        <v/>
      </c>
      <c r="FN10" s="24">
        <f>((1+p_ipm)^(1/12)-1)*FN7</f>
        <v/>
      </c>
      <c r="FO10" s="24">
        <f>((1+p_ipm)^(1/12)-1)*FO7</f>
        <v/>
      </c>
      <c r="FP10" s="24">
        <f>((1+p_ipm)^(1/12)-1)*FP7</f>
        <v/>
      </c>
      <c r="FQ10" s="24">
        <f>((1+p_ipm)^(1/12)-1)*FQ7</f>
        <v/>
      </c>
      <c r="FR10" s="24">
        <f>((1+p_ipm)^(1/12)-1)*FR7</f>
        <v/>
      </c>
      <c r="FS10" s="24">
        <f>((1+p_ipm)^(1/12)-1)*FS7</f>
        <v/>
      </c>
      <c r="FT10" s="24">
        <f>((1+p_ipm)^(1/12)-1)*FT7</f>
        <v/>
      </c>
      <c r="FU10" s="24">
        <f>((1+p_ipm)^(1/12)-1)*FU7</f>
        <v/>
      </c>
      <c r="FV10" s="24">
        <f>((1+p_ipm)^(1/12)-1)*FV7</f>
        <v/>
      </c>
      <c r="FW10" s="24">
        <f>((1+p_ipm)^(1/12)-1)*FW7</f>
        <v/>
      </c>
      <c r="FX10" s="24">
        <f>((1+p_ipm)^(1/12)-1)*FX7</f>
        <v/>
      </c>
      <c r="FY10" s="24">
        <f>((1+p_ipm)^(1/12)-1)*FY7</f>
        <v/>
      </c>
      <c r="FZ10" s="24">
        <f>((1+p_ipm)^(1/12)-1)*FZ7</f>
        <v/>
      </c>
      <c r="GA10" s="24">
        <f>((1+p_ipm)^(1/12)-1)*GA7</f>
        <v/>
      </c>
      <c r="GB10" s="24">
        <f>((1+p_ipm)^(1/12)-1)*GB7</f>
        <v/>
      </c>
      <c r="GC10" s="24">
        <f>((1+p_ipm)^(1/12)-1)*GC7</f>
        <v/>
      </c>
      <c r="GD10" s="24">
        <f>((1+p_ipm)^(1/12)-1)*GD7</f>
        <v/>
      </c>
      <c r="GE10" s="24">
        <f>((1+p_ipm)^(1/12)-1)*GE7</f>
        <v/>
      </c>
      <c r="GF10" s="24">
        <f>((1+p_ipm)^(1/12)-1)*GF7</f>
        <v/>
      </c>
      <c r="GG10" s="24">
        <f>((1+p_ipm)^(1/12)-1)*GG7</f>
        <v/>
      </c>
      <c r="GH10" s="24">
        <f>((1+p_ipm)^(1/12)-1)*GH7</f>
        <v/>
      </c>
      <c r="GI10" s="24">
        <f>((1+p_ipm)^(1/12)-1)*GI7</f>
        <v/>
      </c>
      <c r="GJ10" s="24">
        <f>((1+p_ipm)^(1/12)-1)*GJ7</f>
        <v/>
      </c>
      <c r="GK10" s="24">
        <f>((1+p_ipm)^(1/12)-1)*GK7</f>
        <v/>
      </c>
      <c r="GL10" s="24">
        <f>((1+p_ipm)^(1/12)-1)*GL7</f>
        <v/>
      </c>
      <c r="GM10" s="24">
        <f>((1+p_ipm)^(1/12)-1)*GM7</f>
        <v/>
      </c>
      <c r="GN10" s="24">
        <f>((1+p_ipm)^(1/12)-1)*GN7</f>
        <v/>
      </c>
      <c r="GO10" s="24">
        <f>((1+p_ipm)^(1/12)-1)*GO7</f>
        <v/>
      </c>
      <c r="GP10" s="24">
        <f>((1+p_ipm)^(1/12)-1)*GP7</f>
        <v/>
      </c>
      <c r="GQ10" s="24">
        <f>((1+p_ipm)^(1/12)-1)*GQ7</f>
        <v/>
      </c>
      <c r="GR10" s="24">
        <f>((1+p_ipm)^(1/12)-1)*GR7</f>
        <v/>
      </c>
      <c r="GS10" s="24">
        <f>((1+p_ipm)^(1/12)-1)*GS7</f>
        <v/>
      </c>
      <c r="GT10" s="24">
        <f>((1+p_ipm)^(1/12)-1)*GT7</f>
        <v/>
      </c>
      <c r="GU10" s="24">
        <f>((1+p_ipm)^(1/12)-1)*GU7</f>
        <v/>
      </c>
      <c r="GV10" s="24">
        <f>((1+p_ipm)^(1/12)-1)*GV7</f>
        <v/>
      </c>
      <c r="GW10" s="24">
        <f>((1+p_ipm)^(1/12)-1)*GW7</f>
        <v/>
      </c>
      <c r="GX10" s="24">
        <f>((1+p_ipm)^(1/12)-1)*GX7</f>
        <v/>
      </c>
      <c r="GY10" s="24">
        <f>((1+p_ipm)^(1/12)-1)*GY7</f>
        <v/>
      </c>
      <c r="GZ10" s="24">
        <f>((1+p_ipm)^(1/12)-1)*GZ7</f>
        <v/>
      </c>
      <c r="HA10" s="24">
        <f>((1+p_ipm)^(1/12)-1)*HA7</f>
        <v/>
      </c>
      <c r="HB10" s="24">
        <f>((1+p_ipm)^(1/12)-1)*HB7</f>
        <v/>
      </c>
      <c r="HC10" s="24">
        <f>((1+p_ipm)^(1/12)-1)*HC7</f>
        <v/>
      </c>
      <c r="HD10" s="24">
        <f>((1+p_ipm)^(1/12)-1)*HD7</f>
        <v/>
      </c>
      <c r="HE10" s="24">
        <f>((1+p_ipm)^(1/12)-1)*HE7</f>
        <v/>
      </c>
      <c r="HF10" s="24">
        <f>((1+p_ipm)^(1/12)-1)*HF7</f>
        <v/>
      </c>
      <c r="HG10" s="24">
        <f>((1+p_ipm)^(1/12)-1)*HG7</f>
        <v/>
      </c>
      <c r="HH10" s="24">
        <f>((1+p_ipm)^(1/12)-1)*HH7</f>
        <v/>
      </c>
      <c r="HI10" s="24">
        <f>((1+p_ipm)^(1/12)-1)*HI7</f>
        <v/>
      </c>
      <c r="HJ10" s="24">
        <f>((1+p_ipm)^(1/12)-1)*HJ7</f>
        <v/>
      </c>
      <c r="HK10" s="24">
        <f>((1+p_ipm)^(1/12)-1)*HK7</f>
        <v/>
      </c>
      <c r="HL10" s="24">
        <f>((1+p_ipm)^(1/12)-1)*HL7</f>
        <v/>
      </c>
      <c r="HM10" s="24">
        <f>((1+p_ipm)^(1/12)-1)*HM7</f>
        <v/>
      </c>
      <c r="HN10" s="24">
        <f>((1+p_ipm)^(1/12)-1)*HN7</f>
        <v/>
      </c>
      <c r="HO10" s="24">
        <f>((1+p_ipm)^(1/12)-1)*HO7</f>
        <v/>
      </c>
      <c r="HP10" s="24">
        <f>((1+p_ipm)^(1/12)-1)*HP7</f>
        <v/>
      </c>
      <c r="HQ10" s="24">
        <f>((1+p_ipm)^(1/12)-1)*HQ7</f>
        <v/>
      </c>
      <c r="HR10" s="24">
        <f>((1+p_ipm)^(1/12)-1)*HR7</f>
        <v/>
      </c>
      <c r="HS10" s="24">
        <f>((1+p_ipm)^(1/12)-1)*HS7</f>
        <v/>
      </c>
      <c r="HT10" s="24">
        <f>((1+p_ipm)^(1/12)-1)*HT7</f>
        <v/>
      </c>
      <c r="HU10" s="24">
        <f>((1+p_ipm)^(1/12)-1)*HU7</f>
        <v/>
      </c>
      <c r="HV10" s="24">
        <f>((1+p_ipm)^(1/12)-1)*HV7</f>
        <v/>
      </c>
      <c r="HW10" s="24">
        <f>((1+p_ipm)^(1/12)-1)*HW7</f>
        <v/>
      </c>
      <c r="HX10" s="24">
        <f>((1+p_ipm)^(1/12)-1)*HX7</f>
        <v/>
      </c>
      <c r="HY10" s="24">
        <f>((1+p_ipm)^(1/12)-1)*HY7</f>
        <v/>
      </c>
      <c r="HZ10" s="24">
        <f>((1+p_ipm)^(1/12)-1)*HZ7</f>
        <v/>
      </c>
      <c r="IA10" s="24">
        <f>((1+p_ipm)^(1/12)-1)*IA7</f>
        <v/>
      </c>
      <c r="IB10" s="24">
        <f>((1+p_ipm)^(1/12)-1)*IB7</f>
        <v/>
      </c>
      <c r="IC10" s="24">
        <f>((1+p_ipm)^(1/12)-1)*IC7</f>
        <v/>
      </c>
      <c r="ID10" s="24">
        <f>((1+p_ipm)^(1/12)-1)*ID7</f>
        <v/>
      </c>
      <c r="IE10" s="24">
        <f>((1+p_ipm)^(1/12)-1)*IE7</f>
        <v/>
      </c>
      <c r="IF10" s="24">
        <f>((1+p_ipm)^(1/12)-1)*IF7</f>
        <v/>
      </c>
      <c r="IG10" s="24">
        <f>((1+p_ipm)^(1/12)-1)*IG7</f>
        <v/>
      </c>
      <c r="IH10" s="24">
        <f>((1+p_ipm)^(1/12)-1)*IH7</f>
        <v/>
      </c>
      <c r="II10" s="24">
        <f>((1+p_ipm)^(1/12)-1)*II7</f>
        <v/>
      </c>
      <c r="IJ10" s="24">
        <f>((1+p_ipm)^(1/12)-1)*IJ7</f>
        <v/>
      </c>
      <c r="IK10" s="24">
        <f>((1+p_ipm)^(1/12)-1)*IK7</f>
        <v/>
      </c>
      <c r="IL10" s="24">
        <f>((1+p_ipm)^(1/12)-1)*IL7</f>
        <v/>
      </c>
      <c r="IM10" s="24">
        <f>((1+p_ipm)^(1/12)-1)*IM7</f>
        <v/>
      </c>
      <c r="IN10" s="24">
        <f>((1+p_ipm)^(1/12)-1)*IN7</f>
        <v/>
      </c>
      <c r="IO10" s="24">
        <f>((1+p_ipm)^(1/12)-1)*IO7</f>
        <v/>
      </c>
      <c r="IP10" s="24">
        <f>((1+p_ipm)^(1/12)-1)*IP7</f>
        <v/>
      </c>
      <c r="IQ10" s="24">
        <f>((1+p_ipm)^(1/12)-1)*IQ7</f>
        <v/>
      </c>
      <c r="IR10" s="24">
        <f>((1+p_ipm)^(1/12)-1)*IR7</f>
        <v/>
      </c>
      <c r="IS10" s="24">
        <f>((1+p_ipm)^(1/12)-1)*IS7</f>
        <v/>
      </c>
      <c r="IT10" s="24">
        <f>((1+p_ipm)^(1/12)-1)*IT7</f>
        <v/>
      </c>
      <c r="IU10" s="24">
        <f>((1+p_ipm)^(1/12)-1)*IU7</f>
        <v/>
      </c>
      <c r="IV10" s="24">
        <f>((1+p_ipm)^(1/12)-1)*IV7</f>
        <v/>
      </c>
      <c r="IW10" s="24">
        <f>((1+p_ipm)^(1/12)-1)*IW7</f>
        <v/>
      </c>
      <c r="IX10" s="24">
        <f>((1+p_ipm)^(1/12)-1)*IX7</f>
        <v/>
      </c>
      <c r="IY10" s="24">
        <f>((1+p_ipm)^(1/12)-1)*IY7</f>
        <v/>
      </c>
      <c r="IZ10" s="24">
        <f>((1+p_ipm)^(1/12)-1)*IZ7</f>
        <v/>
      </c>
      <c r="JA10" s="24">
        <f>((1+p_ipm)^(1/12)-1)*JA7</f>
        <v/>
      </c>
      <c r="JB10" s="24">
        <f>((1+p_ipm)^(1/12)-1)*JB7</f>
        <v/>
      </c>
      <c r="JC10" s="24">
        <f>((1+p_ipm)^(1/12)-1)*JC7</f>
        <v/>
      </c>
      <c r="JD10" s="24">
        <f>((1+p_ipm)^(1/12)-1)*JD7</f>
        <v/>
      </c>
      <c r="JE10" s="24">
        <f>((1+p_ipm)^(1/12)-1)*JE7</f>
        <v/>
      </c>
      <c r="JF10" s="24">
        <f>((1+p_ipm)^(1/12)-1)*JF7</f>
        <v/>
      </c>
      <c r="JG10" s="24">
        <f>((1+p_ipm)^(1/12)-1)*JG7</f>
        <v/>
      </c>
      <c r="JH10" s="24">
        <f>((1+p_ipm)^(1/12)-1)*JH7</f>
        <v/>
      </c>
      <c r="JI10" s="24">
        <f>((1+p_ipm)^(1/12)-1)*JI7</f>
        <v/>
      </c>
      <c r="JJ10" s="24">
        <f>((1+p_ipm)^(1/12)-1)*JJ7</f>
        <v/>
      </c>
      <c r="JK10" s="24">
        <f>((1+p_ipm)^(1/12)-1)*JK7</f>
        <v/>
      </c>
      <c r="JL10" s="24">
        <f>((1+p_ipm)^(1/12)-1)*JL7</f>
        <v/>
      </c>
      <c r="JM10" s="24">
        <f>((1+p_ipm)^(1/12)-1)*JM7</f>
        <v/>
      </c>
      <c r="JN10" s="24">
        <f>((1+p_ipm)^(1/12)-1)*JN7</f>
        <v/>
      </c>
      <c r="JO10" s="24">
        <f>((1+p_ipm)^(1/12)-1)*JO7</f>
        <v/>
      </c>
      <c r="JP10" s="24">
        <f>((1+p_ipm)^(1/12)-1)*JP7</f>
        <v/>
      </c>
      <c r="JQ10" s="24">
        <f>((1+p_ipm)^(1/12)-1)*JQ7</f>
        <v/>
      </c>
      <c r="JR10" s="24">
        <f>((1+p_ipm)^(1/12)-1)*JR7</f>
        <v/>
      </c>
      <c r="JS10" s="24">
        <f>((1+p_ipm)^(1/12)-1)*JS7</f>
        <v/>
      </c>
      <c r="JT10" s="24">
        <f>((1+p_ipm)^(1/12)-1)*JT7</f>
        <v/>
      </c>
      <c r="JU10" s="24">
        <f>((1+p_ipm)^(1/12)-1)*JU7</f>
        <v/>
      </c>
      <c r="JV10" s="24">
        <f>((1+p_ipm)^(1/12)-1)*JV7</f>
        <v/>
      </c>
      <c r="JW10" s="24">
        <f>((1+p_ipm)^(1/12)-1)*JW7</f>
        <v/>
      </c>
      <c r="JX10" s="24">
        <f>((1+p_ipm)^(1/12)-1)*JX7</f>
        <v/>
      </c>
      <c r="JY10" s="24">
        <f>((1+p_ipm)^(1/12)-1)*JY7</f>
        <v/>
      </c>
      <c r="JZ10" s="24">
        <f>((1+p_ipm)^(1/12)-1)*JZ7</f>
        <v/>
      </c>
      <c r="KA10" s="24">
        <f>((1+p_ipm)^(1/12)-1)*KA7</f>
        <v/>
      </c>
      <c r="KB10" s="24">
        <f>((1+p_ipm)^(1/12)-1)*KB7</f>
        <v/>
      </c>
      <c r="KC10" s="24">
        <f>((1+p_ipm)^(1/12)-1)*KC7</f>
        <v/>
      </c>
      <c r="KD10" s="24">
        <f>((1+p_ipm)^(1/12)-1)*KD7</f>
        <v/>
      </c>
      <c r="KE10" s="24">
        <f>((1+p_ipm)^(1/12)-1)*KE7</f>
        <v/>
      </c>
      <c r="KF10" s="24">
        <f>((1+p_ipm)^(1/12)-1)*KF7</f>
        <v/>
      </c>
      <c r="KG10" s="24">
        <f>((1+p_ipm)^(1/12)-1)*KG7</f>
        <v/>
      </c>
      <c r="KH10" s="24">
        <f>((1+p_ipm)^(1/12)-1)*KH7</f>
        <v/>
      </c>
      <c r="KI10" s="24">
        <f>((1+p_ipm)^(1/12)-1)*KI7</f>
        <v/>
      </c>
      <c r="KJ10" s="24">
        <f>((1+p_ipm)^(1/12)-1)*KJ7</f>
        <v/>
      </c>
      <c r="KK10" s="24">
        <f>((1+p_ipm)^(1/12)-1)*KK7</f>
        <v/>
      </c>
      <c r="KL10" s="24">
        <f>((1+p_ipm)^(1/12)-1)*KL7</f>
        <v/>
      </c>
      <c r="KM10" s="24">
        <f>((1+p_ipm)^(1/12)-1)*KM7</f>
        <v/>
      </c>
      <c r="KN10" s="24">
        <f>((1+p_ipm)^(1/12)-1)*KN7</f>
        <v/>
      </c>
      <c r="KO10" s="24">
        <f>((1+p_ipm)^(1/12)-1)*KO7</f>
        <v/>
      </c>
      <c r="KP10" s="24">
        <f>((1+p_ipm)^(1/12)-1)*KP7</f>
        <v/>
      </c>
      <c r="KQ10" s="24">
        <f>((1+p_ipm)^(1/12)-1)*KQ7</f>
        <v/>
      </c>
      <c r="KR10" s="24">
        <f>((1+p_ipm)^(1/12)-1)*KR7</f>
        <v/>
      </c>
      <c r="KS10" s="24">
        <f>((1+p_ipm)^(1/12)-1)*KS7</f>
        <v/>
      </c>
      <c r="KT10" s="24">
        <f>((1+p_ipm)^(1/12)-1)*KT7</f>
        <v/>
      </c>
      <c r="KU10" s="24">
        <f>((1+p_ipm)^(1/12)-1)*KU7</f>
        <v/>
      </c>
      <c r="KV10" s="24">
        <f>((1+p_ipm)^(1/12)-1)*KV7</f>
        <v/>
      </c>
      <c r="KW10" s="24">
        <f>((1+p_ipm)^(1/12)-1)*KW7</f>
        <v/>
      </c>
      <c r="KX10" s="24">
        <f>((1+p_ipm)^(1/12)-1)*KX7</f>
        <v/>
      </c>
      <c r="KY10" s="24">
        <f>((1+p_ipm)^(1/12)-1)*KY7</f>
        <v/>
      </c>
      <c r="KZ10" s="24">
        <f>((1+p_ipm)^(1/12)-1)*KZ7</f>
        <v/>
      </c>
      <c r="LA10" s="24">
        <f>((1+p_ipm)^(1/12)-1)*LA7</f>
        <v/>
      </c>
      <c r="LB10" s="24">
        <f>((1+p_ipm)^(1/12)-1)*LB7</f>
        <v/>
      </c>
      <c r="LC10" s="24">
        <f>((1+p_ipm)^(1/12)-1)*LC7</f>
        <v/>
      </c>
      <c r="LD10" s="24">
        <f>((1+p_ipm)^(1/12)-1)*LD7</f>
        <v/>
      </c>
      <c r="LE10" s="24">
        <f>((1+p_ipm)^(1/12)-1)*LE7</f>
        <v/>
      </c>
      <c r="LF10" s="24">
        <f>((1+p_ipm)^(1/12)-1)*LF7</f>
        <v/>
      </c>
      <c r="LG10" s="24">
        <f>((1+p_ipm)^(1/12)-1)*LG7</f>
        <v/>
      </c>
      <c r="LH10" s="24">
        <f>((1+p_ipm)^(1/12)-1)*LH7</f>
        <v/>
      </c>
      <c r="LI10" s="24">
        <f>((1+p_ipm)^(1/12)-1)*LI7</f>
        <v/>
      </c>
    </row>
    <row r="11">
      <c r="B11" s="18" t="inlineStr">
        <is>
          <t>Acumulado pendiente</t>
        </is>
      </c>
      <c r="D11" s="24">
        <f>IF($D10=0,0,$D10)</f>
        <v/>
      </c>
      <c r="E11" s="24">
        <f>IF(E10=0,0,SUM($D10:E10)-SUM($D12:D12))</f>
        <v/>
      </c>
      <c r="F11" s="24">
        <f>IF(F10=0,0,SUM($D10:F10)-SUM($D12:E12))</f>
        <v/>
      </c>
      <c r="G11" s="24">
        <f>IF(G10=0,0,SUM($D10:G10)-SUM($D12:F12))</f>
        <v/>
      </c>
      <c r="H11" s="24">
        <f>IF(H10=0,0,SUM($D10:H10)-SUM($D12:G12))</f>
        <v/>
      </c>
      <c r="I11" s="24">
        <f>IF(I10=0,0,SUM($D10:I10)-SUM($D12:H12))</f>
        <v/>
      </c>
      <c r="J11" s="24">
        <f>IF(J10=0,0,SUM($D10:J10)-SUM($D12:I12))</f>
        <v/>
      </c>
      <c r="K11" s="24">
        <f>IF(K10=0,0,SUM($D10:K10)-SUM($D12:J12))</f>
        <v/>
      </c>
      <c r="L11" s="24">
        <f>IF(L10=0,0,SUM($D10:L10)-SUM($D12:K12))</f>
        <v/>
      </c>
      <c r="M11" s="24">
        <f>IF(M10=0,0,SUM($D10:M10)-SUM($D12:L12))</f>
        <v/>
      </c>
      <c r="N11" s="24">
        <f>IF(N10=0,0,SUM($D10:N10)-SUM($D12:M12))</f>
        <v/>
      </c>
      <c r="O11" s="24">
        <f>IF(O10=0,0,SUM($D10:O10)-SUM($D12:N12))</f>
        <v/>
      </c>
      <c r="P11" s="24">
        <f>IF(P10=0,0,SUM($D10:P10)-SUM($D12:O12))</f>
        <v/>
      </c>
      <c r="Q11" s="24">
        <f>IF(Q10=0,0,SUM($D10:Q10)-SUM($D12:P12))</f>
        <v/>
      </c>
      <c r="R11" s="24">
        <f>IF(R10=0,0,SUM($D10:R10)-SUM($D12:Q12))</f>
        <v/>
      </c>
      <c r="S11" s="24">
        <f>IF(S10=0,0,SUM($D10:S10)-SUM($D12:R12))</f>
        <v/>
      </c>
      <c r="T11" s="24">
        <f>IF(T10=0,0,SUM($D10:T10)-SUM($D12:S12))</f>
        <v/>
      </c>
      <c r="U11" s="24">
        <f>IF(U10=0,0,SUM($D10:U10)-SUM($D12:T12))</f>
        <v/>
      </c>
      <c r="V11" s="24">
        <f>IF(V10=0,0,SUM($D10:V10)-SUM($D12:U12))</f>
        <v/>
      </c>
      <c r="W11" s="24">
        <f>IF(W10=0,0,SUM($D10:W10)-SUM($D12:V12))</f>
        <v/>
      </c>
      <c r="X11" s="24">
        <f>IF(X10=0,0,SUM($D10:X10)-SUM($D12:W12))</f>
        <v/>
      </c>
      <c r="Y11" s="24">
        <f>IF(Y10=0,0,SUM($D10:Y10)-SUM($D12:X12))</f>
        <v/>
      </c>
      <c r="Z11" s="24">
        <f>IF(Z10=0,0,SUM($D10:Z10)-SUM($D12:Y12))</f>
        <v/>
      </c>
      <c r="AA11" s="24">
        <f>IF(AA10=0,0,SUM($D10:AA10)-SUM($D12:Z12))</f>
        <v/>
      </c>
      <c r="AB11" s="24">
        <f>IF(AB10=0,0,SUM($D10:AB10)-SUM($D12:AA12))</f>
        <v/>
      </c>
      <c r="AC11" s="24">
        <f>IF(AC10=0,0,SUM($D10:AC10)-SUM($D12:AB12))</f>
        <v/>
      </c>
      <c r="AD11" s="24">
        <f>IF(AD10=0,0,SUM($D10:AD10)-SUM($D12:AC12))</f>
        <v/>
      </c>
      <c r="AE11" s="24">
        <f>IF(AE10=0,0,SUM($D10:AE10)-SUM($D12:AD12))</f>
        <v/>
      </c>
      <c r="AF11" s="24">
        <f>IF(AF10=0,0,SUM($D10:AF10)-SUM($D12:AE12))</f>
        <v/>
      </c>
      <c r="AG11" s="24">
        <f>IF(AG10=0,0,SUM($D10:AG10)-SUM($D12:AF12))</f>
        <v/>
      </c>
      <c r="AH11" s="24">
        <f>IF(AH10=0,0,SUM($D10:AH10)-SUM($D12:AG12))</f>
        <v/>
      </c>
      <c r="AI11" s="24">
        <f>IF(AI10=0,0,SUM($D10:AI10)-SUM($D12:AH12))</f>
        <v/>
      </c>
      <c r="AJ11" s="24">
        <f>IF(AJ10=0,0,SUM($D10:AJ10)-SUM($D12:AI12))</f>
        <v/>
      </c>
      <c r="AK11" s="24">
        <f>IF(AK10=0,0,SUM($D10:AK10)-SUM($D12:AJ12))</f>
        <v/>
      </c>
      <c r="AL11" s="24">
        <f>IF(AL10=0,0,SUM($D10:AL10)-SUM($D12:AK12))</f>
        <v/>
      </c>
      <c r="AM11" s="24">
        <f>IF(AM10=0,0,SUM($D10:AM10)-SUM($D12:AL12))</f>
        <v/>
      </c>
      <c r="AN11" s="24">
        <f>IF(AN10=0,0,SUM($D10:AN10)-SUM($D12:AM12))</f>
        <v/>
      </c>
      <c r="AO11" s="24">
        <f>IF(AO10=0,0,SUM($D10:AO10)-SUM($D12:AN12))</f>
        <v/>
      </c>
      <c r="AP11" s="24">
        <f>IF(AP10=0,0,SUM($D10:AP10)-SUM($D12:AO12))</f>
        <v/>
      </c>
      <c r="AQ11" s="24">
        <f>IF(AQ10=0,0,SUM($D10:AQ10)-SUM($D12:AP12))</f>
        <v/>
      </c>
      <c r="AR11" s="24">
        <f>IF(AR10=0,0,SUM($D10:AR10)-SUM($D12:AQ12))</f>
        <v/>
      </c>
      <c r="AS11" s="24">
        <f>IF(AS10=0,0,SUM($D10:AS10)-SUM($D12:AR12))</f>
        <v/>
      </c>
      <c r="AT11" s="24">
        <f>IF(AT10=0,0,SUM($D10:AT10)-SUM($D12:AS12))</f>
        <v/>
      </c>
      <c r="AU11" s="24">
        <f>IF(AU10=0,0,SUM($D10:AU10)-SUM($D12:AT12))</f>
        <v/>
      </c>
      <c r="AV11" s="24">
        <f>IF(AV10=0,0,SUM($D10:AV10)-SUM($D12:AU12))</f>
        <v/>
      </c>
      <c r="AW11" s="24">
        <f>IF(AW10=0,0,SUM($D10:AW10)-SUM($D12:AV12))</f>
        <v/>
      </c>
      <c r="AX11" s="24">
        <f>IF(AX10=0,0,SUM($D10:AX10)-SUM($D12:AW12))</f>
        <v/>
      </c>
      <c r="AY11" s="24">
        <f>IF(AY10=0,0,SUM($D10:AY10)-SUM($D12:AX12))</f>
        <v/>
      </c>
      <c r="AZ11" s="24">
        <f>IF(AZ10=0,0,SUM($D10:AZ10)-SUM($D12:AY12))</f>
        <v/>
      </c>
      <c r="BA11" s="24">
        <f>IF(BA10=0,0,SUM($D10:BA10)-SUM($D12:AZ12))</f>
        <v/>
      </c>
      <c r="BB11" s="24">
        <f>IF(BB10=0,0,SUM($D10:BB10)-SUM($D12:BA12))</f>
        <v/>
      </c>
      <c r="BC11" s="24">
        <f>IF(BC10=0,0,SUM($D10:BC10)-SUM($D12:BB12))</f>
        <v/>
      </c>
      <c r="BD11" s="24">
        <f>IF(BD10=0,0,SUM($D10:BD10)-SUM($D12:BC12))</f>
        <v/>
      </c>
      <c r="BE11" s="24">
        <f>IF(BE10=0,0,SUM($D10:BE10)-SUM($D12:BD12))</f>
        <v/>
      </c>
      <c r="BF11" s="24">
        <f>IF(BF10=0,0,SUM($D10:BF10)-SUM($D12:BE12))</f>
        <v/>
      </c>
      <c r="BG11" s="24">
        <f>IF(BG10=0,0,SUM($D10:BG10)-SUM($D12:BF12))</f>
        <v/>
      </c>
      <c r="BH11" s="24">
        <f>IF(BH10=0,0,SUM($D10:BH10)-SUM($D12:BG12))</f>
        <v/>
      </c>
      <c r="BI11" s="24">
        <f>IF(BI10=0,0,SUM($D10:BI10)-SUM($D12:BH12))</f>
        <v/>
      </c>
      <c r="BJ11" s="24">
        <f>IF(BJ10=0,0,SUM($D10:BJ10)-SUM($D12:BI12))</f>
        <v/>
      </c>
      <c r="BK11" s="24">
        <f>IF(BK10=0,0,SUM($D10:BK10)-SUM($D12:BJ12))</f>
        <v/>
      </c>
      <c r="BL11" s="24">
        <f>IF(BL10=0,0,SUM($D10:BL10)-SUM($D12:BK12))</f>
        <v/>
      </c>
      <c r="BM11" s="24">
        <f>IF(BM10=0,0,SUM($D10:BM10)-SUM($D12:BL12))</f>
        <v/>
      </c>
      <c r="BN11" s="24">
        <f>IF(BN10=0,0,SUM($D10:BN10)-SUM($D12:BM12))</f>
        <v/>
      </c>
      <c r="BO11" s="24">
        <f>IF(BO10=0,0,SUM($D10:BO10)-SUM($D12:BN12))</f>
        <v/>
      </c>
      <c r="BP11" s="24">
        <f>IF(BP10=0,0,SUM($D10:BP10)-SUM($D12:BO12))</f>
        <v/>
      </c>
      <c r="BQ11" s="24">
        <f>IF(BQ10=0,0,SUM($D10:BQ10)-SUM($D12:BP12))</f>
        <v/>
      </c>
      <c r="BR11" s="24">
        <f>IF(BR10=0,0,SUM($D10:BR10)-SUM($D12:BQ12))</f>
        <v/>
      </c>
      <c r="BS11" s="24">
        <f>IF(BS10=0,0,SUM($D10:BS10)-SUM($D12:BR12))</f>
        <v/>
      </c>
      <c r="BT11" s="24">
        <f>IF(BT10=0,0,SUM($D10:BT10)-SUM($D12:BS12))</f>
        <v/>
      </c>
      <c r="BU11" s="24">
        <f>IF(BU10=0,0,SUM($D10:BU10)-SUM($D12:BT12))</f>
        <v/>
      </c>
      <c r="BV11" s="24">
        <f>IF(BV10=0,0,SUM($D10:BV10)-SUM($D12:BU12))</f>
        <v/>
      </c>
      <c r="BW11" s="24">
        <f>IF(BW10=0,0,SUM($D10:BW10)-SUM($D12:BV12))</f>
        <v/>
      </c>
      <c r="BX11" s="24">
        <f>IF(BX10=0,0,SUM($D10:BX10)-SUM($D12:BW12))</f>
        <v/>
      </c>
      <c r="BY11" s="24">
        <f>IF(BY10=0,0,SUM($D10:BY10)-SUM($D12:BX12))</f>
        <v/>
      </c>
      <c r="BZ11" s="24">
        <f>IF(BZ10=0,0,SUM($D10:BZ10)-SUM($D12:BY12))</f>
        <v/>
      </c>
      <c r="CA11" s="24">
        <f>IF(CA10=0,0,SUM($D10:CA10)-SUM($D12:BZ12))</f>
        <v/>
      </c>
      <c r="CB11" s="24">
        <f>IF(CB10=0,0,SUM($D10:CB10)-SUM($D12:CA12))</f>
        <v/>
      </c>
      <c r="CC11" s="24">
        <f>IF(CC10=0,0,SUM($D10:CC10)-SUM($D12:CB12))</f>
        <v/>
      </c>
      <c r="CD11" s="24">
        <f>IF(CD10=0,0,SUM($D10:CD10)-SUM($D12:CC12))</f>
        <v/>
      </c>
      <c r="CE11" s="24">
        <f>IF(CE10=0,0,SUM($D10:CE10)-SUM($D12:CD12))</f>
        <v/>
      </c>
      <c r="CF11" s="24">
        <f>IF(CF10=0,0,SUM($D10:CF10)-SUM($D12:CE12))</f>
        <v/>
      </c>
      <c r="CG11" s="24">
        <f>IF(CG10=0,0,SUM($D10:CG10)-SUM($D12:CF12))</f>
        <v/>
      </c>
      <c r="CH11" s="24">
        <f>IF(CH10=0,0,SUM($D10:CH10)-SUM($D12:CG12))</f>
        <v/>
      </c>
      <c r="CI11" s="24">
        <f>IF(CI10=0,0,SUM($D10:CI10)-SUM($D12:CH12))</f>
        <v/>
      </c>
      <c r="CJ11" s="24">
        <f>IF(CJ10=0,0,SUM($D10:CJ10)-SUM($D12:CI12))</f>
        <v/>
      </c>
      <c r="CK11" s="24">
        <f>IF(CK10=0,0,SUM($D10:CK10)-SUM($D12:CJ12))</f>
        <v/>
      </c>
      <c r="CL11" s="24">
        <f>IF(CL10=0,0,SUM($D10:CL10)-SUM($D12:CK12))</f>
        <v/>
      </c>
      <c r="CM11" s="24">
        <f>IF(CM10=0,0,SUM($D10:CM10)-SUM($D12:CL12))</f>
        <v/>
      </c>
      <c r="CN11" s="24">
        <f>IF(CN10=0,0,SUM($D10:CN10)-SUM($D12:CM12))</f>
        <v/>
      </c>
      <c r="CO11" s="24">
        <f>IF(CO10=0,0,SUM($D10:CO10)-SUM($D12:CN12))</f>
        <v/>
      </c>
      <c r="CP11" s="24">
        <f>IF(CP10=0,0,SUM($D10:CP10)-SUM($D12:CO12))</f>
        <v/>
      </c>
      <c r="CQ11" s="24">
        <f>IF(CQ10=0,0,SUM($D10:CQ10)-SUM($D12:CP12))</f>
        <v/>
      </c>
      <c r="CR11" s="24">
        <f>IF(CR10=0,0,SUM($D10:CR10)-SUM($D12:CQ12))</f>
        <v/>
      </c>
      <c r="CS11" s="24">
        <f>IF(CS10=0,0,SUM($D10:CS10)-SUM($D12:CR12))</f>
        <v/>
      </c>
      <c r="CT11" s="24">
        <f>IF(CT10=0,0,SUM($D10:CT10)-SUM($D12:CS12))</f>
        <v/>
      </c>
      <c r="CU11" s="24">
        <f>IF(CU10=0,0,SUM($D10:CU10)-SUM($D12:CT12))</f>
        <v/>
      </c>
      <c r="CV11" s="24">
        <f>IF(CV10=0,0,SUM($D10:CV10)-SUM($D12:CU12))</f>
        <v/>
      </c>
      <c r="CW11" s="24">
        <f>IF(CW10=0,0,SUM($D10:CW10)-SUM($D12:CV12))</f>
        <v/>
      </c>
      <c r="CX11" s="24">
        <f>IF(CX10=0,0,SUM($D10:CX10)-SUM($D12:CW12))</f>
        <v/>
      </c>
      <c r="CY11" s="24">
        <f>IF(CY10=0,0,SUM($D10:CY10)-SUM($D12:CX12))</f>
        <v/>
      </c>
      <c r="CZ11" s="24">
        <f>IF(CZ10=0,0,SUM($D10:CZ10)-SUM($D12:CY12))</f>
        <v/>
      </c>
      <c r="DA11" s="24">
        <f>IF(DA10=0,0,SUM($D10:DA10)-SUM($D12:CZ12))</f>
        <v/>
      </c>
      <c r="DB11" s="24">
        <f>IF(DB10=0,0,SUM($D10:DB10)-SUM($D12:DA12))</f>
        <v/>
      </c>
      <c r="DC11" s="24">
        <f>IF(DC10=0,0,SUM($D10:DC10)-SUM($D12:DB12))</f>
        <v/>
      </c>
      <c r="DD11" s="24">
        <f>IF(DD10=0,0,SUM($D10:DD10)-SUM($D12:DC12))</f>
        <v/>
      </c>
      <c r="DE11" s="24">
        <f>IF(DE10=0,0,SUM($D10:DE10)-SUM($D12:DD12))</f>
        <v/>
      </c>
      <c r="DF11" s="24">
        <f>IF(DF10=0,0,SUM($D10:DF10)-SUM($D12:DE12))</f>
        <v/>
      </c>
      <c r="DG11" s="24">
        <f>IF(DG10=0,0,SUM($D10:DG10)-SUM($D12:DF12))</f>
        <v/>
      </c>
      <c r="DH11" s="24">
        <f>IF(DH10=0,0,SUM($D10:DH10)-SUM($D12:DG12))</f>
        <v/>
      </c>
      <c r="DI11" s="24">
        <f>IF(DI10=0,0,SUM($D10:DI10)-SUM($D12:DH12))</f>
        <v/>
      </c>
      <c r="DJ11" s="24">
        <f>IF(DJ10=0,0,SUM($D10:DJ10)-SUM($D12:DI12))</f>
        <v/>
      </c>
      <c r="DK11" s="24">
        <f>IF(DK10=0,0,SUM($D10:DK10)-SUM($D12:DJ12))</f>
        <v/>
      </c>
      <c r="DL11" s="24">
        <f>IF(DL10=0,0,SUM($D10:DL10)-SUM($D12:DK12))</f>
        <v/>
      </c>
      <c r="DM11" s="24">
        <f>IF(DM10=0,0,SUM($D10:DM10)-SUM($D12:DL12))</f>
        <v/>
      </c>
      <c r="DN11" s="24">
        <f>IF(DN10=0,0,SUM($D10:DN10)-SUM($D12:DM12))</f>
        <v/>
      </c>
      <c r="DO11" s="24">
        <f>IF(DO10=0,0,SUM($D10:DO10)-SUM($D12:DN12))</f>
        <v/>
      </c>
      <c r="DP11" s="24">
        <f>IF(DP10=0,0,SUM($D10:DP10)-SUM($D12:DO12))</f>
        <v/>
      </c>
      <c r="DQ11" s="24">
        <f>IF(DQ10=0,0,SUM($D10:DQ10)-SUM($D12:DP12))</f>
        <v/>
      </c>
      <c r="DR11" s="24">
        <f>IF(DR10=0,0,SUM($D10:DR10)-SUM($D12:DQ12))</f>
        <v/>
      </c>
      <c r="DS11" s="24">
        <f>IF(DS10=0,0,SUM($D10:DS10)-SUM($D12:DR12))</f>
        <v/>
      </c>
      <c r="DT11" s="24">
        <f>IF(DT10=0,0,SUM($D10:DT10)-SUM($D12:DS12))</f>
        <v/>
      </c>
      <c r="DU11" s="24">
        <f>IF(DU10=0,0,SUM($D10:DU10)-SUM($D12:DT12))</f>
        <v/>
      </c>
      <c r="DV11" s="24">
        <f>IF(DV10=0,0,SUM($D10:DV10)-SUM($D12:DU12))</f>
        <v/>
      </c>
      <c r="DW11" s="24">
        <f>IF(DW10=0,0,SUM($D10:DW10)-SUM($D12:DV12))</f>
        <v/>
      </c>
      <c r="DX11" s="24">
        <f>IF(DX10=0,0,SUM($D10:DX10)-SUM($D12:DW12))</f>
        <v/>
      </c>
      <c r="DY11" s="24">
        <f>IF(DY10=0,0,SUM($D10:DY10)-SUM($D12:DX12))</f>
        <v/>
      </c>
      <c r="DZ11" s="24">
        <f>IF(DZ10=0,0,SUM($D10:DZ10)-SUM($D12:DY12))</f>
        <v/>
      </c>
      <c r="EA11" s="24">
        <f>IF(EA10=0,0,SUM($D10:EA10)-SUM($D12:DZ12))</f>
        <v/>
      </c>
      <c r="EB11" s="24">
        <f>IF(EB10=0,0,SUM($D10:EB10)-SUM($D12:EA12))</f>
        <v/>
      </c>
      <c r="EC11" s="24">
        <f>IF(EC10=0,0,SUM($D10:EC10)-SUM($D12:EB12))</f>
        <v/>
      </c>
      <c r="ED11" s="24">
        <f>IF(ED10=0,0,SUM($D10:ED10)-SUM($D12:EC12))</f>
        <v/>
      </c>
      <c r="EE11" s="24">
        <f>IF(EE10=0,0,SUM($D10:EE10)-SUM($D12:ED12))</f>
        <v/>
      </c>
      <c r="EF11" s="24">
        <f>IF(EF10=0,0,SUM($D10:EF10)-SUM($D12:EE12))</f>
        <v/>
      </c>
      <c r="EG11" s="24">
        <f>IF(EG10=0,0,SUM($D10:EG10)-SUM($D12:EF12))</f>
        <v/>
      </c>
      <c r="EH11" s="24">
        <f>IF(EH10=0,0,SUM($D10:EH10)-SUM($D12:EG12))</f>
        <v/>
      </c>
      <c r="EI11" s="24">
        <f>IF(EI10=0,0,SUM($D10:EI10)-SUM($D12:EH12))</f>
        <v/>
      </c>
      <c r="EJ11" s="24">
        <f>IF(EJ10=0,0,SUM($D10:EJ10)-SUM($D12:EI12))</f>
        <v/>
      </c>
      <c r="EK11" s="24">
        <f>IF(EK10=0,0,SUM($D10:EK10)-SUM($D12:EJ12))</f>
        <v/>
      </c>
      <c r="EL11" s="24">
        <f>IF(EL10=0,0,SUM($D10:EL10)-SUM($D12:EK12))</f>
        <v/>
      </c>
      <c r="EM11" s="24">
        <f>IF(EM10=0,0,SUM($D10:EM10)-SUM($D12:EL12))</f>
        <v/>
      </c>
      <c r="EN11" s="24">
        <f>IF(EN10=0,0,SUM($D10:EN10)-SUM($D12:EM12))</f>
        <v/>
      </c>
      <c r="EO11" s="24">
        <f>IF(EO10=0,0,SUM($D10:EO10)-SUM($D12:EN12))</f>
        <v/>
      </c>
      <c r="EP11" s="24">
        <f>IF(EP10=0,0,SUM($D10:EP10)-SUM($D12:EO12))</f>
        <v/>
      </c>
      <c r="EQ11" s="24">
        <f>IF(EQ10=0,0,SUM($D10:EQ10)-SUM($D12:EP12))</f>
        <v/>
      </c>
      <c r="ER11" s="24">
        <f>IF(ER10=0,0,SUM($D10:ER10)-SUM($D12:EQ12))</f>
        <v/>
      </c>
      <c r="ES11" s="24">
        <f>IF(ES10=0,0,SUM($D10:ES10)-SUM($D12:ER12))</f>
        <v/>
      </c>
      <c r="ET11" s="24">
        <f>IF(ET10=0,0,SUM($D10:ET10)-SUM($D12:ES12))</f>
        <v/>
      </c>
      <c r="EU11" s="24">
        <f>IF(EU10=0,0,SUM($D10:EU10)-SUM($D12:ET12))</f>
        <v/>
      </c>
      <c r="EV11" s="24">
        <f>IF(EV10=0,0,SUM($D10:EV10)-SUM($D12:EU12))</f>
        <v/>
      </c>
      <c r="EW11" s="24">
        <f>IF(EW10=0,0,SUM($D10:EW10)-SUM($D12:EV12))</f>
        <v/>
      </c>
      <c r="EX11" s="24">
        <f>IF(EX10=0,0,SUM($D10:EX10)-SUM($D12:EW12))</f>
        <v/>
      </c>
      <c r="EY11" s="24">
        <f>IF(EY10=0,0,SUM($D10:EY10)-SUM($D12:EX12))</f>
        <v/>
      </c>
      <c r="EZ11" s="24">
        <f>IF(EZ10=0,0,SUM($D10:EZ10)-SUM($D12:EY12))</f>
        <v/>
      </c>
      <c r="FA11" s="24">
        <f>IF(FA10=0,0,SUM($D10:FA10)-SUM($D12:EZ12))</f>
        <v/>
      </c>
      <c r="FB11" s="24">
        <f>IF(FB10=0,0,SUM($D10:FB10)-SUM($D12:FA12))</f>
        <v/>
      </c>
      <c r="FC11" s="24">
        <f>IF(FC10=0,0,SUM($D10:FC10)-SUM($D12:FB12))</f>
        <v/>
      </c>
      <c r="FD11" s="24">
        <f>IF(FD10=0,0,SUM($D10:FD10)-SUM($D12:FC12))</f>
        <v/>
      </c>
      <c r="FE11" s="24">
        <f>IF(FE10=0,0,SUM($D10:FE10)-SUM($D12:FD12))</f>
        <v/>
      </c>
      <c r="FF11" s="24">
        <f>IF(FF10=0,0,SUM($D10:FF10)-SUM($D12:FE12))</f>
        <v/>
      </c>
      <c r="FG11" s="24">
        <f>IF(FG10=0,0,SUM($D10:FG10)-SUM($D12:FF12))</f>
        <v/>
      </c>
      <c r="FH11" s="24">
        <f>IF(FH10=0,0,SUM($D10:FH10)-SUM($D12:FG12))</f>
        <v/>
      </c>
      <c r="FI11" s="24">
        <f>IF(FI10=0,0,SUM($D10:FI10)-SUM($D12:FH12))</f>
        <v/>
      </c>
      <c r="FJ11" s="24">
        <f>IF(FJ10=0,0,SUM($D10:FJ10)-SUM($D12:FI12))</f>
        <v/>
      </c>
      <c r="FK11" s="24">
        <f>IF(FK10=0,0,SUM($D10:FK10)-SUM($D12:FJ12))</f>
        <v/>
      </c>
      <c r="FL11" s="24">
        <f>IF(FL10=0,0,SUM($D10:FL10)-SUM($D12:FK12))</f>
        <v/>
      </c>
      <c r="FM11" s="24">
        <f>IF(FM10=0,0,SUM($D10:FM10)-SUM($D12:FL12))</f>
        <v/>
      </c>
      <c r="FN11" s="24">
        <f>IF(FN10=0,0,SUM($D10:FN10)-SUM($D12:FM12))</f>
        <v/>
      </c>
      <c r="FO11" s="24">
        <f>IF(FO10=0,0,SUM($D10:FO10)-SUM($D12:FN12))</f>
        <v/>
      </c>
      <c r="FP11" s="24">
        <f>IF(FP10=0,0,SUM($D10:FP10)-SUM($D12:FO12))</f>
        <v/>
      </c>
      <c r="FQ11" s="24">
        <f>IF(FQ10=0,0,SUM($D10:FQ10)-SUM($D12:FP12))</f>
        <v/>
      </c>
      <c r="FR11" s="24">
        <f>IF(FR10=0,0,SUM($D10:FR10)-SUM($D12:FQ12))</f>
        <v/>
      </c>
      <c r="FS11" s="24">
        <f>IF(FS10=0,0,SUM($D10:FS10)-SUM($D12:FR12))</f>
        <v/>
      </c>
      <c r="FT11" s="24">
        <f>IF(FT10=0,0,SUM($D10:FT10)-SUM($D12:FS12))</f>
        <v/>
      </c>
      <c r="FU11" s="24">
        <f>IF(FU10=0,0,SUM($D10:FU10)-SUM($D12:FT12))</f>
        <v/>
      </c>
      <c r="FV11" s="24">
        <f>IF(FV10=0,0,SUM($D10:FV10)-SUM($D12:FU12))</f>
        <v/>
      </c>
      <c r="FW11" s="24">
        <f>IF(FW10=0,0,SUM($D10:FW10)-SUM($D12:FV12))</f>
        <v/>
      </c>
      <c r="FX11" s="24">
        <f>IF(FX10=0,0,SUM($D10:FX10)-SUM($D12:FW12))</f>
        <v/>
      </c>
      <c r="FY11" s="24">
        <f>IF(FY10=0,0,SUM($D10:FY10)-SUM($D12:FX12))</f>
        <v/>
      </c>
      <c r="FZ11" s="24">
        <f>IF(FZ10=0,0,SUM($D10:FZ10)-SUM($D12:FY12))</f>
        <v/>
      </c>
      <c r="GA11" s="24">
        <f>IF(GA10=0,0,SUM($D10:GA10)-SUM($D12:FZ12))</f>
        <v/>
      </c>
      <c r="GB11" s="24">
        <f>IF(GB10=0,0,SUM($D10:GB10)-SUM($D12:GA12))</f>
        <v/>
      </c>
      <c r="GC11" s="24">
        <f>IF(GC10=0,0,SUM($D10:GC10)-SUM($D12:GB12))</f>
        <v/>
      </c>
      <c r="GD11" s="24">
        <f>IF(GD10=0,0,SUM($D10:GD10)-SUM($D12:GC12))</f>
        <v/>
      </c>
      <c r="GE11" s="24">
        <f>IF(GE10=0,0,SUM($D10:GE10)-SUM($D12:GD12))</f>
        <v/>
      </c>
      <c r="GF11" s="24">
        <f>IF(GF10=0,0,SUM($D10:GF10)-SUM($D12:GE12))</f>
        <v/>
      </c>
      <c r="GG11" s="24">
        <f>IF(GG10=0,0,SUM($D10:GG10)-SUM($D12:GF12))</f>
        <v/>
      </c>
      <c r="GH11" s="24">
        <f>IF(GH10=0,0,SUM($D10:GH10)-SUM($D12:GG12))</f>
        <v/>
      </c>
      <c r="GI11" s="24">
        <f>IF(GI10=0,0,SUM($D10:GI10)-SUM($D12:GH12))</f>
        <v/>
      </c>
      <c r="GJ11" s="24">
        <f>IF(GJ10=0,0,SUM($D10:GJ10)-SUM($D12:GI12))</f>
        <v/>
      </c>
      <c r="GK11" s="24">
        <f>IF(GK10=0,0,SUM($D10:GK10)-SUM($D12:GJ12))</f>
        <v/>
      </c>
      <c r="GL11" s="24">
        <f>IF(GL10=0,0,SUM($D10:GL10)-SUM($D12:GK12))</f>
        <v/>
      </c>
      <c r="GM11" s="24">
        <f>IF(GM10=0,0,SUM($D10:GM10)-SUM($D12:GL12))</f>
        <v/>
      </c>
      <c r="GN11" s="24">
        <f>IF(GN10=0,0,SUM($D10:GN10)-SUM($D12:GM12))</f>
        <v/>
      </c>
      <c r="GO11" s="24">
        <f>IF(GO10=0,0,SUM($D10:GO10)-SUM($D12:GN12))</f>
        <v/>
      </c>
      <c r="GP11" s="24">
        <f>IF(GP10=0,0,SUM($D10:GP10)-SUM($D12:GO12))</f>
        <v/>
      </c>
      <c r="GQ11" s="24">
        <f>IF(GQ10=0,0,SUM($D10:GQ10)-SUM($D12:GP12))</f>
        <v/>
      </c>
      <c r="GR11" s="24">
        <f>IF(GR10=0,0,SUM($D10:GR10)-SUM($D12:GQ12))</f>
        <v/>
      </c>
      <c r="GS11" s="24">
        <f>IF(GS10=0,0,SUM($D10:GS10)-SUM($D12:GR12))</f>
        <v/>
      </c>
      <c r="GT11" s="24">
        <f>IF(GT10=0,0,SUM($D10:GT10)-SUM($D12:GS12))</f>
        <v/>
      </c>
      <c r="GU11" s="24">
        <f>IF(GU10=0,0,SUM($D10:GU10)-SUM($D12:GT12))</f>
        <v/>
      </c>
      <c r="GV11" s="24">
        <f>IF(GV10=0,0,SUM($D10:GV10)-SUM($D12:GU12))</f>
        <v/>
      </c>
      <c r="GW11" s="24">
        <f>IF(GW10=0,0,SUM($D10:GW10)-SUM($D12:GV12))</f>
        <v/>
      </c>
      <c r="GX11" s="24">
        <f>IF(GX10=0,0,SUM($D10:GX10)-SUM($D12:GW12))</f>
        <v/>
      </c>
      <c r="GY11" s="24">
        <f>IF(GY10=0,0,SUM($D10:GY10)-SUM($D12:GX12))</f>
        <v/>
      </c>
      <c r="GZ11" s="24">
        <f>IF(GZ10=0,0,SUM($D10:GZ10)-SUM($D12:GY12))</f>
        <v/>
      </c>
      <c r="HA11" s="24">
        <f>IF(HA10=0,0,SUM($D10:HA10)-SUM($D12:GZ12))</f>
        <v/>
      </c>
      <c r="HB11" s="24">
        <f>IF(HB10=0,0,SUM($D10:HB10)-SUM($D12:HA12))</f>
        <v/>
      </c>
      <c r="HC11" s="24">
        <f>IF(HC10=0,0,SUM($D10:HC10)-SUM($D12:HB12))</f>
        <v/>
      </c>
      <c r="HD11" s="24">
        <f>IF(HD10=0,0,SUM($D10:HD10)-SUM($D12:HC12))</f>
        <v/>
      </c>
      <c r="HE11" s="24">
        <f>IF(HE10=0,0,SUM($D10:HE10)-SUM($D12:HD12))</f>
        <v/>
      </c>
      <c r="HF11" s="24">
        <f>IF(HF10=0,0,SUM($D10:HF10)-SUM($D12:HE12))</f>
        <v/>
      </c>
      <c r="HG11" s="24">
        <f>IF(HG10=0,0,SUM($D10:HG10)-SUM($D12:HF12))</f>
        <v/>
      </c>
      <c r="HH11" s="24">
        <f>IF(HH10=0,0,SUM($D10:HH10)-SUM($D12:HG12))</f>
        <v/>
      </c>
      <c r="HI11" s="24">
        <f>IF(HI10=0,0,SUM($D10:HI10)-SUM($D12:HH12))</f>
        <v/>
      </c>
      <c r="HJ11" s="24">
        <f>IF(HJ10=0,0,SUM($D10:HJ10)-SUM($D12:HI12))</f>
        <v/>
      </c>
      <c r="HK11" s="24">
        <f>IF(HK10=0,0,SUM($D10:HK10)-SUM($D12:HJ12))</f>
        <v/>
      </c>
      <c r="HL11" s="24">
        <f>IF(HL10=0,0,SUM($D10:HL10)-SUM($D12:HK12))</f>
        <v/>
      </c>
      <c r="HM11" s="24">
        <f>IF(HM10=0,0,SUM($D10:HM10)-SUM($D12:HL12))</f>
        <v/>
      </c>
      <c r="HN11" s="24">
        <f>IF(HN10=0,0,SUM($D10:HN10)-SUM($D12:HM12))</f>
        <v/>
      </c>
      <c r="HO11" s="24">
        <f>IF(HO10=0,0,SUM($D10:HO10)-SUM($D12:HN12))</f>
        <v/>
      </c>
      <c r="HP11" s="24">
        <f>IF(HP10=0,0,SUM($D10:HP10)-SUM($D12:HO12))</f>
        <v/>
      </c>
      <c r="HQ11" s="24">
        <f>IF(HQ10=0,0,SUM($D10:HQ10)-SUM($D12:HP12))</f>
        <v/>
      </c>
      <c r="HR11" s="24">
        <f>IF(HR10=0,0,SUM($D10:HR10)-SUM($D12:HQ12))</f>
        <v/>
      </c>
      <c r="HS11" s="24">
        <f>IF(HS10=0,0,SUM($D10:HS10)-SUM($D12:HR12))</f>
        <v/>
      </c>
      <c r="HT11" s="24">
        <f>IF(HT10=0,0,SUM($D10:HT10)-SUM($D12:HS12))</f>
        <v/>
      </c>
      <c r="HU11" s="24">
        <f>IF(HU10=0,0,SUM($D10:HU10)-SUM($D12:HT12))</f>
        <v/>
      </c>
      <c r="HV11" s="24">
        <f>IF(HV10=0,0,SUM($D10:HV10)-SUM($D12:HU12))</f>
        <v/>
      </c>
      <c r="HW11" s="24">
        <f>IF(HW10=0,0,SUM($D10:HW10)-SUM($D12:HV12))</f>
        <v/>
      </c>
      <c r="HX11" s="24">
        <f>IF(HX10=0,0,SUM($D10:HX10)-SUM($D12:HW12))</f>
        <v/>
      </c>
      <c r="HY11" s="24">
        <f>IF(HY10=0,0,SUM($D10:HY10)-SUM($D12:HX12))</f>
        <v/>
      </c>
      <c r="HZ11" s="24">
        <f>IF(HZ10=0,0,SUM($D10:HZ10)-SUM($D12:HY12))</f>
        <v/>
      </c>
      <c r="IA11" s="24">
        <f>IF(IA10=0,0,SUM($D10:IA10)-SUM($D12:HZ12))</f>
        <v/>
      </c>
      <c r="IB11" s="24">
        <f>IF(IB10=0,0,SUM($D10:IB10)-SUM($D12:IA12))</f>
        <v/>
      </c>
      <c r="IC11" s="24">
        <f>IF(IC10=0,0,SUM($D10:IC10)-SUM($D12:IB12))</f>
        <v/>
      </c>
      <c r="ID11" s="24">
        <f>IF(ID10=0,0,SUM($D10:ID10)-SUM($D12:IC12))</f>
        <v/>
      </c>
      <c r="IE11" s="24">
        <f>IF(IE10=0,0,SUM($D10:IE10)-SUM($D12:ID12))</f>
        <v/>
      </c>
      <c r="IF11" s="24">
        <f>IF(IF10=0,0,SUM($D10:IF10)-SUM($D12:IE12))</f>
        <v/>
      </c>
      <c r="IG11" s="24">
        <f>IF(IG10=0,0,SUM($D10:IG10)-SUM($D12:IF12))</f>
        <v/>
      </c>
      <c r="IH11" s="24">
        <f>IF(IH10=0,0,SUM($D10:IH10)-SUM($D12:IG12))</f>
        <v/>
      </c>
      <c r="II11" s="24">
        <f>IF(II10=0,0,SUM($D10:II10)-SUM($D12:IH12))</f>
        <v/>
      </c>
      <c r="IJ11" s="24">
        <f>IF(IJ10=0,0,SUM($D10:IJ10)-SUM($D12:II12))</f>
        <v/>
      </c>
      <c r="IK11" s="24">
        <f>IF(IK10=0,0,SUM($D10:IK10)-SUM($D12:IJ12))</f>
        <v/>
      </c>
      <c r="IL11" s="24">
        <f>IF(IL10=0,0,SUM($D10:IL10)-SUM($D12:IK12))</f>
        <v/>
      </c>
      <c r="IM11" s="24">
        <f>IF(IM10=0,0,SUM($D10:IM10)-SUM($D12:IL12))</f>
        <v/>
      </c>
      <c r="IN11" s="24">
        <f>IF(IN10=0,0,SUM($D10:IN10)-SUM($D12:IM12))</f>
        <v/>
      </c>
      <c r="IO11" s="24">
        <f>IF(IO10=0,0,SUM($D10:IO10)-SUM($D12:IN12))</f>
        <v/>
      </c>
      <c r="IP11" s="24">
        <f>IF(IP10=0,0,SUM($D10:IP10)-SUM($D12:IO12))</f>
        <v/>
      </c>
      <c r="IQ11" s="24">
        <f>IF(IQ10=0,0,SUM($D10:IQ10)-SUM($D12:IP12))</f>
        <v/>
      </c>
      <c r="IR11" s="24">
        <f>IF(IR10=0,0,SUM($D10:IR10)-SUM($D12:IQ12))</f>
        <v/>
      </c>
      <c r="IS11" s="24">
        <f>IF(IS10=0,0,SUM($D10:IS10)-SUM($D12:IR12))</f>
        <v/>
      </c>
      <c r="IT11" s="24">
        <f>IF(IT10=0,0,SUM($D10:IT10)-SUM($D12:IS12))</f>
        <v/>
      </c>
      <c r="IU11" s="24">
        <f>IF(IU10=0,0,SUM($D10:IU10)-SUM($D12:IT12))</f>
        <v/>
      </c>
      <c r="IV11" s="24">
        <f>IF(IV10=0,0,SUM($D10:IV10)-SUM($D12:IU12))</f>
        <v/>
      </c>
      <c r="IW11" s="24">
        <f>IF(IW10=0,0,SUM($D10:IW10)-SUM($D12:IV12))</f>
        <v/>
      </c>
      <c r="IX11" s="24">
        <f>IF(IX10=0,0,SUM($D10:IX10)-SUM($D12:IW12))</f>
        <v/>
      </c>
      <c r="IY11" s="24">
        <f>IF(IY10=0,0,SUM($D10:IY10)-SUM($D12:IX12))</f>
        <v/>
      </c>
      <c r="IZ11" s="24">
        <f>IF(IZ10=0,0,SUM($D10:IZ10)-SUM($D12:IY12))</f>
        <v/>
      </c>
      <c r="JA11" s="24">
        <f>IF(JA10=0,0,SUM($D10:JA10)-SUM($D12:IZ12))</f>
        <v/>
      </c>
      <c r="JB11" s="24">
        <f>IF(JB10=0,0,SUM($D10:JB10)-SUM($D12:JA12))</f>
        <v/>
      </c>
      <c r="JC11" s="24">
        <f>IF(JC10=0,0,SUM($D10:JC10)-SUM($D12:JB12))</f>
        <v/>
      </c>
      <c r="JD11" s="24">
        <f>IF(JD10=0,0,SUM($D10:JD10)-SUM($D12:JC12))</f>
        <v/>
      </c>
      <c r="JE11" s="24">
        <f>IF(JE10=0,0,SUM($D10:JE10)-SUM($D12:JD12))</f>
        <v/>
      </c>
      <c r="JF11" s="24">
        <f>IF(JF10=0,0,SUM($D10:JF10)-SUM($D12:JE12))</f>
        <v/>
      </c>
      <c r="JG11" s="24">
        <f>IF(JG10=0,0,SUM($D10:JG10)-SUM($D12:JF12))</f>
        <v/>
      </c>
      <c r="JH11" s="24">
        <f>IF(JH10=0,0,SUM($D10:JH10)-SUM($D12:JG12))</f>
        <v/>
      </c>
      <c r="JI11" s="24">
        <f>IF(JI10=0,0,SUM($D10:JI10)-SUM($D12:JH12))</f>
        <v/>
      </c>
      <c r="JJ11" s="24">
        <f>IF(JJ10=0,0,SUM($D10:JJ10)-SUM($D12:JI12))</f>
        <v/>
      </c>
      <c r="JK11" s="24">
        <f>IF(JK10=0,0,SUM($D10:JK10)-SUM($D12:JJ12))</f>
        <v/>
      </c>
      <c r="JL11" s="24">
        <f>IF(JL10=0,0,SUM($D10:JL10)-SUM($D12:JK12))</f>
        <v/>
      </c>
      <c r="JM11" s="24">
        <f>IF(JM10=0,0,SUM($D10:JM10)-SUM($D12:JL12))</f>
        <v/>
      </c>
      <c r="JN11" s="24">
        <f>IF(JN10=0,0,SUM($D10:JN10)-SUM($D12:JM12))</f>
        <v/>
      </c>
      <c r="JO11" s="24">
        <f>IF(JO10=0,0,SUM($D10:JO10)-SUM($D12:JN12))</f>
        <v/>
      </c>
      <c r="JP11" s="24">
        <f>IF(JP10=0,0,SUM($D10:JP10)-SUM($D12:JO12))</f>
        <v/>
      </c>
      <c r="JQ11" s="24">
        <f>IF(JQ10=0,0,SUM($D10:JQ10)-SUM($D12:JP12))</f>
        <v/>
      </c>
      <c r="JR11" s="24">
        <f>IF(JR10=0,0,SUM($D10:JR10)-SUM($D12:JQ12))</f>
        <v/>
      </c>
      <c r="JS11" s="24">
        <f>IF(JS10=0,0,SUM($D10:JS10)-SUM($D12:JR12))</f>
        <v/>
      </c>
      <c r="JT11" s="24">
        <f>IF(JT10=0,0,SUM($D10:JT10)-SUM($D12:JS12))</f>
        <v/>
      </c>
      <c r="JU11" s="24">
        <f>IF(JU10=0,0,SUM($D10:JU10)-SUM($D12:JT12))</f>
        <v/>
      </c>
      <c r="JV11" s="24">
        <f>IF(JV10=0,0,SUM($D10:JV10)-SUM($D12:JU12))</f>
        <v/>
      </c>
      <c r="JW11" s="24">
        <f>IF(JW10=0,0,SUM($D10:JW10)-SUM($D12:JV12))</f>
        <v/>
      </c>
      <c r="JX11" s="24">
        <f>IF(JX10=0,0,SUM($D10:JX10)-SUM($D12:JW12))</f>
        <v/>
      </c>
      <c r="JY11" s="24">
        <f>IF(JY10=0,0,SUM($D10:JY10)-SUM($D12:JX12))</f>
        <v/>
      </c>
      <c r="JZ11" s="24">
        <f>IF(JZ10=0,0,SUM($D10:JZ10)-SUM($D12:JY12))</f>
        <v/>
      </c>
      <c r="KA11" s="24">
        <f>IF(KA10=0,0,SUM($D10:KA10)-SUM($D12:JZ12))</f>
        <v/>
      </c>
      <c r="KB11" s="24">
        <f>IF(KB10=0,0,SUM($D10:KB10)-SUM($D12:KA12))</f>
        <v/>
      </c>
      <c r="KC11" s="24">
        <f>IF(KC10=0,0,SUM($D10:KC10)-SUM($D12:KB12))</f>
        <v/>
      </c>
      <c r="KD11" s="24">
        <f>IF(KD10=0,0,SUM($D10:KD10)-SUM($D12:KC12))</f>
        <v/>
      </c>
      <c r="KE11" s="24">
        <f>IF(KE10=0,0,SUM($D10:KE10)-SUM($D12:KD12))</f>
        <v/>
      </c>
      <c r="KF11" s="24">
        <f>IF(KF10=0,0,SUM($D10:KF10)-SUM($D12:KE12))</f>
        <v/>
      </c>
      <c r="KG11" s="24">
        <f>IF(KG10=0,0,SUM($D10:KG10)-SUM($D12:KF12))</f>
        <v/>
      </c>
      <c r="KH11" s="24">
        <f>IF(KH10=0,0,SUM($D10:KH10)-SUM($D12:KG12))</f>
        <v/>
      </c>
      <c r="KI11" s="24">
        <f>IF(KI10=0,0,SUM($D10:KI10)-SUM($D12:KH12))</f>
        <v/>
      </c>
      <c r="KJ11" s="24">
        <f>IF(KJ10=0,0,SUM($D10:KJ10)-SUM($D12:KI12))</f>
        <v/>
      </c>
      <c r="KK11" s="24">
        <f>IF(KK10=0,0,SUM($D10:KK10)-SUM($D12:KJ12))</f>
        <v/>
      </c>
      <c r="KL11" s="24">
        <f>IF(KL10=0,0,SUM($D10:KL10)-SUM($D12:KK12))</f>
        <v/>
      </c>
      <c r="KM11" s="24">
        <f>IF(KM10=0,0,SUM($D10:KM10)-SUM($D12:KL12))</f>
        <v/>
      </c>
      <c r="KN11" s="24">
        <f>IF(KN10=0,0,SUM($D10:KN10)-SUM($D12:KM12))</f>
        <v/>
      </c>
      <c r="KO11" s="24">
        <f>IF(KO10=0,0,SUM($D10:KO10)-SUM($D12:KN12))</f>
        <v/>
      </c>
      <c r="KP11" s="24">
        <f>IF(KP10=0,0,SUM($D10:KP10)-SUM($D12:KO12))</f>
        <v/>
      </c>
      <c r="KQ11" s="24">
        <f>IF(KQ10=0,0,SUM($D10:KQ10)-SUM($D12:KP12))</f>
        <v/>
      </c>
      <c r="KR11" s="24">
        <f>IF(KR10=0,0,SUM($D10:KR10)-SUM($D12:KQ12))</f>
        <v/>
      </c>
      <c r="KS11" s="24">
        <f>IF(KS10=0,0,SUM($D10:KS10)-SUM($D12:KR12))</f>
        <v/>
      </c>
      <c r="KT11" s="24">
        <f>IF(KT10=0,0,SUM($D10:KT10)-SUM($D12:KS12))</f>
        <v/>
      </c>
      <c r="KU11" s="24">
        <f>IF(KU10=0,0,SUM($D10:KU10)-SUM($D12:KT12))</f>
        <v/>
      </c>
      <c r="KV11" s="24">
        <f>IF(KV10=0,0,SUM($D10:KV10)-SUM($D12:KU12))</f>
        <v/>
      </c>
      <c r="KW11" s="24">
        <f>IF(KW10=0,0,SUM($D10:KW10)-SUM($D12:KV12))</f>
        <v/>
      </c>
      <c r="KX11" s="24">
        <f>IF(KX10=0,0,SUM($D10:KX10)-SUM($D12:KW12))</f>
        <v/>
      </c>
      <c r="KY11" s="24">
        <f>IF(KY10=0,0,SUM($D10:KY10)-SUM($D12:KX12))</f>
        <v/>
      </c>
      <c r="KZ11" s="24">
        <f>IF(KZ10=0,0,SUM($D10:KZ10)-SUM($D12:KY12))</f>
        <v/>
      </c>
      <c r="LA11" s="24">
        <f>IF(LA10=0,0,SUM($D10:LA10)-SUM($D12:KZ12))</f>
        <v/>
      </c>
      <c r="LB11" s="24">
        <f>IF(LB10=0,0,SUM($D10:LB10)-SUM($D12:LA12))</f>
        <v/>
      </c>
      <c r="LC11" s="24">
        <f>IF(LC10=0,0,SUM($D10:LC10)-SUM($D12:LB12))</f>
        <v/>
      </c>
      <c r="LD11" s="24">
        <f>IF(LD10=0,0,SUM($D10:LD10)-SUM($D12:LC12))</f>
        <v/>
      </c>
      <c r="LE11" s="24">
        <f>IF(LE10=0,0,SUM($D10:LE10)-SUM($D12:LD12))</f>
        <v/>
      </c>
      <c r="LF11" s="24">
        <f>IF(LF10=0,0,SUM($D10:LF10)-SUM($D12:LE12))</f>
        <v/>
      </c>
      <c r="LG11" s="24">
        <f>IF(LG10=0,0,SUM($D10:LG10)-SUM($D12:LF12))</f>
        <v/>
      </c>
      <c r="LH11" s="24">
        <f>IF(LH10=0,0,SUM($D10:LH10)-SUM($D12:LG12))</f>
        <v/>
      </c>
      <c r="LI11" s="24">
        <f>IF(LI10=0,0,SUM($D10:LI10)-SUM($D12:LH12))</f>
        <v/>
      </c>
    </row>
    <row r="12">
      <c r="B12" s="18" t="inlineStr">
        <is>
          <t>Ajuste liberado</t>
        </is>
      </c>
      <c r="D12" s="24">
        <f>IF(D11&gt;=p_gatillo,D11,0)</f>
        <v/>
      </c>
      <c r="E12" s="24">
        <f>IF(E11&gt;=p_gatillo,E11,0)</f>
        <v/>
      </c>
      <c r="F12" s="24">
        <f>IF(F11&gt;=p_gatillo,F11,0)</f>
        <v/>
      </c>
      <c r="G12" s="24">
        <f>IF(G11&gt;=p_gatillo,G11,0)</f>
        <v/>
      </c>
      <c r="H12" s="24">
        <f>IF(H11&gt;=p_gatillo,H11,0)</f>
        <v/>
      </c>
      <c r="I12" s="24">
        <f>IF(I11&gt;=p_gatillo,I11,0)</f>
        <v/>
      </c>
      <c r="J12" s="24">
        <f>IF(J11&gt;=p_gatillo,J11,0)</f>
        <v/>
      </c>
      <c r="K12" s="24">
        <f>IF(K11&gt;=p_gatillo,K11,0)</f>
        <v/>
      </c>
      <c r="L12" s="24">
        <f>IF(L11&gt;=p_gatillo,L11,0)</f>
        <v/>
      </c>
      <c r="M12" s="24">
        <f>IF(M11&gt;=p_gatillo,M11,0)</f>
        <v/>
      </c>
      <c r="N12" s="24">
        <f>IF(N11&gt;=p_gatillo,N11,0)</f>
        <v/>
      </c>
      <c r="O12" s="24">
        <f>IF(O11&gt;=p_gatillo,O11,0)</f>
        <v/>
      </c>
      <c r="P12" s="24">
        <f>IF(P11&gt;=p_gatillo,P11,0)</f>
        <v/>
      </c>
      <c r="Q12" s="24">
        <f>IF(Q11&gt;=p_gatillo,Q11,0)</f>
        <v/>
      </c>
      <c r="R12" s="24">
        <f>IF(R11&gt;=p_gatillo,R11,0)</f>
        <v/>
      </c>
      <c r="S12" s="24">
        <f>IF(S11&gt;=p_gatillo,S11,0)</f>
        <v/>
      </c>
      <c r="T12" s="24">
        <f>IF(T11&gt;=p_gatillo,T11,0)</f>
        <v/>
      </c>
      <c r="U12" s="24">
        <f>IF(U11&gt;=p_gatillo,U11,0)</f>
        <v/>
      </c>
      <c r="V12" s="24">
        <f>IF(V11&gt;=p_gatillo,V11,0)</f>
        <v/>
      </c>
      <c r="W12" s="24">
        <f>IF(W11&gt;=p_gatillo,W11,0)</f>
        <v/>
      </c>
      <c r="X12" s="24">
        <f>IF(X11&gt;=p_gatillo,X11,0)</f>
        <v/>
      </c>
      <c r="Y12" s="24">
        <f>IF(Y11&gt;=p_gatillo,Y11,0)</f>
        <v/>
      </c>
      <c r="Z12" s="24">
        <f>IF(Z11&gt;=p_gatillo,Z11,0)</f>
        <v/>
      </c>
      <c r="AA12" s="24">
        <f>IF(AA11&gt;=p_gatillo,AA11,0)</f>
        <v/>
      </c>
      <c r="AB12" s="24">
        <f>IF(AB11&gt;=p_gatillo,AB11,0)</f>
        <v/>
      </c>
      <c r="AC12" s="24">
        <f>IF(AC11&gt;=p_gatillo,AC11,0)</f>
        <v/>
      </c>
      <c r="AD12" s="24">
        <f>IF(AD11&gt;=p_gatillo,AD11,0)</f>
        <v/>
      </c>
      <c r="AE12" s="24">
        <f>IF(AE11&gt;=p_gatillo,AE11,0)</f>
        <v/>
      </c>
      <c r="AF12" s="24">
        <f>IF(AF11&gt;=p_gatillo,AF11,0)</f>
        <v/>
      </c>
      <c r="AG12" s="24">
        <f>IF(AG11&gt;=p_gatillo,AG11,0)</f>
        <v/>
      </c>
      <c r="AH12" s="24">
        <f>IF(AH11&gt;=p_gatillo,AH11,0)</f>
        <v/>
      </c>
      <c r="AI12" s="24">
        <f>IF(AI11&gt;=p_gatillo,AI11,0)</f>
        <v/>
      </c>
      <c r="AJ12" s="24">
        <f>IF(AJ11&gt;=p_gatillo,AJ11,0)</f>
        <v/>
      </c>
      <c r="AK12" s="24">
        <f>IF(AK11&gt;=p_gatillo,AK11,0)</f>
        <v/>
      </c>
      <c r="AL12" s="24">
        <f>IF(AL11&gt;=p_gatillo,AL11,0)</f>
        <v/>
      </c>
      <c r="AM12" s="24">
        <f>IF(AM11&gt;=p_gatillo,AM11,0)</f>
        <v/>
      </c>
      <c r="AN12" s="24">
        <f>IF(AN11&gt;=p_gatillo,AN11,0)</f>
        <v/>
      </c>
      <c r="AO12" s="24">
        <f>IF(AO11&gt;=p_gatillo,AO11,0)</f>
        <v/>
      </c>
      <c r="AP12" s="24">
        <f>IF(AP11&gt;=p_gatillo,AP11,0)</f>
        <v/>
      </c>
      <c r="AQ12" s="24">
        <f>IF(AQ11&gt;=p_gatillo,AQ11,0)</f>
        <v/>
      </c>
      <c r="AR12" s="24">
        <f>IF(AR11&gt;=p_gatillo,AR11,0)</f>
        <v/>
      </c>
      <c r="AS12" s="24">
        <f>IF(AS11&gt;=p_gatillo,AS11,0)</f>
        <v/>
      </c>
      <c r="AT12" s="24">
        <f>IF(AT11&gt;=p_gatillo,AT11,0)</f>
        <v/>
      </c>
      <c r="AU12" s="24">
        <f>IF(AU11&gt;=p_gatillo,AU11,0)</f>
        <v/>
      </c>
      <c r="AV12" s="24">
        <f>IF(AV11&gt;=p_gatillo,AV11,0)</f>
        <v/>
      </c>
      <c r="AW12" s="24">
        <f>IF(AW11&gt;=p_gatillo,AW11,0)</f>
        <v/>
      </c>
      <c r="AX12" s="24">
        <f>IF(AX11&gt;=p_gatillo,AX11,0)</f>
        <v/>
      </c>
      <c r="AY12" s="24">
        <f>IF(AY11&gt;=p_gatillo,AY11,0)</f>
        <v/>
      </c>
      <c r="AZ12" s="24">
        <f>IF(AZ11&gt;=p_gatillo,AZ11,0)</f>
        <v/>
      </c>
      <c r="BA12" s="24">
        <f>IF(BA11&gt;=p_gatillo,BA11,0)</f>
        <v/>
      </c>
      <c r="BB12" s="24">
        <f>IF(BB11&gt;=p_gatillo,BB11,0)</f>
        <v/>
      </c>
      <c r="BC12" s="24">
        <f>IF(BC11&gt;=p_gatillo,BC11,0)</f>
        <v/>
      </c>
      <c r="BD12" s="24">
        <f>IF(BD11&gt;=p_gatillo,BD11,0)</f>
        <v/>
      </c>
      <c r="BE12" s="24">
        <f>IF(BE11&gt;=p_gatillo,BE11,0)</f>
        <v/>
      </c>
      <c r="BF12" s="24">
        <f>IF(BF11&gt;=p_gatillo,BF11,0)</f>
        <v/>
      </c>
      <c r="BG12" s="24">
        <f>IF(BG11&gt;=p_gatillo,BG11,0)</f>
        <v/>
      </c>
      <c r="BH12" s="24">
        <f>IF(BH11&gt;=p_gatillo,BH11,0)</f>
        <v/>
      </c>
      <c r="BI12" s="24">
        <f>IF(BI11&gt;=p_gatillo,BI11,0)</f>
        <v/>
      </c>
      <c r="BJ12" s="24">
        <f>IF(BJ11&gt;=p_gatillo,BJ11,0)</f>
        <v/>
      </c>
      <c r="BK12" s="24">
        <f>IF(BK11&gt;=p_gatillo,BK11,0)</f>
        <v/>
      </c>
      <c r="BL12" s="24">
        <f>IF(BL11&gt;=p_gatillo,BL11,0)</f>
        <v/>
      </c>
      <c r="BM12" s="24">
        <f>IF(BM11&gt;=p_gatillo,BM11,0)</f>
        <v/>
      </c>
      <c r="BN12" s="24">
        <f>IF(BN11&gt;=p_gatillo,BN11,0)</f>
        <v/>
      </c>
      <c r="BO12" s="24">
        <f>IF(BO11&gt;=p_gatillo,BO11,0)</f>
        <v/>
      </c>
      <c r="BP12" s="24">
        <f>IF(BP11&gt;=p_gatillo,BP11,0)</f>
        <v/>
      </c>
      <c r="BQ12" s="24">
        <f>IF(BQ11&gt;=p_gatillo,BQ11,0)</f>
        <v/>
      </c>
      <c r="BR12" s="24">
        <f>IF(BR11&gt;=p_gatillo,BR11,0)</f>
        <v/>
      </c>
      <c r="BS12" s="24">
        <f>IF(BS11&gt;=p_gatillo,BS11,0)</f>
        <v/>
      </c>
      <c r="BT12" s="24">
        <f>IF(BT11&gt;=p_gatillo,BT11,0)</f>
        <v/>
      </c>
      <c r="BU12" s="24">
        <f>IF(BU11&gt;=p_gatillo,BU11,0)</f>
        <v/>
      </c>
      <c r="BV12" s="24">
        <f>IF(BV11&gt;=p_gatillo,BV11,0)</f>
        <v/>
      </c>
      <c r="BW12" s="24">
        <f>IF(BW11&gt;=p_gatillo,BW11,0)</f>
        <v/>
      </c>
      <c r="BX12" s="24">
        <f>IF(BX11&gt;=p_gatillo,BX11,0)</f>
        <v/>
      </c>
      <c r="BY12" s="24">
        <f>IF(BY11&gt;=p_gatillo,BY11,0)</f>
        <v/>
      </c>
      <c r="BZ12" s="24">
        <f>IF(BZ11&gt;=p_gatillo,BZ11,0)</f>
        <v/>
      </c>
      <c r="CA12" s="24">
        <f>IF(CA11&gt;=p_gatillo,CA11,0)</f>
        <v/>
      </c>
      <c r="CB12" s="24">
        <f>IF(CB11&gt;=p_gatillo,CB11,0)</f>
        <v/>
      </c>
      <c r="CC12" s="24">
        <f>IF(CC11&gt;=p_gatillo,CC11,0)</f>
        <v/>
      </c>
      <c r="CD12" s="24">
        <f>IF(CD11&gt;=p_gatillo,CD11,0)</f>
        <v/>
      </c>
      <c r="CE12" s="24">
        <f>IF(CE11&gt;=p_gatillo,CE11,0)</f>
        <v/>
      </c>
      <c r="CF12" s="24">
        <f>IF(CF11&gt;=p_gatillo,CF11,0)</f>
        <v/>
      </c>
      <c r="CG12" s="24">
        <f>IF(CG11&gt;=p_gatillo,CG11,0)</f>
        <v/>
      </c>
      <c r="CH12" s="24">
        <f>IF(CH11&gt;=p_gatillo,CH11,0)</f>
        <v/>
      </c>
      <c r="CI12" s="24">
        <f>IF(CI11&gt;=p_gatillo,CI11,0)</f>
        <v/>
      </c>
      <c r="CJ12" s="24">
        <f>IF(CJ11&gt;=p_gatillo,CJ11,0)</f>
        <v/>
      </c>
      <c r="CK12" s="24">
        <f>IF(CK11&gt;=p_gatillo,CK11,0)</f>
        <v/>
      </c>
      <c r="CL12" s="24">
        <f>IF(CL11&gt;=p_gatillo,CL11,0)</f>
        <v/>
      </c>
      <c r="CM12" s="24">
        <f>IF(CM11&gt;=p_gatillo,CM11,0)</f>
        <v/>
      </c>
      <c r="CN12" s="24">
        <f>IF(CN11&gt;=p_gatillo,CN11,0)</f>
        <v/>
      </c>
      <c r="CO12" s="24">
        <f>IF(CO11&gt;=p_gatillo,CO11,0)</f>
        <v/>
      </c>
      <c r="CP12" s="24">
        <f>IF(CP11&gt;=p_gatillo,CP11,0)</f>
        <v/>
      </c>
      <c r="CQ12" s="24">
        <f>IF(CQ11&gt;=p_gatillo,CQ11,0)</f>
        <v/>
      </c>
      <c r="CR12" s="24">
        <f>IF(CR11&gt;=p_gatillo,CR11,0)</f>
        <v/>
      </c>
      <c r="CS12" s="24">
        <f>IF(CS11&gt;=p_gatillo,CS11,0)</f>
        <v/>
      </c>
      <c r="CT12" s="24">
        <f>IF(CT11&gt;=p_gatillo,CT11,0)</f>
        <v/>
      </c>
      <c r="CU12" s="24">
        <f>IF(CU11&gt;=p_gatillo,CU11,0)</f>
        <v/>
      </c>
      <c r="CV12" s="24">
        <f>IF(CV11&gt;=p_gatillo,CV11,0)</f>
        <v/>
      </c>
      <c r="CW12" s="24">
        <f>IF(CW11&gt;=p_gatillo,CW11,0)</f>
        <v/>
      </c>
      <c r="CX12" s="24">
        <f>IF(CX11&gt;=p_gatillo,CX11,0)</f>
        <v/>
      </c>
      <c r="CY12" s="24">
        <f>IF(CY11&gt;=p_gatillo,CY11,0)</f>
        <v/>
      </c>
      <c r="CZ12" s="24">
        <f>IF(CZ11&gt;=p_gatillo,CZ11,0)</f>
        <v/>
      </c>
      <c r="DA12" s="24">
        <f>IF(DA11&gt;=p_gatillo,DA11,0)</f>
        <v/>
      </c>
      <c r="DB12" s="24">
        <f>IF(DB11&gt;=p_gatillo,DB11,0)</f>
        <v/>
      </c>
      <c r="DC12" s="24">
        <f>IF(DC11&gt;=p_gatillo,DC11,0)</f>
        <v/>
      </c>
      <c r="DD12" s="24">
        <f>IF(DD11&gt;=p_gatillo,DD11,0)</f>
        <v/>
      </c>
      <c r="DE12" s="24">
        <f>IF(DE11&gt;=p_gatillo,DE11,0)</f>
        <v/>
      </c>
      <c r="DF12" s="24">
        <f>IF(DF11&gt;=p_gatillo,DF11,0)</f>
        <v/>
      </c>
      <c r="DG12" s="24">
        <f>IF(DG11&gt;=p_gatillo,DG11,0)</f>
        <v/>
      </c>
      <c r="DH12" s="24">
        <f>IF(DH11&gt;=p_gatillo,DH11,0)</f>
        <v/>
      </c>
      <c r="DI12" s="24">
        <f>IF(DI11&gt;=p_gatillo,DI11,0)</f>
        <v/>
      </c>
      <c r="DJ12" s="24">
        <f>IF(DJ11&gt;=p_gatillo,DJ11,0)</f>
        <v/>
      </c>
      <c r="DK12" s="24">
        <f>IF(DK11&gt;=p_gatillo,DK11,0)</f>
        <v/>
      </c>
      <c r="DL12" s="24">
        <f>IF(DL11&gt;=p_gatillo,DL11,0)</f>
        <v/>
      </c>
      <c r="DM12" s="24">
        <f>IF(DM11&gt;=p_gatillo,DM11,0)</f>
        <v/>
      </c>
      <c r="DN12" s="24">
        <f>IF(DN11&gt;=p_gatillo,DN11,0)</f>
        <v/>
      </c>
      <c r="DO12" s="24">
        <f>IF(DO11&gt;=p_gatillo,DO11,0)</f>
        <v/>
      </c>
      <c r="DP12" s="24">
        <f>IF(DP11&gt;=p_gatillo,DP11,0)</f>
        <v/>
      </c>
      <c r="DQ12" s="24">
        <f>IF(DQ11&gt;=p_gatillo,DQ11,0)</f>
        <v/>
      </c>
      <c r="DR12" s="24">
        <f>IF(DR11&gt;=p_gatillo,DR11,0)</f>
        <v/>
      </c>
      <c r="DS12" s="24">
        <f>IF(DS11&gt;=p_gatillo,DS11,0)</f>
        <v/>
      </c>
      <c r="DT12" s="24">
        <f>IF(DT11&gt;=p_gatillo,DT11,0)</f>
        <v/>
      </c>
      <c r="DU12" s="24">
        <f>IF(DU11&gt;=p_gatillo,DU11,0)</f>
        <v/>
      </c>
      <c r="DV12" s="24">
        <f>IF(DV11&gt;=p_gatillo,DV11,0)</f>
        <v/>
      </c>
      <c r="DW12" s="24">
        <f>IF(DW11&gt;=p_gatillo,DW11,0)</f>
        <v/>
      </c>
      <c r="DX12" s="24">
        <f>IF(DX11&gt;=p_gatillo,DX11,0)</f>
        <v/>
      </c>
      <c r="DY12" s="24">
        <f>IF(DY11&gt;=p_gatillo,DY11,0)</f>
        <v/>
      </c>
      <c r="DZ12" s="24">
        <f>IF(DZ11&gt;=p_gatillo,DZ11,0)</f>
        <v/>
      </c>
      <c r="EA12" s="24">
        <f>IF(EA11&gt;=p_gatillo,EA11,0)</f>
        <v/>
      </c>
      <c r="EB12" s="24">
        <f>IF(EB11&gt;=p_gatillo,EB11,0)</f>
        <v/>
      </c>
      <c r="EC12" s="24">
        <f>IF(EC11&gt;=p_gatillo,EC11,0)</f>
        <v/>
      </c>
      <c r="ED12" s="24">
        <f>IF(ED11&gt;=p_gatillo,ED11,0)</f>
        <v/>
      </c>
      <c r="EE12" s="24">
        <f>IF(EE11&gt;=p_gatillo,EE11,0)</f>
        <v/>
      </c>
      <c r="EF12" s="24">
        <f>IF(EF11&gt;=p_gatillo,EF11,0)</f>
        <v/>
      </c>
      <c r="EG12" s="24">
        <f>IF(EG11&gt;=p_gatillo,EG11,0)</f>
        <v/>
      </c>
      <c r="EH12" s="24">
        <f>IF(EH11&gt;=p_gatillo,EH11,0)</f>
        <v/>
      </c>
      <c r="EI12" s="24">
        <f>IF(EI11&gt;=p_gatillo,EI11,0)</f>
        <v/>
      </c>
      <c r="EJ12" s="24">
        <f>IF(EJ11&gt;=p_gatillo,EJ11,0)</f>
        <v/>
      </c>
      <c r="EK12" s="24">
        <f>IF(EK11&gt;=p_gatillo,EK11,0)</f>
        <v/>
      </c>
      <c r="EL12" s="24">
        <f>IF(EL11&gt;=p_gatillo,EL11,0)</f>
        <v/>
      </c>
      <c r="EM12" s="24">
        <f>IF(EM11&gt;=p_gatillo,EM11,0)</f>
        <v/>
      </c>
      <c r="EN12" s="24">
        <f>IF(EN11&gt;=p_gatillo,EN11,0)</f>
        <v/>
      </c>
      <c r="EO12" s="24">
        <f>IF(EO11&gt;=p_gatillo,EO11,0)</f>
        <v/>
      </c>
      <c r="EP12" s="24">
        <f>IF(EP11&gt;=p_gatillo,EP11,0)</f>
        <v/>
      </c>
      <c r="EQ12" s="24">
        <f>IF(EQ11&gt;=p_gatillo,EQ11,0)</f>
        <v/>
      </c>
      <c r="ER12" s="24">
        <f>IF(ER11&gt;=p_gatillo,ER11,0)</f>
        <v/>
      </c>
      <c r="ES12" s="24">
        <f>IF(ES11&gt;=p_gatillo,ES11,0)</f>
        <v/>
      </c>
      <c r="ET12" s="24">
        <f>IF(ET11&gt;=p_gatillo,ET11,0)</f>
        <v/>
      </c>
      <c r="EU12" s="24">
        <f>IF(EU11&gt;=p_gatillo,EU11,0)</f>
        <v/>
      </c>
      <c r="EV12" s="24">
        <f>IF(EV11&gt;=p_gatillo,EV11,0)</f>
        <v/>
      </c>
      <c r="EW12" s="24">
        <f>IF(EW11&gt;=p_gatillo,EW11,0)</f>
        <v/>
      </c>
      <c r="EX12" s="24">
        <f>IF(EX11&gt;=p_gatillo,EX11,0)</f>
        <v/>
      </c>
      <c r="EY12" s="24">
        <f>IF(EY11&gt;=p_gatillo,EY11,0)</f>
        <v/>
      </c>
      <c r="EZ12" s="24">
        <f>IF(EZ11&gt;=p_gatillo,EZ11,0)</f>
        <v/>
      </c>
      <c r="FA12" s="24">
        <f>IF(FA11&gt;=p_gatillo,FA11,0)</f>
        <v/>
      </c>
      <c r="FB12" s="24">
        <f>IF(FB11&gt;=p_gatillo,FB11,0)</f>
        <v/>
      </c>
      <c r="FC12" s="24">
        <f>IF(FC11&gt;=p_gatillo,FC11,0)</f>
        <v/>
      </c>
      <c r="FD12" s="24">
        <f>IF(FD11&gt;=p_gatillo,FD11,0)</f>
        <v/>
      </c>
      <c r="FE12" s="24">
        <f>IF(FE11&gt;=p_gatillo,FE11,0)</f>
        <v/>
      </c>
      <c r="FF12" s="24">
        <f>IF(FF11&gt;=p_gatillo,FF11,0)</f>
        <v/>
      </c>
      <c r="FG12" s="24">
        <f>IF(FG11&gt;=p_gatillo,FG11,0)</f>
        <v/>
      </c>
      <c r="FH12" s="24">
        <f>IF(FH11&gt;=p_gatillo,FH11,0)</f>
        <v/>
      </c>
      <c r="FI12" s="24">
        <f>IF(FI11&gt;=p_gatillo,FI11,0)</f>
        <v/>
      </c>
      <c r="FJ12" s="24">
        <f>IF(FJ11&gt;=p_gatillo,FJ11,0)</f>
        <v/>
      </c>
      <c r="FK12" s="24">
        <f>IF(FK11&gt;=p_gatillo,FK11,0)</f>
        <v/>
      </c>
      <c r="FL12" s="24">
        <f>IF(FL11&gt;=p_gatillo,FL11,0)</f>
        <v/>
      </c>
      <c r="FM12" s="24">
        <f>IF(FM11&gt;=p_gatillo,FM11,0)</f>
        <v/>
      </c>
      <c r="FN12" s="24">
        <f>IF(FN11&gt;=p_gatillo,FN11,0)</f>
        <v/>
      </c>
      <c r="FO12" s="24">
        <f>IF(FO11&gt;=p_gatillo,FO11,0)</f>
        <v/>
      </c>
      <c r="FP12" s="24">
        <f>IF(FP11&gt;=p_gatillo,FP11,0)</f>
        <v/>
      </c>
      <c r="FQ12" s="24">
        <f>IF(FQ11&gt;=p_gatillo,FQ11,0)</f>
        <v/>
      </c>
      <c r="FR12" s="24">
        <f>IF(FR11&gt;=p_gatillo,FR11,0)</f>
        <v/>
      </c>
      <c r="FS12" s="24">
        <f>IF(FS11&gt;=p_gatillo,FS11,0)</f>
        <v/>
      </c>
      <c r="FT12" s="24">
        <f>IF(FT11&gt;=p_gatillo,FT11,0)</f>
        <v/>
      </c>
      <c r="FU12" s="24">
        <f>IF(FU11&gt;=p_gatillo,FU11,0)</f>
        <v/>
      </c>
      <c r="FV12" s="24">
        <f>IF(FV11&gt;=p_gatillo,FV11,0)</f>
        <v/>
      </c>
      <c r="FW12" s="24">
        <f>IF(FW11&gt;=p_gatillo,FW11,0)</f>
        <v/>
      </c>
      <c r="FX12" s="24">
        <f>IF(FX11&gt;=p_gatillo,FX11,0)</f>
        <v/>
      </c>
      <c r="FY12" s="24">
        <f>IF(FY11&gt;=p_gatillo,FY11,0)</f>
        <v/>
      </c>
      <c r="FZ12" s="24">
        <f>IF(FZ11&gt;=p_gatillo,FZ11,0)</f>
        <v/>
      </c>
      <c r="GA12" s="24">
        <f>IF(GA11&gt;=p_gatillo,GA11,0)</f>
        <v/>
      </c>
      <c r="GB12" s="24">
        <f>IF(GB11&gt;=p_gatillo,GB11,0)</f>
        <v/>
      </c>
      <c r="GC12" s="24">
        <f>IF(GC11&gt;=p_gatillo,GC11,0)</f>
        <v/>
      </c>
      <c r="GD12" s="24">
        <f>IF(GD11&gt;=p_gatillo,GD11,0)</f>
        <v/>
      </c>
      <c r="GE12" s="24">
        <f>IF(GE11&gt;=p_gatillo,GE11,0)</f>
        <v/>
      </c>
      <c r="GF12" s="24">
        <f>IF(GF11&gt;=p_gatillo,GF11,0)</f>
        <v/>
      </c>
      <c r="GG12" s="24">
        <f>IF(GG11&gt;=p_gatillo,GG11,0)</f>
        <v/>
      </c>
      <c r="GH12" s="24">
        <f>IF(GH11&gt;=p_gatillo,GH11,0)</f>
        <v/>
      </c>
      <c r="GI12" s="24">
        <f>IF(GI11&gt;=p_gatillo,GI11,0)</f>
        <v/>
      </c>
      <c r="GJ12" s="24">
        <f>IF(GJ11&gt;=p_gatillo,GJ11,0)</f>
        <v/>
      </c>
      <c r="GK12" s="24">
        <f>IF(GK11&gt;=p_gatillo,GK11,0)</f>
        <v/>
      </c>
      <c r="GL12" s="24">
        <f>IF(GL11&gt;=p_gatillo,GL11,0)</f>
        <v/>
      </c>
      <c r="GM12" s="24">
        <f>IF(GM11&gt;=p_gatillo,GM11,0)</f>
        <v/>
      </c>
      <c r="GN12" s="24">
        <f>IF(GN11&gt;=p_gatillo,GN11,0)</f>
        <v/>
      </c>
      <c r="GO12" s="24">
        <f>IF(GO11&gt;=p_gatillo,GO11,0)</f>
        <v/>
      </c>
      <c r="GP12" s="24">
        <f>IF(GP11&gt;=p_gatillo,GP11,0)</f>
        <v/>
      </c>
      <c r="GQ12" s="24">
        <f>IF(GQ11&gt;=p_gatillo,GQ11,0)</f>
        <v/>
      </c>
      <c r="GR12" s="24">
        <f>IF(GR11&gt;=p_gatillo,GR11,0)</f>
        <v/>
      </c>
      <c r="GS12" s="24">
        <f>IF(GS11&gt;=p_gatillo,GS11,0)</f>
        <v/>
      </c>
      <c r="GT12" s="24">
        <f>IF(GT11&gt;=p_gatillo,GT11,0)</f>
        <v/>
      </c>
      <c r="GU12" s="24">
        <f>IF(GU11&gt;=p_gatillo,GU11,0)</f>
        <v/>
      </c>
      <c r="GV12" s="24">
        <f>IF(GV11&gt;=p_gatillo,GV11,0)</f>
        <v/>
      </c>
      <c r="GW12" s="24">
        <f>IF(GW11&gt;=p_gatillo,GW11,0)</f>
        <v/>
      </c>
      <c r="GX12" s="24">
        <f>IF(GX11&gt;=p_gatillo,GX11,0)</f>
        <v/>
      </c>
      <c r="GY12" s="24">
        <f>IF(GY11&gt;=p_gatillo,GY11,0)</f>
        <v/>
      </c>
      <c r="GZ12" s="24">
        <f>IF(GZ11&gt;=p_gatillo,GZ11,0)</f>
        <v/>
      </c>
      <c r="HA12" s="24">
        <f>IF(HA11&gt;=p_gatillo,HA11,0)</f>
        <v/>
      </c>
      <c r="HB12" s="24">
        <f>IF(HB11&gt;=p_gatillo,HB11,0)</f>
        <v/>
      </c>
      <c r="HC12" s="24">
        <f>IF(HC11&gt;=p_gatillo,HC11,0)</f>
        <v/>
      </c>
      <c r="HD12" s="24">
        <f>IF(HD11&gt;=p_gatillo,HD11,0)</f>
        <v/>
      </c>
      <c r="HE12" s="24">
        <f>IF(HE11&gt;=p_gatillo,HE11,0)</f>
        <v/>
      </c>
      <c r="HF12" s="24">
        <f>IF(HF11&gt;=p_gatillo,HF11,0)</f>
        <v/>
      </c>
      <c r="HG12" s="24">
        <f>IF(HG11&gt;=p_gatillo,HG11,0)</f>
        <v/>
      </c>
      <c r="HH12" s="24">
        <f>IF(HH11&gt;=p_gatillo,HH11,0)</f>
        <v/>
      </c>
      <c r="HI12" s="24">
        <f>IF(HI11&gt;=p_gatillo,HI11,0)</f>
        <v/>
      </c>
      <c r="HJ12" s="24">
        <f>IF(HJ11&gt;=p_gatillo,HJ11,0)</f>
        <v/>
      </c>
      <c r="HK12" s="24">
        <f>IF(HK11&gt;=p_gatillo,HK11,0)</f>
        <v/>
      </c>
      <c r="HL12" s="24">
        <f>IF(HL11&gt;=p_gatillo,HL11,0)</f>
        <v/>
      </c>
      <c r="HM12" s="24">
        <f>IF(HM11&gt;=p_gatillo,HM11,0)</f>
        <v/>
      </c>
      <c r="HN12" s="24">
        <f>IF(HN11&gt;=p_gatillo,HN11,0)</f>
        <v/>
      </c>
      <c r="HO12" s="24">
        <f>IF(HO11&gt;=p_gatillo,HO11,0)</f>
        <v/>
      </c>
      <c r="HP12" s="24">
        <f>IF(HP11&gt;=p_gatillo,HP11,0)</f>
        <v/>
      </c>
      <c r="HQ12" s="24">
        <f>IF(HQ11&gt;=p_gatillo,HQ11,0)</f>
        <v/>
      </c>
      <c r="HR12" s="24">
        <f>IF(HR11&gt;=p_gatillo,HR11,0)</f>
        <v/>
      </c>
      <c r="HS12" s="24">
        <f>IF(HS11&gt;=p_gatillo,HS11,0)</f>
        <v/>
      </c>
      <c r="HT12" s="24">
        <f>IF(HT11&gt;=p_gatillo,HT11,0)</f>
        <v/>
      </c>
      <c r="HU12" s="24">
        <f>IF(HU11&gt;=p_gatillo,HU11,0)</f>
        <v/>
      </c>
      <c r="HV12" s="24">
        <f>IF(HV11&gt;=p_gatillo,HV11,0)</f>
        <v/>
      </c>
      <c r="HW12" s="24">
        <f>IF(HW11&gt;=p_gatillo,HW11,0)</f>
        <v/>
      </c>
      <c r="HX12" s="24">
        <f>IF(HX11&gt;=p_gatillo,HX11,0)</f>
        <v/>
      </c>
      <c r="HY12" s="24">
        <f>IF(HY11&gt;=p_gatillo,HY11,0)</f>
        <v/>
      </c>
      <c r="HZ12" s="24">
        <f>IF(HZ11&gt;=p_gatillo,HZ11,0)</f>
        <v/>
      </c>
      <c r="IA12" s="24">
        <f>IF(IA11&gt;=p_gatillo,IA11,0)</f>
        <v/>
      </c>
      <c r="IB12" s="24">
        <f>IF(IB11&gt;=p_gatillo,IB11,0)</f>
        <v/>
      </c>
      <c r="IC12" s="24">
        <f>IF(IC11&gt;=p_gatillo,IC11,0)</f>
        <v/>
      </c>
      <c r="ID12" s="24">
        <f>IF(ID11&gt;=p_gatillo,ID11,0)</f>
        <v/>
      </c>
      <c r="IE12" s="24">
        <f>IF(IE11&gt;=p_gatillo,IE11,0)</f>
        <v/>
      </c>
      <c r="IF12" s="24">
        <f>IF(IF11&gt;=p_gatillo,IF11,0)</f>
        <v/>
      </c>
      <c r="IG12" s="24">
        <f>IF(IG11&gt;=p_gatillo,IG11,0)</f>
        <v/>
      </c>
      <c r="IH12" s="24">
        <f>IF(IH11&gt;=p_gatillo,IH11,0)</f>
        <v/>
      </c>
      <c r="II12" s="24">
        <f>IF(II11&gt;=p_gatillo,II11,0)</f>
        <v/>
      </c>
      <c r="IJ12" s="24">
        <f>IF(IJ11&gt;=p_gatillo,IJ11,0)</f>
        <v/>
      </c>
      <c r="IK12" s="24">
        <f>IF(IK11&gt;=p_gatillo,IK11,0)</f>
        <v/>
      </c>
      <c r="IL12" s="24">
        <f>IF(IL11&gt;=p_gatillo,IL11,0)</f>
        <v/>
      </c>
      <c r="IM12" s="24">
        <f>IF(IM11&gt;=p_gatillo,IM11,0)</f>
        <v/>
      </c>
      <c r="IN12" s="24">
        <f>IF(IN11&gt;=p_gatillo,IN11,0)</f>
        <v/>
      </c>
      <c r="IO12" s="24">
        <f>IF(IO11&gt;=p_gatillo,IO11,0)</f>
        <v/>
      </c>
      <c r="IP12" s="24">
        <f>IF(IP11&gt;=p_gatillo,IP11,0)</f>
        <v/>
      </c>
      <c r="IQ12" s="24">
        <f>IF(IQ11&gt;=p_gatillo,IQ11,0)</f>
        <v/>
      </c>
      <c r="IR12" s="24">
        <f>IF(IR11&gt;=p_gatillo,IR11,0)</f>
        <v/>
      </c>
      <c r="IS12" s="24">
        <f>IF(IS11&gt;=p_gatillo,IS11,0)</f>
        <v/>
      </c>
      <c r="IT12" s="24">
        <f>IF(IT11&gt;=p_gatillo,IT11,0)</f>
        <v/>
      </c>
      <c r="IU12" s="24">
        <f>IF(IU11&gt;=p_gatillo,IU11,0)</f>
        <v/>
      </c>
      <c r="IV12" s="24">
        <f>IF(IV11&gt;=p_gatillo,IV11,0)</f>
        <v/>
      </c>
      <c r="IW12" s="24">
        <f>IF(IW11&gt;=p_gatillo,IW11,0)</f>
        <v/>
      </c>
      <c r="IX12" s="24">
        <f>IF(IX11&gt;=p_gatillo,IX11,0)</f>
        <v/>
      </c>
      <c r="IY12" s="24">
        <f>IF(IY11&gt;=p_gatillo,IY11,0)</f>
        <v/>
      </c>
      <c r="IZ12" s="24">
        <f>IF(IZ11&gt;=p_gatillo,IZ11,0)</f>
        <v/>
      </c>
      <c r="JA12" s="24">
        <f>IF(JA11&gt;=p_gatillo,JA11,0)</f>
        <v/>
      </c>
      <c r="JB12" s="24">
        <f>IF(JB11&gt;=p_gatillo,JB11,0)</f>
        <v/>
      </c>
      <c r="JC12" s="24">
        <f>IF(JC11&gt;=p_gatillo,JC11,0)</f>
        <v/>
      </c>
      <c r="JD12" s="24">
        <f>IF(JD11&gt;=p_gatillo,JD11,0)</f>
        <v/>
      </c>
      <c r="JE12" s="24">
        <f>IF(JE11&gt;=p_gatillo,JE11,0)</f>
        <v/>
      </c>
      <c r="JF12" s="24">
        <f>IF(JF11&gt;=p_gatillo,JF11,0)</f>
        <v/>
      </c>
      <c r="JG12" s="24">
        <f>IF(JG11&gt;=p_gatillo,JG11,0)</f>
        <v/>
      </c>
      <c r="JH12" s="24">
        <f>IF(JH11&gt;=p_gatillo,JH11,0)</f>
        <v/>
      </c>
      <c r="JI12" s="24">
        <f>IF(JI11&gt;=p_gatillo,JI11,0)</f>
        <v/>
      </c>
      <c r="JJ12" s="24">
        <f>IF(JJ11&gt;=p_gatillo,JJ11,0)</f>
        <v/>
      </c>
      <c r="JK12" s="24">
        <f>IF(JK11&gt;=p_gatillo,JK11,0)</f>
        <v/>
      </c>
      <c r="JL12" s="24">
        <f>IF(JL11&gt;=p_gatillo,JL11,0)</f>
        <v/>
      </c>
      <c r="JM12" s="24">
        <f>IF(JM11&gt;=p_gatillo,JM11,0)</f>
        <v/>
      </c>
      <c r="JN12" s="24">
        <f>IF(JN11&gt;=p_gatillo,JN11,0)</f>
        <v/>
      </c>
      <c r="JO12" s="24">
        <f>IF(JO11&gt;=p_gatillo,JO11,0)</f>
        <v/>
      </c>
      <c r="JP12" s="24">
        <f>IF(JP11&gt;=p_gatillo,JP11,0)</f>
        <v/>
      </c>
      <c r="JQ12" s="24">
        <f>IF(JQ11&gt;=p_gatillo,JQ11,0)</f>
        <v/>
      </c>
      <c r="JR12" s="24">
        <f>IF(JR11&gt;=p_gatillo,JR11,0)</f>
        <v/>
      </c>
      <c r="JS12" s="24">
        <f>IF(JS11&gt;=p_gatillo,JS11,0)</f>
        <v/>
      </c>
      <c r="JT12" s="24">
        <f>IF(JT11&gt;=p_gatillo,JT11,0)</f>
        <v/>
      </c>
      <c r="JU12" s="24">
        <f>IF(JU11&gt;=p_gatillo,JU11,0)</f>
        <v/>
      </c>
      <c r="JV12" s="24">
        <f>IF(JV11&gt;=p_gatillo,JV11,0)</f>
        <v/>
      </c>
      <c r="JW12" s="24">
        <f>IF(JW11&gt;=p_gatillo,JW11,0)</f>
        <v/>
      </c>
      <c r="JX12" s="24">
        <f>IF(JX11&gt;=p_gatillo,JX11,0)</f>
        <v/>
      </c>
      <c r="JY12" s="24">
        <f>IF(JY11&gt;=p_gatillo,JY11,0)</f>
        <v/>
      </c>
      <c r="JZ12" s="24">
        <f>IF(JZ11&gt;=p_gatillo,JZ11,0)</f>
        <v/>
      </c>
      <c r="KA12" s="24">
        <f>IF(KA11&gt;=p_gatillo,KA11,0)</f>
        <v/>
      </c>
      <c r="KB12" s="24">
        <f>IF(KB11&gt;=p_gatillo,KB11,0)</f>
        <v/>
      </c>
      <c r="KC12" s="24">
        <f>IF(KC11&gt;=p_gatillo,KC11,0)</f>
        <v/>
      </c>
      <c r="KD12" s="24">
        <f>IF(KD11&gt;=p_gatillo,KD11,0)</f>
        <v/>
      </c>
      <c r="KE12" s="24">
        <f>IF(KE11&gt;=p_gatillo,KE11,0)</f>
        <v/>
      </c>
      <c r="KF12" s="24">
        <f>IF(KF11&gt;=p_gatillo,KF11,0)</f>
        <v/>
      </c>
      <c r="KG12" s="24">
        <f>IF(KG11&gt;=p_gatillo,KG11,0)</f>
        <v/>
      </c>
      <c r="KH12" s="24">
        <f>IF(KH11&gt;=p_gatillo,KH11,0)</f>
        <v/>
      </c>
      <c r="KI12" s="24">
        <f>IF(KI11&gt;=p_gatillo,KI11,0)</f>
        <v/>
      </c>
      <c r="KJ12" s="24">
        <f>IF(KJ11&gt;=p_gatillo,KJ11,0)</f>
        <v/>
      </c>
      <c r="KK12" s="24">
        <f>IF(KK11&gt;=p_gatillo,KK11,0)</f>
        <v/>
      </c>
      <c r="KL12" s="24">
        <f>IF(KL11&gt;=p_gatillo,KL11,0)</f>
        <v/>
      </c>
      <c r="KM12" s="24">
        <f>IF(KM11&gt;=p_gatillo,KM11,0)</f>
        <v/>
      </c>
      <c r="KN12" s="24">
        <f>IF(KN11&gt;=p_gatillo,KN11,0)</f>
        <v/>
      </c>
      <c r="KO12" s="24">
        <f>IF(KO11&gt;=p_gatillo,KO11,0)</f>
        <v/>
      </c>
      <c r="KP12" s="24">
        <f>IF(KP11&gt;=p_gatillo,KP11,0)</f>
        <v/>
      </c>
      <c r="KQ12" s="24">
        <f>IF(KQ11&gt;=p_gatillo,KQ11,0)</f>
        <v/>
      </c>
      <c r="KR12" s="24">
        <f>IF(KR11&gt;=p_gatillo,KR11,0)</f>
        <v/>
      </c>
      <c r="KS12" s="24">
        <f>IF(KS11&gt;=p_gatillo,KS11,0)</f>
        <v/>
      </c>
      <c r="KT12" s="24">
        <f>IF(KT11&gt;=p_gatillo,KT11,0)</f>
        <v/>
      </c>
      <c r="KU12" s="24">
        <f>IF(KU11&gt;=p_gatillo,KU11,0)</f>
        <v/>
      </c>
      <c r="KV12" s="24">
        <f>IF(KV11&gt;=p_gatillo,KV11,0)</f>
        <v/>
      </c>
      <c r="KW12" s="24">
        <f>IF(KW11&gt;=p_gatillo,KW11,0)</f>
        <v/>
      </c>
      <c r="KX12" s="24">
        <f>IF(KX11&gt;=p_gatillo,KX11,0)</f>
        <v/>
      </c>
      <c r="KY12" s="24">
        <f>IF(KY11&gt;=p_gatillo,KY11,0)</f>
        <v/>
      </c>
      <c r="KZ12" s="24">
        <f>IF(KZ11&gt;=p_gatillo,KZ11,0)</f>
        <v/>
      </c>
      <c r="LA12" s="24">
        <f>IF(LA11&gt;=p_gatillo,LA11,0)</f>
        <v/>
      </c>
      <c r="LB12" s="24">
        <f>IF(LB11&gt;=p_gatillo,LB11,0)</f>
        <v/>
      </c>
      <c r="LC12" s="24">
        <f>IF(LC11&gt;=p_gatillo,LC11,0)</f>
        <v/>
      </c>
      <c r="LD12" s="24">
        <f>IF(LD11&gt;=p_gatillo,LD11,0)</f>
        <v/>
      </c>
      <c r="LE12" s="24">
        <f>IF(LE11&gt;=p_gatillo,LE11,0)</f>
        <v/>
      </c>
      <c r="LF12" s="24">
        <f>IF(LF11&gt;=p_gatillo,LF11,0)</f>
        <v/>
      </c>
      <c r="LG12" s="24">
        <f>IF(LG11&gt;=p_gatillo,LG11,0)</f>
        <v/>
      </c>
      <c r="LH12" s="24">
        <f>IF(LH11&gt;=p_gatillo,LH11,0)</f>
        <v/>
      </c>
      <c r="LI12" s="24">
        <f>IF(LI11&gt;=p_gatillo,LI11,0)</f>
        <v/>
      </c>
    </row>
    <row r="13">
      <c r="B13" s="18" t="inlineStr">
        <is>
          <t>Factor de reajuste</t>
        </is>
      </c>
      <c r="D13" s="25">
        <f>TRUNC(IF(D7=0,1,1*(1+D12)*D7),5)</f>
        <v/>
      </c>
      <c r="E13" s="25">
        <f>TRUNC(IF(E7=0,1,D13*(1+E12)*E7),5)</f>
        <v/>
      </c>
      <c r="F13" s="25">
        <f>TRUNC(IF(F7=0,1,E13*(1+F12)*F7),5)</f>
        <v/>
      </c>
      <c r="G13" s="25">
        <f>TRUNC(IF(G7=0,1,F13*(1+G12)*G7),5)</f>
        <v/>
      </c>
      <c r="H13" s="25">
        <f>TRUNC(IF(H7=0,1,G13*(1+H12)*H7),5)</f>
        <v/>
      </c>
      <c r="I13" s="25">
        <f>TRUNC(IF(I7=0,1,H13*(1+I12)*I7),5)</f>
        <v/>
      </c>
      <c r="J13" s="25">
        <f>TRUNC(IF(J7=0,1,I13*(1+J12)*J7),5)</f>
        <v/>
      </c>
      <c r="K13" s="25">
        <f>TRUNC(IF(K7=0,1,J13*(1+K12)*K7),5)</f>
        <v/>
      </c>
      <c r="L13" s="25">
        <f>TRUNC(IF(L7=0,1,K13*(1+L12)*L7),5)</f>
        <v/>
      </c>
      <c r="M13" s="25">
        <f>TRUNC(IF(M7=0,1,L13*(1+M12)*M7),5)</f>
        <v/>
      </c>
      <c r="N13" s="25">
        <f>TRUNC(IF(N7=0,1,M13*(1+N12)*N7),5)</f>
        <v/>
      </c>
      <c r="O13" s="25">
        <f>TRUNC(IF(O7=0,1,N13*(1+O12)*O7),5)</f>
        <v/>
      </c>
      <c r="P13" s="25">
        <f>TRUNC(IF(P7=0,1,O13*(1+P12)*P7),5)</f>
        <v/>
      </c>
      <c r="Q13" s="25">
        <f>TRUNC(IF(Q7=0,1,P13*(1+Q12)*Q7),5)</f>
        <v/>
      </c>
      <c r="R13" s="25">
        <f>TRUNC(IF(R7=0,1,Q13*(1+R12)*R7),5)</f>
        <v/>
      </c>
      <c r="S13" s="25">
        <f>TRUNC(IF(S7=0,1,R13*(1+S12)*S7),5)</f>
        <v/>
      </c>
      <c r="T13" s="25">
        <f>TRUNC(IF(T7=0,1,S13*(1+T12)*T7),5)</f>
        <v/>
      </c>
      <c r="U13" s="25">
        <f>TRUNC(IF(U7=0,1,T13*(1+U12)*U7),5)</f>
        <v/>
      </c>
      <c r="V13" s="25">
        <f>TRUNC(IF(V7=0,1,U13*(1+V12)*V7),5)</f>
        <v/>
      </c>
      <c r="W13" s="25">
        <f>TRUNC(IF(W7=0,1,V13*(1+W12)*W7),5)</f>
        <v/>
      </c>
      <c r="X13" s="25">
        <f>TRUNC(IF(X7=0,1,W13*(1+X12)*X7),5)</f>
        <v/>
      </c>
      <c r="Y13" s="25">
        <f>TRUNC(IF(Y7=0,1,X13*(1+Y12)*Y7),5)</f>
        <v/>
      </c>
      <c r="Z13" s="25">
        <f>TRUNC(IF(Z7=0,1,Y13*(1+Z12)*Z7),5)</f>
        <v/>
      </c>
      <c r="AA13" s="25">
        <f>TRUNC(IF(AA7=0,1,Z13*(1+AA12)*AA7),5)</f>
        <v/>
      </c>
      <c r="AB13" s="25">
        <f>TRUNC(IF(AB7=0,1,AA13*(1+AB12)*AB7),5)</f>
        <v/>
      </c>
      <c r="AC13" s="25">
        <f>TRUNC(IF(AC7=0,1,AB13*(1+AC12)*AC7),5)</f>
        <v/>
      </c>
      <c r="AD13" s="25">
        <f>TRUNC(IF(AD7=0,1,AC13*(1+AD12)*AD7),5)</f>
        <v/>
      </c>
      <c r="AE13" s="25">
        <f>TRUNC(IF(AE7=0,1,AD13*(1+AE12)*AE7),5)</f>
        <v/>
      </c>
      <c r="AF13" s="25">
        <f>TRUNC(IF(AF7=0,1,AE13*(1+AF12)*AF7),5)</f>
        <v/>
      </c>
      <c r="AG13" s="25">
        <f>TRUNC(IF(AG7=0,1,AF13*(1+AG12)*AG7),5)</f>
        <v/>
      </c>
      <c r="AH13" s="25">
        <f>TRUNC(IF(AH7=0,1,AG13*(1+AH12)*AH7),5)</f>
        <v/>
      </c>
      <c r="AI13" s="25">
        <f>TRUNC(IF(AI7=0,1,AH13*(1+AI12)*AI7),5)</f>
        <v/>
      </c>
      <c r="AJ13" s="25">
        <f>TRUNC(IF(AJ7=0,1,AI13*(1+AJ12)*AJ7),5)</f>
        <v/>
      </c>
      <c r="AK13" s="25">
        <f>TRUNC(IF(AK7=0,1,AJ13*(1+AK12)*AK7),5)</f>
        <v/>
      </c>
      <c r="AL13" s="25">
        <f>TRUNC(IF(AL7=0,1,AK13*(1+AL12)*AL7),5)</f>
        <v/>
      </c>
      <c r="AM13" s="25">
        <f>TRUNC(IF(AM7=0,1,AL13*(1+AM12)*AM7),5)</f>
        <v/>
      </c>
      <c r="AN13" s="25">
        <f>TRUNC(IF(AN7=0,1,AM13*(1+AN12)*AN7),5)</f>
        <v/>
      </c>
      <c r="AO13" s="25">
        <f>TRUNC(IF(AO7=0,1,AN13*(1+AO12)*AO7),5)</f>
        <v/>
      </c>
      <c r="AP13" s="25">
        <f>TRUNC(IF(AP7=0,1,AO13*(1+AP12)*AP7),5)</f>
        <v/>
      </c>
      <c r="AQ13" s="25">
        <f>TRUNC(IF(AQ7=0,1,AP13*(1+AQ12)*AQ7),5)</f>
        <v/>
      </c>
      <c r="AR13" s="25">
        <f>TRUNC(IF(AR7=0,1,AQ13*(1+AR12)*AR7),5)</f>
        <v/>
      </c>
      <c r="AS13" s="25">
        <f>TRUNC(IF(AS7=0,1,AR13*(1+AS12)*AS7),5)</f>
        <v/>
      </c>
      <c r="AT13" s="25">
        <f>TRUNC(IF(AT7=0,1,AS13*(1+AT12)*AT7),5)</f>
        <v/>
      </c>
      <c r="AU13" s="25">
        <f>TRUNC(IF(AU7=0,1,AT13*(1+AU12)*AU7),5)</f>
        <v/>
      </c>
      <c r="AV13" s="25">
        <f>TRUNC(IF(AV7=0,1,AU13*(1+AV12)*AV7),5)</f>
        <v/>
      </c>
      <c r="AW13" s="25">
        <f>TRUNC(IF(AW7=0,1,AV13*(1+AW12)*AW7),5)</f>
        <v/>
      </c>
      <c r="AX13" s="25">
        <f>TRUNC(IF(AX7=0,1,AW13*(1+AX12)*AX7),5)</f>
        <v/>
      </c>
      <c r="AY13" s="25">
        <f>TRUNC(IF(AY7=0,1,AX13*(1+AY12)*AY7),5)</f>
        <v/>
      </c>
      <c r="AZ13" s="25">
        <f>TRUNC(IF(AZ7=0,1,AY13*(1+AZ12)*AZ7),5)</f>
        <v/>
      </c>
      <c r="BA13" s="25">
        <f>TRUNC(IF(BA7=0,1,AZ13*(1+BA12)*BA7),5)</f>
        <v/>
      </c>
      <c r="BB13" s="25">
        <f>TRUNC(IF(BB7=0,1,BA13*(1+BB12)*BB7),5)</f>
        <v/>
      </c>
      <c r="BC13" s="25">
        <f>TRUNC(IF(BC7=0,1,BB13*(1+BC12)*BC7),5)</f>
        <v/>
      </c>
      <c r="BD13" s="25">
        <f>TRUNC(IF(BD7=0,1,BC13*(1+BD12)*BD7),5)</f>
        <v/>
      </c>
      <c r="BE13" s="25">
        <f>TRUNC(IF(BE7=0,1,BD13*(1+BE12)*BE7),5)</f>
        <v/>
      </c>
      <c r="BF13" s="25">
        <f>TRUNC(IF(BF7=0,1,BE13*(1+BF12)*BF7),5)</f>
        <v/>
      </c>
      <c r="BG13" s="25">
        <f>TRUNC(IF(BG7=0,1,BF13*(1+BG12)*BG7),5)</f>
        <v/>
      </c>
      <c r="BH13" s="25">
        <f>TRUNC(IF(BH7=0,1,BG13*(1+BH12)*BH7),5)</f>
        <v/>
      </c>
      <c r="BI13" s="25">
        <f>TRUNC(IF(BI7=0,1,BH13*(1+BI12)*BI7),5)</f>
        <v/>
      </c>
      <c r="BJ13" s="25">
        <f>TRUNC(IF(BJ7=0,1,BI13*(1+BJ12)*BJ7),5)</f>
        <v/>
      </c>
      <c r="BK13" s="25">
        <f>TRUNC(IF(BK7=0,1,BJ13*(1+BK12)*BK7),5)</f>
        <v/>
      </c>
      <c r="BL13" s="25">
        <f>TRUNC(IF(BL7=0,1,BK13*(1+BL12)*BL7),5)</f>
        <v/>
      </c>
      <c r="BM13" s="25">
        <f>TRUNC(IF(BM7=0,1,BL13*(1+BM12)*BM7),5)</f>
        <v/>
      </c>
      <c r="BN13" s="25">
        <f>TRUNC(IF(BN7=0,1,BM13*(1+BN12)*BN7),5)</f>
        <v/>
      </c>
      <c r="BO13" s="25">
        <f>TRUNC(IF(BO7=0,1,BN13*(1+BO12)*BO7),5)</f>
        <v/>
      </c>
      <c r="BP13" s="25">
        <f>TRUNC(IF(BP7=0,1,BO13*(1+BP12)*BP7),5)</f>
        <v/>
      </c>
      <c r="BQ13" s="25">
        <f>TRUNC(IF(BQ7=0,1,BP13*(1+BQ12)*BQ7),5)</f>
        <v/>
      </c>
      <c r="BR13" s="25">
        <f>TRUNC(IF(BR7=0,1,BQ13*(1+BR12)*BR7),5)</f>
        <v/>
      </c>
      <c r="BS13" s="25">
        <f>TRUNC(IF(BS7=0,1,BR13*(1+BS12)*BS7),5)</f>
        <v/>
      </c>
      <c r="BT13" s="25">
        <f>TRUNC(IF(BT7=0,1,BS13*(1+BT12)*BT7),5)</f>
        <v/>
      </c>
      <c r="BU13" s="25">
        <f>TRUNC(IF(BU7=0,1,BT13*(1+BU12)*BU7),5)</f>
        <v/>
      </c>
      <c r="BV13" s="25">
        <f>TRUNC(IF(BV7=0,1,BU13*(1+BV12)*BV7),5)</f>
        <v/>
      </c>
      <c r="BW13" s="25">
        <f>TRUNC(IF(BW7=0,1,BV13*(1+BW12)*BW7),5)</f>
        <v/>
      </c>
      <c r="BX13" s="25">
        <f>TRUNC(IF(BX7=0,1,BW13*(1+BX12)*BX7),5)</f>
        <v/>
      </c>
      <c r="BY13" s="25">
        <f>TRUNC(IF(BY7=0,1,BX13*(1+BY12)*BY7),5)</f>
        <v/>
      </c>
      <c r="BZ13" s="25">
        <f>TRUNC(IF(BZ7=0,1,BY13*(1+BZ12)*BZ7),5)</f>
        <v/>
      </c>
      <c r="CA13" s="25">
        <f>TRUNC(IF(CA7=0,1,BZ13*(1+CA12)*CA7),5)</f>
        <v/>
      </c>
      <c r="CB13" s="25">
        <f>TRUNC(IF(CB7=0,1,CA13*(1+CB12)*CB7),5)</f>
        <v/>
      </c>
      <c r="CC13" s="25">
        <f>TRUNC(IF(CC7=0,1,CB13*(1+CC12)*CC7),5)</f>
        <v/>
      </c>
      <c r="CD13" s="25">
        <f>TRUNC(IF(CD7=0,1,CC13*(1+CD12)*CD7),5)</f>
        <v/>
      </c>
      <c r="CE13" s="25">
        <f>TRUNC(IF(CE7=0,1,CD13*(1+CE12)*CE7),5)</f>
        <v/>
      </c>
      <c r="CF13" s="25">
        <f>TRUNC(IF(CF7=0,1,CE13*(1+CF12)*CF7),5)</f>
        <v/>
      </c>
      <c r="CG13" s="25">
        <f>TRUNC(IF(CG7=0,1,CF13*(1+CG12)*CG7),5)</f>
        <v/>
      </c>
      <c r="CH13" s="25">
        <f>TRUNC(IF(CH7=0,1,CG13*(1+CH12)*CH7),5)</f>
        <v/>
      </c>
      <c r="CI13" s="25">
        <f>TRUNC(IF(CI7=0,1,CH13*(1+CI12)*CI7),5)</f>
        <v/>
      </c>
      <c r="CJ13" s="25">
        <f>TRUNC(IF(CJ7=0,1,CI13*(1+CJ12)*CJ7),5)</f>
        <v/>
      </c>
      <c r="CK13" s="25">
        <f>TRUNC(IF(CK7=0,1,CJ13*(1+CK12)*CK7),5)</f>
        <v/>
      </c>
      <c r="CL13" s="25">
        <f>TRUNC(IF(CL7=0,1,CK13*(1+CL12)*CL7),5)</f>
        <v/>
      </c>
      <c r="CM13" s="25">
        <f>TRUNC(IF(CM7=0,1,CL13*(1+CM12)*CM7),5)</f>
        <v/>
      </c>
      <c r="CN13" s="25">
        <f>TRUNC(IF(CN7=0,1,CM13*(1+CN12)*CN7),5)</f>
        <v/>
      </c>
      <c r="CO13" s="25">
        <f>TRUNC(IF(CO7=0,1,CN13*(1+CO12)*CO7),5)</f>
        <v/>
      </c>
      <c r="CP13" s="25">
        <f>TRUNC(IF(CP7=0,1,CO13*(1+CP12)*CP7),5)</f>
        <v/>
      </c>
      <c r="CQ13" s="25">
        <f>TRUNC(IF(CQ7=0,1,CP13*(1+CQ12)*CQ7),5)</f>
        <v/>
      </c>
      <c r="CR13" s="25">
        <f>TRUNC(IF(CR7=0,1,CQ13*(1+CR12)*CR7),5)</f>
        <v/>
      </c>
      <c r="CS13" s="25">
        <f>TRUNC(IF(CS7=0,1,CR13*(1+CS12)*CS7),5)</f>
        <v/>
      </c>
      <c r="CT13" s="25">
        <f>TRUNC(IF(CT7=0,1,CS13*(1+CT12)*CT7),5)</f>
        <v/>
      </c>
      <c r="CU13" s="25">
        <f>TRUNC(IF(CU7=0,1,CT13*(1+CU12)*CU7),5)</f>
        <v/>
      </c>
      <c r="CV13" s="25">
        <f>TRUNC(IF(CV7=0,1,CU13*(1+CV12)*CV7),5)</f>
        <v/>
      </c>
      <c r="CW13" s="25">
        <f>TRUNC(IF(CW7=0,1,CV13*(1+CW12)*CW7),5)</f>
        <v/>
      </c>
      <c r="CX13" s="25">
        <f>TRUNC(IF(CX7=0,1,CW13*(1+CX12)*CX7),5)</f>
        <v/>
      </c>
      <c r="CY13" s="25">
        <f>TRUNC(IF(CY7=0,1,CX13*(1+CY12)*CY7),5)</f>
        <v/>
      </c>
      <c r="CZ13" s="25">
        <f>TRUNC(IF(CZ7=0,1,CY13*(1+CZ12)*CZ7),5)</f>
        <v/>
      </c>
      <c r="DA13" s="25">
        <f>TRUNC(IF(DA7=0,1,CZ13*(1+DA12)*DA7),5)</f>
        <v/>
      </c>
      <c r="DB13" s="25">
        <f>TRUNC(IF(DB7=0,1,DA13*(1+DB12)*DB7),5)</f>
        <v/>
      </c>
      <c r="DC13" s="25">
        <f>TRUNC(IF(DC7=0,1,DB13*(1+DC12)*DC7),5)</f>
        <v/>
      </c>
      <c r="DD13" s="25">
        <f>TRUNC(IF(DD7=0,1,DC13*(1+DD12)*DD7),5)</f>
        <v/>
      </c>
      <c r="DE13" s="25">
        <f>TRUNC(IF(DE7=0,1,DD13*(1+DE12)*DE7),5)</f>
        <v/>
      </c>
      <c r="DF13" s="25">
        <f>TRUNC(IF(DF7=0,1,DE13*(1+DF12)*DF7),5)</f>
        <v/>
      </c>
      <c r="DG13" s="25">
        <f>TRUNC(IF(DG7=0,1,DF13*(1+DG12)*DG7),5)</f>
        <v/>
      </c>
      <c r="DH13" s="25">
        <f>TRUNC(IF(DH7=0,1,DG13*(1+DH12)*DH7),5)</f>
        <v/>
      </c>
      <c r="DI13" s="25">
        <f>TRUNC(IF(DI7=0,1,DH13*(1+DI12)*DI7),5)</f>
        <v/>
      </c>
      <c r="DJ13" s="25">
        <f>TRUNC(IF(DJ7=0,1,DI13*(1+DJ12)*DJ7),5)</f>
        <v/>
      </c>
      <c r="DK13" s="25">
        <f>TRUNC(IF(DK7=0,1,DJ13*(1+DK12)*DK7),5)</f>
        <v/>
      </c>
      <c r="DL13" s="25">
        <f>TRUNC(IF(DL7=0,1,DK13*(1+DL12)*DL7),5)</f>
        <v/>
      </c>
      <c r="DM13" s="25">
        <f>TRUNC(IF(DM7=0,1,DL13*(1+DM12)*DM7),5)</f>
        <v/>
      </c>
      <c r="DN13" s="25">
        <f>TRUNC(IF(DN7=0,1,DM13*(1+DN12)*DN7),5)</f>
        <v/>
      </c>
      <c r="DO13" s="25">
        <f>TRUNC(IF(DO7=0,1,DN13*(1+DO12)*DO7),5)</f>
        <v/>
      </c>
      <c r="DP13" s="25">
        <f>TRUNC(IF(DP7=0,1,DO13*(1+DP12)*DP7),5)</f>
        <v/>
      </c>
      <c r="DQ13" s="25">
        <f>TRUNC(IF(DQ7=0,1,DP13*(1+DQ12)*DQ7),5)</f>
        <v/>
      </c>
      <c r="DR13" s="25">
        <f>TRUNC(IF(DR7=0,1,DQ13*(1+DR12)*DR7),5)</f>
        <v/>
      </c>
      <c r="DS13" s="25">
        <f>TRUNC(IF(DS7=0,1,DR13*(1+DS12)*DS7),5)</f>
        <v/>
      </c>
      <c r="DT13" s="25">
        <f>TRUNC(IF(DT7=0,1,DS13*(1+DT12)*DT7),5)</f>
        <v/>
      </c>
      <c r="DU13" s="25">
        <f>TRUNC(IF(DU7=0,1,DT13*(1+DU12)*DU7),5)</f>
        <v/>
      </c>
      <c r="DV13" s="25">
        <f>TRUNC(IF(DV7=0,1,DU13*(1+DV12)*DV7),5)</f>
        <v/>
      </c>
      <c r="DW13" s="25">
        <f>TRUNC(IF(DW7=0,1,DV13*(1+DW12)*DW7),5)</f>
        <v/>
      </c>
      <c r="DX13" s="25">
        <f>TRUNC(IF(DX7=0,1,DW13*(1+DX12)*DX7),5)</f>
        <v/>
      </c>
      <c r="DY13" s="25">
        <f>TRUNC(IF(DY7=0,1,DX13*(1+DY12)*DY7),5)</f>
        <v/>
      </c>
      <c r="DZ13" s="25">
        <f>TRUNC(IF(DZ7=0,1,DY13*(1+DZ12)*DZ7),5)</f>
        <v/>
      </c>
      <c r="EA13" s="25">
        <f>TRUNC(IF(EA7=0,1,DZ13*(1+EA12)*EA7),5)</f>
        <v/>
      </c>
      <c r="EB13" s="25">
        <f>TRUNC(IF(EB7=0,1,EA13*(1+EB12)*EB7),5)</f>
        <v/>
      </c>
      <c r="EC13" s="25">
        <f>TRUNC(IF(EC7=0,1,EB13*(1+EC12)*EC7),5)</f>
        <v/>
      </c>
      <c r="ED13" s="25">
        <f>TRUNC(IF(ED7=0,1,EC13*(1+ED12)*ED7),5)</f>
        <v/>
      </c>
      <c r="EE13" s="25">
        <f>TRUNC(IF(EE7=0,1,ED13*(1+EE12)*EE7),5)</f>
        <v/>
      </c>
      <c r="EF13" s="25">
        <f>TRUNC(IF(EF7=0,1,EE13*(1+EF12)*EF7),5)</f>
        <v/>
      </c>
      <c r="EG13" s="25">
        <f>TRUNC(IF(EG7=0,1,EF13*(1+EG12)*EG7),5)</f>
        <v/>
      </c>
      <c r="EH13" s="25">
        <f>TRUNC(IF(EH7=0,1,EG13*(1+EH12)*EH7),5)</f>
        <v/>
      </c>
      <c r="EI13" s="25">
        <f>TRUNC(IF(EI7=0,1,EH13*(1+EI12)*EI7),5)</f>
        <v/>
      </c>
      <c r="EJ13" s="25">
        <f>TRUNC(IF(EJ7=0,1,EI13*(1+EJ12)*EJ7),5)</f>
        <v/>
      </c>
      <c r="EK13" s="25">
        <f>TRUNC(IF(EK7=0,1,EJ13*(1+EK12)*EK7),5)</f>
        <v/>
      </c>
      <c r="EL13" s="25">
        <f>TRUNC(IF(EL7=0,1,EK13*(1+EL12)*EL7),5)</f>
        <v/>
      </c>
      <c r="EM13" s="25">
        <f>TRUNC(IF(EM7=0,1,EL13*(1+EM12)*EM7),5)</f>
        <v/>
      </c>
      <c r="EN13" s="25">
        <f>TRUNC(IF(EN7=0,1,EM13*(1+EN12)*EN7),5)</f>
        <v/>
      </c>
      <c r="EO13" s="25">
        <f>TRUNC(IF(EO7=0,1,EN13*(1+EO12)*EO7),5)</f>
        <v/>
      </c>
      <c r="EP13" s="25">
        <f>TRUNC(IF(EP7=0,1,EO13*(1+EP12)*EP7),5)</f>
        <v/>
      </c>
      <c r="EQ13" s="25">
        <f>TRUNC(IF(EQ7=0,1,EP13*(1+EQ12)*EQ7),5)</f>
        <v/>
      </c>
      <c r="ER13" s="25">
        <f>TRUNC(IF(ER7=0,1,EQ13*(1+ER12)*ER7),5)</f>
        <v/>
      </c>
      <c r="ES13" s="25">
        <f>TRUNC(IF(ES7=0,1,ER13*(1+ES12)*ES7),5)</f>
        <v/>
      </c>
      <c r="ET13" s="25">
        <f>TRUNC(IF(ET7=0,1,ES13*(1+ET12)*ET7),5)</f>
        <v/>
      </c>
      <c r="EU13" s="25">
        <f>TRUNC(IF(EU7=0,1,ET13*(1+EU12)*EU7),5)</f>
        <v/>
      </c>
      <c r="EV13" s="25">
        <f>TRUNC(IF(EV7=0,1,EU13*(1+EV12)*EV7),5)</f>
        <v/>
      </c>
      <c r="EW13" s="25">
        <f>TRUNC(IF(EW7=0,1,EV13*(1+EW12)*EW7),5)</f>
        <v/>
      </c>
      <c r="EX13" s="25">
        <f>TRUNC(IF(EX7=0,1,EW13*(1+EX12)*EX7),5)</f>
        <v/>
      </c>
      <c r="EY13" s="25">
        <f>TRUNC(IF(EY7=0,1,EX13*(1+EY12)*EY7),5)</f>
        <v/>
      </c>
      <c r="EZ13" s="25">
        <f>TRUNC(IF(EZ7=0,1,EY13*(1+EZ12)*EZ7),5)</f>
        <v/>
      </c>
      <c r="FA13" s="25">
        <f>TRUNC(IF(FA7=0,1,EZ13*(1+FA12)*FA7),5)</f>
        <v/>
      </c>
      <c r="FB13" s="25">
        <f>TRUNC(IF(FB7=0,1,FA13*(1+FB12)*FB7),5)</f>
        <v/>
      </c>
      <c r="FC13" s="25">
        <f>TRUNC(IF(FC7=0,1,FB13*(1+FC12)*FC7),5)</f>
        <v/>
      </c>
      <c r="FD13" s="25">
        <f>TRUNC(IF(FD7=0,1,FC13*(1+FD12)*FD7),5)</f>
        <v/>
      </c>
      <c r="FE13" s="25">
        <f>TRUNC(IF(FE7=0,1,FD13*(1+FE12)*FE7),5)</f>
        <v/>
      </c>
      <c r="FF13" s="25">
        <f>TRUNC(IF(FF7=0,1,FE13*(1+FF12)*FF7),5)</f>
        <v/>
      </c>
      <c r="FG13" s="25">
        <f>TRUNC(IF(FG7=0,1,FF13*(1+FG12)*FG7),5)</f>
        <v/>
      </c>
      <c r="FH13" s="25">
        <f>TRUNC(IF(FH7=0,1,FG13*(1+FH12)*FH7),5)</f>
        <v/>
      </c>
      <c r="FI13" s="25">
        <f>TRUNC(IF(FI7=0,1,FH13*(1+FI12)*FI7),5)</f>
        <v/>
      </c>
      <c r="FJ13" s="25">
        <f>TRUNC(IF(FJ7=0,1,FI13*(1+FJ12)*FJ7),5)</f>
        <v/>
      </c>
      <c r="FK13" s="25">
        <f>TRUNC(IF(FK7=0,1,FJ13*(1+FK12)*FK7),5)</f>
        <v/>
      </c>
      <c r="FL13" s="25">
        <f>TRUNC(IF(FL7=0,1,FK13*(1+FL12)*FL7),5)</f>
        <v/>
      </c>
      <c r="FM13" s="25">
        <f>TRUNC(IF(FM7=0,1,FL13*(1+FM12)*FM7),5)</f>
        <v/>
      </c>
      <c r="FN13" s="25">
        <f>TRUNC(IF(FN7=0,1,FM13*(1+FN12)*FN7),5)</f>
        <v/>
      </c>
      <c r="FO13" s="25">
        <f>TRUNC(IF(FO7=0,1,FN13*(1+FO12)*FO7),5)</f>
        <v/>
      </c>
      <c r="FP13" s="25">
        <f>TRUNC(IF(FP7=0,1,FO13*(1+FP12)*FP7),5)</f>
        <v/>
      </c>
      <c r="FQ13" s="25">
        <f>TRUNC(IF(FQ7=0,1,FP13*(1+FQ12)*FQ7),5)</f>
        <v/>
      </c>
      <c r="FR13" s="25">
        <f>TRUNC(IF(FR7=0,1,FQ13*(1+FR12)*FR7),5)</f>
        <v/>
      </c>
      <c r="FS13" s="25">
        <f>TRUNC(IF(FS7=0,1,FR13*(1+FS12)*FS7),5)</f>
        <v/>
      </c>
      <c r="FT13" s="25">
        <f>TRUNC(IF(FT7=0,1,FS13*(1+FT12)*FT7),5)</f>
        <v/>
      </c>
      <c r="FU13" s="25">
        <f>TRUNC(IF(FU7=0,1,FT13*(1+FU12)*FU7),5)</f>
        <v/>
      </c>
      <c r="FV13" s="25">
        <f>TRUNC(IF(FV7=0,1,FU13*(1+FV12)*FV7),5)</f>
        <v/>
      </c>
      <c r="FW13" s="25">
        <f>TRUNC(IF(FW7=0,1,FV13*(1+FW12)*FW7),5)</f>
        <v/>
      </c>
      <c r="FX13" s="25">
        <f>TRUNC(IF(FX7=0,1,FW13*(1+FX12)*FX7),5)</f>
        <v/>
      </c>
      <c r="FY13" s="25">
        <f>TRUNC(IF(FY7=0,1,FX13*(1+FY12)*FY7),5)</f>
        <v/>
      </c>
      <c r="FZ13" s="25">
        <f>TRUNC(IF(FZ7=0,1,FY13*(1+FZ12)*FZ7),5)</f>
        <v/>
      </c>
      <c r="GA13" s="25">
        <f>TRUNC(IF(GA7=0,1,FZ13*(1+GA12)*GA7),5)</f>
        <v/>
      </c>
      <c r="GB13" s="25">
        <f>TRUNC(IF(GB7=0,1,GA13*(1+GB12)*GB7),5)</f>
        <v/>
      </c>
      <c r="GC13" s="25">
        <f>TRUNC(IF(GC7=0,1,GB13*(1+GC12)*GC7),5)</f>
        <v/>
      </c>
      <c r="GD13" s="25">
        <f>TRUNC(IF(GD7=0,1,GC13*(1+GD12)*GD7),5)</f>
        <v/>
      </c>
      <c r="GE13" s="25">
        <f>TRUNC(IF(GE7=0,1,GD13*(1+GE12)*GE7),5)</f>
        <v/>
      </c>
      <c r="GF13" s="25">
        <f>TRUNC(IF(GF7=0,1,GE13*(1+GF12)*GF7),5)</f>
        <v/>
      </c>
      <c r="GG13" s="25">
        <f>TRUNC(IF(GG7=0,1,GF13*(1+GG12)*GG7),5)</f>
        <v/>
      </c>
      <c r="GH13" s="25">
        <f>TRUNC(IF(GH7=0,1,GG13*(1+GH12)*GH7),5)</f>
        <v/>
      </c>
      <c r="GI13" s="25">
        <f>TRUNC(IF(GI7=0,1,GH13*(1+GI12)*GI7),5)</f>
        <v/>
      </c>
      <c r="GJ13" s="25">
        <f>TRUNC(IF(GJ7=0,1,GI13*(1+GJ12)*GJ7),5)</f>
        <v/>
      </c>
      <c r="GK13" s="25">
        <f>TRUNC(IF(GK7=0,1,GJ13*(1+GK12)*GK7),5)</f>
        <v/>
      </c>
      <c r="GL13" s="25">
        <f>TRUNC(IF(GL7=0,1,GK13*(1+GL12)*GL7),5)</f>
        <v/>
      </c>
      <c r="GM13" s="25">
        <f>TRUNC(IF(GM7=0,1,GL13*(1+GM12)*GM7),5)</f>
        <v/>
      </c>
      <c r="GN13" s="25">
        <f>TRUNC(IF(GN7=0,1,GM13*(1+GN12)*GN7),5)</f>
        <v/>
      </c>
      <c r="GO13" s="25">
        <f>TRUNC(IF(GO7=0,1,GN13*(1+GO12)*GO7),5)</f>
        <v/>
      </c>
      <c r="GP13" s="25">
        <f>TRUNC(IF(GP7=0,1,GO13*(1+GP12)*GP7),5)</f>
        <v/>
      </c>
      <c r="GQ13" s="25">
        <f>TRUNC(IF(GQ7=0,1,GP13*(1+GQ12)*GQ7),5)</f>
        <v/>
      </c>
      <c r="GR13" s="25">
        <f>TRUNC(IF(GR7=0,1,GQ13*(1+GR12)*GR7),5)</f>
        <v/>
      </c>
      <c r="GS13" s="25">
        <f>TRUNC(IF(GS7=0,1,GR13*(1+GS12)*GS7),5)</f>
        <v/>
      </c>
      <c r="GT13" s="25">
        <f>TRUNC(IF(GT7=0,1,GS13*(1+GT12)*GT7),5)</f>
        <v/>
      </c>
      <c r="GU13" s="25">
        <f>TRUNC(IF(GU7=0,1,GT13*(1+GU12)*GU7),5)</f>
        <v/>
      </c>
      <c r="GV13" s="25">
        <f>TRUNC(IF(GV7=0,1,GU13*(1+GV12)*GV7),5)</f>
        <v/>
      </c>
      <c r="GW13" s="25">
        <f>TRUNC(IF(GW7=0,1,GV13*(1+GW12)*GW7),5)</f>
        <v/>
      </c>
      <c r="GX13" s="25">
        <f>TRUNC(IF(GX7=0,1,GW13*(1+GX12)*GX7),5)</f>
        <v/>
      </c>
      <c r="GY13" s="25">
        <f>TRUNC(IF(GY7=0,1,GX13*(1+GY12)*GY7),5)</f>
        <v/>
      </c>
      <c r="GZ13" s="25">
        <f>TRUNC(IF(GZ7=0,1,GY13*(1+GZ12)*GZ7),5)</f>
        <v/>
      </c>
      <c r="HA13" s="25">
        <f>TRUNC(IF(HA7=0,1,GZ13*(1+HA12)*HA7),5)</f>
        <v/>
      </c>
      <c r="HB13" s="25">
        <f>TRUNC(IF(HB7=0,1,HA13*(1+HB12)*HB7),5)</f>
        <v/>
      </c>
      <c r="HC13" s="25">
        <f>TRUNC(IF(HC7=0,1,HB13*(1+HC12)*HC7),5)</f>
        <v/>
      </c>
      <c r="HD13" s="25">
        <f>TRUNC(IF(HD7=0,1,HC13*(1+HD12)*HD7),5)</f>
        <v/>
      </c>
      <c r="HE13" s="25">
        <f>TRUNC(IF(HE7=0,1,HD13*(1+HE12)*HE7),5)</f>
        <v/>
      </c>
      <c r="HF13" s="25">
        <f>TRUNC(IF(HF7=0,1,HE13*(1+HF12)*HF7),5)</f>
        <v/>
      </c>
      <c r="HG13" s="25">
        <f>TRUNC(IF(HG7=0,1,HF13*(1+HG12)*HG7),5)</f>
        <v/>
      </c>
      <c r="HH13" s="25">
        <f>TRUNC(IF(HH7=0,1,HG13*(1+HH12)*HH7),5)</f>
        <v/>
      </c>
      <c r="HI13" s="25">
        <f>TRUNC(IF(HI7=0,1,HH13*(1+HI12)*HI7),5)</f>
        <v/>
      </c>
      <c r="HJ13" s="25">
        <f>TRUNC(IF(HJ7=0,1,HI13*(1+HJ12)*HJ7),5)</f>
        <v/>
      </c>
      <c r="HK13" s="25">
        <f>TRUNC(IF(HK7=0,1,HJ13*(1+HK12)*HK7),5)</f>
        <v/>
      </c>
      <c r="HL13" s="25">
        <f>TRUNC(IF(HL7=0,1,HK13*(1+HL12)*HL7),5)</f>
        <v/>
      </c>
      <c r="HM13" s="25">
        <f>TRUNC(IF(HM7=0,1,HL13*(1+HM12)*HM7),5)</f>
        <v/>
      </c>
      <c r="HN13" s="25">
        <f>TRUNC(IF(HN7=0,1,HM13*(1+HN12)*HN7),5)</f>
        <v/>
      </c>
      <c r="HO13" s="25">
        <f>TRUNC(IF(HO7=0,1,HN13*(1+HO12)*HO7),5)</f>
        <v/>
      </c>
      <c r="HP13" s="25">
        <f>TRUNC(IF(HP7=0,1,HO13*(1+HP12)*HP7),5)</f>
        <v/>
      </c>
      <c r="HQ13" s="25">
        <f>TRUNC(IF(HQ7=0,1,HP13*(1+HQ12)*HQ7),5)</f>
        <v/>
      </c>
      <c r="HR13" s="25">
        <f>TRUNC(IF(HR7=0,1,HQ13*(1+HR12)*HR7),5)</f>
        <v/>
      </c>
      <c r="HS13" s="25">
        <f>TRUNC(IF(HS7=0,1,HR13*(1+HS12)*HS7),5)</f>
        <v/>
      </c>
      <c r="HT13" s="25">
        <f>TRUNC(IF(HT7=0,1,HS13*(1+HT12)*HT7),5)</f>
        <v/>
      </c>
      <c r="HU13" s="25">
        <f>TRUNC(IF(HU7=0,1,HT13*(1+HU12)*HU7),5)</f>
        <v/>
      </c>
      <c r="HV13" s="25">
        <f>TRUNC(IF(HV7=0,1,HU13*(1+HV12)*HV7),5)</f>
        <v/>
      </c>
      <c r="HW13" s="25">
        <f>TRUNC(IF(HW7=0,1,HV13*(1+HW12)*HW7),5)</f>
        <v/>
      </c>
      <c r="HX13" s="25">
        <f>TRUNC(IF(HX7=0,1,HW13*(1+HX12)*HX7),5)</f>
        <v/>
      </c>
      <c r="HY13" s="25">
        <f>TRUNC(IF(HY7=0,1,HX13*(1+HY12)*HY7),5)</f>
        <v/>
      </c>
      <c r="HZ13" s="25">
        <f>TRUNC(IF(HZ7=0,1,HY13*(1+HZ12)*HZ7),5)</f>
        <v/>
      </c>
      <c r="IA13" s="25">
        <f>TRUNC(IF(IA7=0,1,HZ13*(1+IA12)*IA7),5)</f>
        <v/>
      </c>
      <c r="IB13" s="25">
        <f>TRUNC(IF(IB7=0,1,IA13*(1+IB12)*IB7),5)</f>
        <v/>
      </c>
      <c r="IC13" s="25">
        <f>TRUNC(IF(IC7=0,1,IB13*(1+IC12)*IC7),5)</f>
        <v/>
      </c>
      <c r="ID13" s="25">
        <f>TRUNC(IF(ID7=0,1,IC13*(1+ID12)*ID7),5)</f>
        <v/>
      </c>
      <c r="IE13" s="25">
        <f>TRUNC(IF(IE7=0,1,ID13*(1+IE12)*IE7),5)</f>
        <v/>
      </c>
      <c r="IF13" s="25">
        <f>TRUNC(IF(IF7=0,1,IE13*(1+IF12)*IF7),5)</f>
        <v/>
      </c>
      <c r="IG13" s="25">
        <f>TRUNC(IF(IG7=0,1,IF13*(1+IG12)*IG7),5)</f>
        <v/>
      </c>
      <c r="IH13" s="25">
        <f>TRUNC(IF(IH7=0,1,IG13*(1+IH12)*IH7),5)</f>
        <v/>
      </c>
      <c r="II13" s="25">
        <f>TRUNC(IF(II7=0,1,IH13*(1+II12)*II7),5)</f>
        <v/>
      </c>
      <c r="IJ13" s="25">
        <f>TRUNC(IF(IJ7=0,1,II13*(1+IJ12)*IJ7),5)</f>
        <v/>
      </c>
      <c r="IK13" s="25">
        <f>TRUNC(IF(IK7=0,1,IJ13*(1+IK12)*IK7),5)</f>
        <v/>
      </c>
      <c r="IL13" s="25">
        <f>TRUNC(IF(IL7=0,1,IK13*(1+IL12)*IL7),5)</f>
        <v/>
      </c>
      <c r="IM13" s="25">
        <f>TRUNC(IF(IM7=0,1,IL13*(1+IM12)*IM7),5)</f>
        <v/>
      </c>
      <c r="IN13" s="25">
        <f>TRUNC(IF(IN7=0,1,IM13*(1+IN12)*IN7),5)</f>
        <v/>
      </c>
      <c r="IO13" s="25">
        <f>TRUNC(IF(IO7=0,1,IN13*(1+IO12)*IO7),5)</f>
        <v/>
      </c>
      <c r="IP13" s="25">
        <f>TRUNC(IF(IP7=0,1,IO13*(1+IP12)*IP7),5)</f>
        <v/>
      </c>
      <c r="IQ13" s="25">
        <f>TRUNC(IF(IQ7=0,1,IP13*(1+IQ12)*IQ7),5)</f>
        <v/>
      </c>
      <c r="IR13" s="25">
        <f>TRUNC(IF(IR7=0,1,IQ13*(1+IR12)*IR7),5)</f>
        <v/>
      </c>
      <c r="IS13" s="25">
        <f>TRUNC(IF(IS7=0,1,IR13*(1+IS12)*IS7),5)</f>
        <v/>
      </c>
      <c r="IT13" s="25">
        <f>TRUNC(IF(IT7=0,1,IS13*(1+IT12)*IT7),5)</f>
        <v/>
      </c>
      <c r="IU13" s="25">
        <f>TRUNC(IF(IU7=0,1,IT13*(1+IU12)*IU7),5)</f>
        <v/>
      </c>
      <c r="IV13" s="25">
        <f>TRUNC(IF(IV7=0,1,IU13*(1+IV12)*IV7),5)</f>
        <v/>
      </c>
      <c r="IW13" s="25">
        <f>TRUNC(IF(IW7=0,1,IV13*(1+IW12)*IW7),5)</f>
        <v/>
      </c>
      <c r="IX13" s="25">
        <f>TRUNC(IF(IX7=0,1,IW13*(1+IX12)*IX7),5)</f>
        <v/>
      </c>
      <c r="IY13" s="25">
        <f>TRUNC(IF(IY7=0,1,IX13*(1+IY12)*IY7),5)</f>
        <v/>
      </c>
      <c r="IZ13" s="25">
        <f>TRUNC(IF(IZ7=0,1,IY13*(1+IZ12)*IZ7),5)</f>
        <v/>
      </c>
      <c r="JA13" s="25">
        <f>TRUNC(IF(JA7=0,1,IZ13*(1+JA12)*JA7),5)</f>
        <v/>
      </c>
      <c r="JB13" s="25">
        <f>TRUNC(IF(JB7=0,1,JA13*(1+JB12)*JB7),5)</f>
        <v/>
      </c>
      <c r="JC13" s="25">
        <f>TRUNC(IF(JC7=0,1,JB13*(1+JC12)*JC7),5)</f>
        <v/>
      </c>
      <c r="JD13" s="25">
        <f>TRUNC(IF(JD7=0,1,JC13*(1+JD12)*JD7),5)</f>
        <v/>
      </c>
      <c r="JE13" s="25">
        <f>TRUNC(IF(JE7=0,1,JD13*(1+JE12)*JE7),5)</f>
        <v/>
      </c>
      <c r="JF13" s="25">
        <f>TRUNC(IF(JF7=0,1,JE13*(1+JF12)*JF7),5)</f>
        <v/>
      </c>
      <c r="JG13" s="25">
        <f>TRUNC(IF(JG7=0,1,JF13*(1+JG12)*JG7),5)</f>
        <v/>
      </c>
      <c r="JH13" s="25">
        <f>TRUNC(IF(JH7=0,1,JG13*(1+JH12)*JH7),5)</f>
        <v/>
      </c>
      <c r="JI13" s="25">
        <f>TRUNC(IF(JI7=0,1,JH13*(1+JI12)*JI7),5)</f>
        <v/>
      </c>
      <c r="JJ13" s="25">
        <f>TRUNC(IF(JJ7=0,1,JI13*(1+JJ12)*JJ7),5)</f>
        <v/>
      </c>
      <c r="JK13" s="25">
        <f>TRUNC(IF(JK7=0,1,JJ13*(1+JK12)*JK7),5)</f>
        <v/>
      </c>
      <c r="JL13" s="25">
        <f>TRUNC(IF(JL7=0,1,JK13*(1+JL12)*JL7),5)</f>
        <v/>
      </c>
      <c r="JM13" s="25">
        <f>TRUNC(IF(JM7=0,1,JL13*(1+JM12)*JM7),5)</f>
        <v/>
      </c>
      <c r="JN13" s="25">
        <f>TRUNC(IF(JN7=0,1,JM13*(1+JN12)*JN7),5)</f>
        <v/>
      </c>
      <c r="JO13" s="25">
        <f>TRUNC(IF(JO7=0,1,JN13*(1+JO12)*JO7),5)</f>
        <v/>
      </c>
      <c r="JP13" s="25">
        <f>TRUNC(IF(JP7=0,1,JO13*(1+JP12)*JP7),5)</f>
        <v/>
      </c>
      <c r="JQ13" s="25">
        <f>TRUNC(IF(JQ7=0,1,JP13*(1+JQ12)*JQ7),5)</f>
        <v/>
      </c>
      <c r="JR13" s="25">
        <f>TRUNC(IF(JR7=0,1,JQ13*(1+JR12)*JR7),5)</f>
        <v/>
      </c>
      <c r="JS13" s="25">
        <f>TRUNC(IF(JS7=0,1,JR13*(1+JS12)*JS7),5)</f>
        <v/>
      </c>
      <c r="JT13" s="25">
        <f>TRUNC(IF(JT7=0,1,JS13*(1+JT12)*JT7),5)</f>
        <v/>
      </c>
      <c r="JU13" s="25">
        <f>TRUNC(IF(JU7=0,1,JT13*(1+JU12)*JU7),5)</f>
        <v/>
      </c>
      <c r="JV13" s="25">
        <f>TRUNC(IF(JV7=0,1,JU13*(1+JV12)*JV7),5)</f>
        <v/>
      </c>
      <c r="JW13" s="25">
        <f>TRUNC(IF(JW7=0,1,JV13*(1+JW12)*JW7),5)</f>
        <v/>
      </c>
      <c r="JX13" s="25">
        <f>TRUNC(IF(JX7=0,1,JW13*(1+JX12)*JX7),5)</f>
        <v/>
      </c>
      <c r="JY13" s="25">
        <f>TRUNC(IF(JY7=0,1,JX13*(1+JY12)*JY7),5)</f>
        <v/>
      </c>
      <c r="JZ13" s="25">
        <f>TRUNC(IF(JZ7=0,1,JY13*(1+JZ12)*JZ7),5)</f>
        <v/>
      </c>
      <c r="KA13" s="25">
        <f>TRUNC(IF(KA7=0,1,JZ13*(1+KA12)*KA7),5)</f>
        <v/>
      </c>
      <c r="KB13" s="25">
        <f>TRUNC(IF(KB7=0,1,KA13*(1+KB12)*KB7),5)</f>
        <v/>
      </c>
      <c r="KC13" s="25">
        <f>TRUNC(IF(KC7=0,1,KB13*(1+KC12)*KC7),5)</f>
        <v/>
      </c>
      <c r="KD13" s="25">
        <f>TRUNC(IF(KD7=0,1,KC13*(1+KD12)*KD7),5)</f>
        <v/>
      </c>
      <c r="KE13" s="25">
        <f>TRUNC(IF(KE7=0,1,KD13*(1+KE12)*KE7),5)</f>
        <v/>
      </c>
      <c r="KF13" s="25">
        <f>TRUNC(IF(KF7=0,1,KE13*(1+KF12)*KF7),5)</f>
        <v/>
      </c>
      <c r="KG13" s="25">
        <f>TRUNC(IF(KG7=0,1,KF13*(1+KG12)*KG7),5)</f>
        <v/>
      </c>
      <c r="KH13" s="25">
        <f>TRUNC(IF(KH7=0,1,KG13*(1+KH12)*KH7),5)</f>
        <v/>
      </c>
      <c r="KI13" s="25">
        <f>TRUNC(IF(KI7=0,1,KH13*(1+KI12)*KI7),5)</f>
        <v/>
      </c>
      <c r="KJ13" s="25">
        <f>TRUNC(IF(KJ7=0,1,KI13*(1+KJ12)*KJ7),5)</f>
        <v/>
      </c>
      <c r="KK13" s="25">
        <f>TRUNC(IF(KK7=0,1,KJ13*(1+KK12)*KK7),5)</f>
        <v/>
      </c>
      <c r="KL13" s="25">
        <f>TRUNC(IF(KL7=0,1,KK13*(1+KL12)*KL7),5)</f>
        <v/>
      </c>
      <c r="KM13" s="25">
        <f>TRUNC(IF(KM7=0,1,KL13*(1+KM12)*KM7),5)</f>
        <v/>
      </c>
      <c r="KN13" s="25">
        <f>TRUNC(IF(KN7=0,1,KM13*(1+KN12)*KN7),5)</f>
        <v/>
      </c>
      <c r="KO13" s="25">
        <f>TRUNC(IF(KO7=0,1,KN13*(1+KO12)*KO7),5)</f>
        <v/>
      </c>
      <c r="KP13" s="25">
        <f>TRUNC(IF(KP7=0,1,KO13*(1+KP12)*KP7),5)</f>
        <v/>
      </c>
      <c r="KQ13" s="25">
        <f>TRUNC(IF(KQ7=0,1,KP13*(1+KQ12)*KQ7),5)</f>
        <v/>
      </c>
      <c r="KR13" s="25">
        <f>TRUNC(IF(KR7=0,1,KQ13*(1+KR12)*KR7),5)</f>
        <v/>
      </c>
      <c r="KS13" s="25">
        <f>TRUNC(IF(KS7=0,1,KR13*(1+KS12)*KS7),5)</f>
        <v/>
      </c>
      <c r="KT13" s="25">
        <f>TRUNC(IF(KT7=0,1,KS13*(1+KT12)*KT7),5)</f>
        <v/>
      </c>
      <c r="KU13" s="25">
        <f>TRUNC(IF(KU7=0,1,KT13*(1+KU12)*KU7),5)</f>
        <v/>
      </c>
      <c r="KV13" s="25">
        <f>TRUNC(IF(KV7=0,1,KU13*(1+KV12)*KV7),5)</f>
        <v/>
      </c>
      <c r="KW13" s="25">
        <f>TRUNC(IF(KW7=0,1,KV13*(1+KW12)*KW7),5)</f>
        <v/>
      </c>
      <c r="KX13" s="25">
        <f>TRUNC(IF(KX7=0,1,KW13*(1+KX12)*KX7),5)</f>
        <v/>
      </c>
      <c r="KY13" s="25">
        <f>TRUNC(IF(KY7=0,1,KX13*(1+KY12)*KY7),5)</f>
        <v/>
      </c>
      <c r="KZ13" s="25">
        <f>TRUNC(IF(KZ7=0,1,KY13*(1+KZ12)*KZ7),5)</f>
        <v/>
      </c>
      <c r="LA13" s="25">
        <f>TRUNC(IF(LA7=0,1,KZ13*(1+LA12)*LA7),5)</f>
        <v/>
      </c>
      <c r="LB13" s="25">
        <f>TRUNC(IF(LB7=0,1,LA13*(1+LB12)*LB7),5)</f>
        <v/>
      </c>
      <c r="LC13" s="25">
        <f>TRUNC(IF(LC7=0,1,LB13*(1+LC12)*LC7),5)</f>
        <v/>
      </c>
      <c r="LD13" s="25">
        <f>TRUNC(IF(LD7=0,1,LC13*(1+LD12)*LD7),5)</f>
        <v/>
      </c>
      <c r="LE13" s="25">
        <f>TRUNC(IF(LE7=0,1,LD13*(1+LE12)*LE7),5)</f>
        <v/>
      </c>
      <c r="LF13" s="25">
        <f>TRUNC(IF(LF7=0,1,LE13*(1+LF12)*LF7),5)</f>
        <v/>
      </c>
      <c r="LG13" s="25">
        <f>TRUNC(IF(LG7=0,1,LF13*(1+LG12)*LG7),5)</f>
        <v/>
      </c>
      <c r="LH13" s="25">
        <f>TRUNC(IF(LH7=0,1,LG13*(1+LH12)*LH7),5)</f>
        <v/>
      </c>
      <c r="LI13" s="25">
        <f>TRUNC(IF(LI7=0,1,LH13*(1+LI12)*LI7),5)</f>
        <v/>
      </c>
    </row>
    <row r="14">
      <c r="B14" s="22" t="inlineStr">
        <is>
          <t>Ingreso tarifario mensual</t>
        </is>
      </c>
      <c r="D14" s="20">
        <f>IF(D7=0,0,p_tarifa_usuario*D9*D13)/1000</f>
        <v/>
      </c>
      <c r="E14" s="20">
        <f>IF(E7=0,0,p_tarifa_usuario*E9*E13)/1000</f>
        <v/>
      </c>
      <c r="F14" s="20">
        <f>IF(F7=0,0,p_tarifa_usuario*F9*F13)/1000</f>
        <v/>
      </c>
      <c r="G14" s="20">
        <f>IF(G7=0,0,p_tarifa_usuario*G9*G13)/1000</f>
        <v/>
      </c>
      <c r="H14" s="20">
        <f>IF(H7=0,0,p_tarifa_usuario*H9*H13)/1000</f>
        <v/>
      </c>
      <c r="I14" s="20">
        <f>IF(I7=0,0,p_tarifa_usuario*I9*I13)/1000</f>
        <v/>
      </c>
      <c r="J14" s="20">
        <f>IF(J7=0,0,p_tarifa_usuario*J9*J13)/1000</f>
        <v/>
      </c>
      <c r="K14" s="20">
        <f>IF(K7=0,0,p_tarifa_usuario*K9*K13)/1000</f>
        <v/>
      </c>
      <c r="L14" s="20">
        <f>IF(L7=0,0,p_tarifa_usuario*L9*L13)/1000</f>
        <v/>
      </c>
      <c r="M14" s="20">
        <f>IF(M7=0,0,p_tarifa_usuario*M9*M13)/1000</f>
        <v/>
      </c>
      <c r="N14" s="20">
        <f>IF(N7=0,0,p_tarifa_usuario*N9*N13)/1000</f>
        <v/>
      </c>
      <c r="O14" s="20">
        <f>IF(O7=0,0,p_tarifa_usuario*O9*O13)/1000</f>
        <v/>
      </c>
      <c r="P14" s="20">
        <f>IF(P7=0,0,p_tarifa_usuario*P9*P13)/1000</f>
        <v/>
      </c>
      <c r="Q14" s="20">
        <f>IF(Q7=0,0,p_tarifa_usuario*Q9*Q13)/1000</f>
        <v/>
      </c>
      <c r="R14" s="20">
        <f>IF(R7=0,0,p_tarifa_usuario*R9*R13)/1000</f>
        <v/>
      </c>
      <c r="S14" s="20">
        <f>IF(S7=0,0,p_tarifa_usuario*S9*S13)/1000</f>
        <v/>
      </c>
      <c r="T14" s="20">
        <f>IF(T7=0,0,p_tarifa_usuario*T9*T13)/1000</f>
        <v/>
      </c>
      <c r="U14" s="20">
        <f>IF(U7=0,0,p_tarifa_usuario*U9*U13)/1000</f>
        <v/>
      </c>
      <c r="V14" s="20">
        <f>IF(V7=0,0,p_tarifa_usuario*V9*V13)/1000</f>
        <v/>
      </c>
      <c r="W14" s="20">
        <f>IF(W7=0,0,p_tarifa_usuario*W9*W13)/1000</f>
        <v/>
      </c>
      <c r="X14" s="20">
        <f>IF(X7=0,0,p_tarifa_usuario*X9*X13)/1000</f>
        <v/>
      </c>
      <c r="Y14" s="20">
        <f>IF(Y7=0,0,p_tarifa_usuario*Y9*Y13)/1000</f>
        <v/>
      </c>
      <c r="Z14" s="20">
        <f>IF(Z7=0,0,p_tarifa_usuario*Z9*Z13)/1000</f>
        <v/>
      </c>
      <c r="AA14" s="20">
        <f>IF(AA7=0,0,p_tarifa_usuario*AA9*AA13)/1000</f>
        <v/>
      </c>
      <c r="AB14" s="20">
        <f>IF(AB7=0,0,p_tarifa_usuario*AB9*AB13)/1000</f>
        <v/>
      </c>
      <c r="AC14" s="20">
        <f>IF(AC7=0,0,p_tarifa_usuario*AC9*AC13)/1000</f>
        <v/>
      </c>
      <c r="AD14" s="20">
        <f>IF(AD7=0,0,p_tarifa_usuario*AD9*AD13)/1000</f>
        <v/>
      </c>
      <c r="AE14" s="20">
        <f>IF(AE7=0,0,p_tarifa_usuario*AE9*AE13)/1000</f>
        <v/>
      </c>
      <c r="AF14" s="20">
        <f>IF(AF7=0,0,p_tarifa_usuario*AF9*AF13)/1000</f>
        <v/>
      </c>
      <c r="AG14" s="20">
        <f>IF(AG7=0,0,p_tarifa_usuario*AG9*AG13)/1000</f>
        <v/>
      </c>
      <c r="AH14" s="20">
        <f>IF(AH7=0,0,p_tarifa_usuario*AH9*AH13)/1000</f>
        <v/>
      </c>
      <c r="AI14" s="20">
        <f>IF(AI7=0,0,p_tarifa_usuario*AI9*AI13)/1000</f>
        <v/>
      </c>
      <c r="AJ14" s="20">
        <f>IF(AJ7=0,0,p_tarifa_usuario*AJ9*AJ13)/1000</f>
        <v/>
      </c>
      <c r="AK14" s="20">
        <f>IF(AK7=0,0,p_tarifa_usuario*AK9*AK13)/1000</f>
        <v/>
      </c>
      <c r="AL14" s="20">
        <f>IF(AL7=0,0,p_tarifa_usuario*AL9*AL13)/1000</f>
        <v/>
      </c>
      <c r="AM14" s="20">
        <f>IF(AM7=0,0,p_tarifa_usuario*AM9*AM13)/1000</f>
        <v/>
      </c>
      <c r="AN14" s="20">
        <f>IF(AN7=0,0,p_tarifa_usuario*AN9*AN13)/1000</f>
        <v/>
      </c>
      <c r="AO14" s="20">
        <f>IF(AO7=0,0,p_tarifa_usuario*AO9*AO13)/1000</f>
        <v/>
      </c>
      <c r="AP14" s="20">
        <f>IF(AP7=0,0,p_tarifa_usuario*AP9*AP13)/1000</f>
        <v/>
      </c>
      <c r="AQ14" s="20">
        <f>IF(AQ7=0,0,p_tarifa_usuario*AQ9*AQ13)/1000</f>
        <v/>
      </c>
      <c r="AR14" s="20">
        <f>IF(AR7=0,0,p_tarifa_usuario*AR9*AR13)/1000</f>
        <v/>
      </c>
      <c r="AS14" s="20">
        <f>IF(AS7=0,0,p_tarifa_usuario*AS9*AS13)/1000</f>
        <v/>
      </c>
      <c r="AT14" s="20">
        <f>IF(AT7=0,0,p_tarifa_usuario*AT9*AT13)/1000</f>
        <v/>
      </c>
      <c r="AU14" s="20">
        <f>IF(AU7=0,0,p_tarifa_usuario*AU9*AU13)/1000</f>
        <v/>
      </c>
      <c r="AV14" s="20">
        <f>IF(AV7=0,0,p_tarifa_usuario*AV9*AV13)/1000</f>
        <v/>
      </c>
      <c r="AW14" s="20">
        <f>IF(AW7=0,0,p_tarifa_usuario*AW9*AW13)/1000</f>
        <v/>
      </c>
      <c r="AX14" s="20">
        <f>IF(AX7=0,0,p_tarifa_usuario*AX9*AX13)/1000</f>
        <v/>
      </c>
      <c r="AY14" s="20">
        <f>IF(AY7=0,0,p_tarifa_usuario*AY9*AY13)/1000</f>
        <v/>
      </c>
      <c r="AZ14" s="20">
        <f>IF(AZ7=0,0,p_tarifa_usuario*AZ9*AZ13)/1000</f>
        <v/>
      </c>
      <c r="BA14" s="20">
        <f>IF(BA7=0,0,p_tarifa_usuario*BA9*BA13)/1000</f>
        <v/>
      </c>
      <c r="BB14" s="20">
        <f>IF(BB7=0,0,p_tarifa_usuario*BB9*BB13)/1000</f>
        <v/>
      </c>
      <c r="BC14" s="20">
        <f>IF(BC7=0,0,p_tarifa_usuario*BC9*BC13)/1000</f>
        <v/>
      </c>
      <c r="BD14" s="20">
        <f>IF(BD7=0,0,p_tarifa_usuario*BD9*BD13)/1000</f>
        <v/>
      </c>
      <c r="BE14" s="20">
        <f>IF(BE7=0,0,p_tarifa_usuario*BE9*BE13)/1000</f>
        <v/>
      </c>
      <c r="BF14" s="20">
        <f>IF(BF7=0,0,p_tarifa_usuario*BF9*BF13)/1000</f>
        <v/>
      </c>
      <c r="BG14" s="20">
        <f>IF(BG7=0,0,p_tarifa_usuario*BG9*BG13)/1000</f>
        <v/>
      </c>
      <c r="BH14" s="20">
        <f>IF(BH7=0,0,p_tarifa_usuario*BH9*BH13)/1000</f>
        <v/>
      </c>
      <c r="BI14" s="20">
        <f>IF(BI7=0,0,p_tarifa_usuario*BI9*BI13)/1000</f>
        <v/>
      </c>
      <c r="BJ14" s="20">
        <f>IF(BJ7=0,0,p_tarifa_usuario*BJ9*BJ13)/1000</f>
        <v/>
      </c>
      <c r="BK14" s="20">
        <f>IF(BK7=0,0,p_tarifa_usuario*BK9*BK13)/1000</f>
        <v/>
      </c>
      <c r="BL14" s="20">
        <f>IF(BL7=0,0,p_tarifa_usuario*BL9*BL13)/1000</f>
        <v/>
      </c>
      <c r="BM14" s="20">
        <f>IF(BM7=0,0,p_tarifa_usuario*BM9*BM13)/1000</f>
        <v/>
      </c>
      <c r="BN14" s="20">
        <f>IF(BN7=0,0,p_tarifa_usuario*BN9*BN13)/1000</f>
        <v/>
      </c>
      <c r="BO14" s="20">
        <f>IF(BO7=0,0,p_tarifa_usuario*BO9*BO13)/1000</f>
        <v/>
      </c>
      <c r="BP14" s="20">
        <f>IF(BP7=0,0,p_tarifa_usuario*BP9*BP13)/1000</f>
        <v/>
      </c>
      <c r="BQ14" s="20">
        <f>IF(BQ7=0,0,p_tarifa_usuario*BQ9*BQ13)/1000</f>
        <v/>
      </c>
      <c r="BR14" s="20">
        <f>IF(BR7=0,0,p_tarifa_usuario*BR9*BR13)/1000</f>
        <v/>
      </c>
      <c r="BS14" s="20">
        <f>IF(BS7=0,0,p_tarifa_usuario*BS9*BS13)/1000</f>
        <v/>
      </c>
      <c r="BT14" s="20">
        <f>IF(BT7=0,0,p_tarifa_usuario*BT9*BT13)/1000</f>
        <v/>
      </c>
      <c r="BU14" s="20">
        <f>IF(BU7=0,0,p_tarifa_usuario*BU9*BU13)/1000</f>
        <v/>
      </c>
      <c r="BV14" s="20">
        <f>IF(BV7=0,0,p_tarifa_usuario*BV9*BV13)/1000</f>
        <v/>
      </c>
      <c r="BW14" s="20">
        <f>IF(BW7=0,0,p_tarifa_usuario*BW9*BW13)/1000</f>
        <v/>
      </c>
      <c r="BX14" s="20">
        <f>IF(BX7=0,0,p_tarifa_usuario*BX9*BX13)/1000</f>
        <v/>
      </c>
      <c r="BY14" s="20">
        <f>IF(BY7=0,0,p_tarifa_usuario*BY9*BY13)/1000</f>
        <v/>
      </c>
      <c r="BZ14" s="20">
        <f>IF(BZ7=0,0,p_tarifa_usuario*BZ9*BZ13)/1000</f>
        <v/>
      </c>
      <c r="CA14" s="20">
        <f>IF(CA7=0,0,p_tarifa_usuario*CA9*CA13)/1000</f>
        <v/>
      </c>
      <c r="CB14" s="20">
        <f>IF(CB7=0,0,p_tarifa_usuario*CB9*CB13)/1000</f>
        <v/>
      </c>
      <c r="CC14" s="20">
        <f>IF(CC7=0,0,p_tarifa_usuario*CC9*CC13)/1000</f>
        <v/>
      </c>
      <c r="CD14" s="20">
        <f>IF(CD7=0,0,p_tarifa_usuario*CD9*CD13)/1000</f>
        <v/>
      </c>
      <c r="CE14" s="20">
        <f>IF(CE7=0,0,p_tarifa_usuario*CE9*CE13)/1000</f>
        <v/>
      </c>
      <c r="CF14" s="20">
        <f>IF(CF7=0,0,p_tarifa_usuario*CF9*CF13)/1000</f>
        <v/>
      </c>
      <c r="CG14" s="20">
        <f>IF(CG7=0,0,p_tarifa_usuario*CG9*CG13)/1000</f>
        <v/>
      </c>
      <c r="CH14" s="20">
        <f>IF(CH7=0,0,p_tarifa_usuario*CH9*CH13)/1000</f>
        <v/>
      </c>
      <c r="CI14" s="20">
        <f>IF(CI7=0,0,p_tarifa_usuario*CI9*CI13)/1000</f>
        <v/>
      </c>
      <c r="CJ14" s="20">
        <f>IF(CJ7=0,0,p_tarifa_usuario*CJ9*CJ13)/1000</f>
        <v/>
      </c>
      <c r="CK14" s="20">
        <f>IF(CK7=0,0,p_tarifa_usuario*CK9*CK13)/1000</f>
        <v/>
      </c>
      <c r="CL14" s="20">
        <f>IF(CL7=0,0,p_tarifa_usuario*CL9*CL13)/1000</f>
        <v/>
      </c>
      <c r="CM14" s="20">
        <f>IF(CM7=0,0,p_tarifa_usuario*CM9*CM13)/1000</f>
        <v/>
      </c>
      <c r="CN14" s="20">
        <f>IF(CN7=0,0,p_tarifa_usuario*CN9*CN13)/1000</f>
        <v/>
      </c>
      <c r="CO14" s="20">
        <f>IF(CO7=0,0,p_tarifa_usuario*CO9*CO13)/1000</f>
        <v/>
      </c>
      <c r="CP14" s="20">
        <f>IF(CP7=0,0,p_tarifa_usuario*CP9*CP13)/1000</f>
        <v/>
      </c>
      <c r="CQ14" s="20">
        <f>IF(CQ7=0,0,p_tarifa_usuario*CQ9*CQ13)/1000</f>
        <v/>
      </c>
      <c r="CR14" s="20">
        <f>IF(CR7=0,0,p_tarifa_usuario*CR9*CR13)/1000</f>
        <v/>
      </c>
      <c r="CS14" s="20">
        <f>IF(CS7=0,0,p_tarifa_usuario*CS9*CS13)/1000</f>
        <v/>
      </c>
      <c r="CT14" s="20">
        <f>IF(CT7=0,0,p_tarifa_usuario*CT9*CT13)/1000</f>
        <v/>
      </c>
      <c r="CU14" s="20">
        <f>IF(CU7=0,0,p_tarifa_usuario*CU9*CU13)/1000</f>
        <v/>
      </c>
      <c r="CV14" s="20">
        <f>IF(CV7=0,0,p_tarifa_usuario*CV9*CV13)/1000</f>
        <v/>
      </c>
      <c r="CW14" s="20">
        <f>IF(CW7=0,0,p_tarifa_usuario*CW9*CW13)/1000</f>
        <v/>
      </c>
      <c r="CX14" s="20">
        <f>IF(CX7=0,0,p_tarifa_usuario*CX9*CX13)/1000</f>
        <v/>
      </c>
      <c r="CY14" s="20">
        <f>IF(CY7=0,0,p_tarifa_usuario*CY9*CY13)/1000</f>
        <v/>
      </c>
      <c r="CZ14" s="20">
        <f>IF(CZ7=0,0,p_tarifa_usuario*CZ9*CZ13)/1000</f>
        <v/>
      </c>
      <c r="DA14" s="20">
        <f>IF(DA7=0,0,p_tarifa_usuario*DA9*DA13)/1000</f>
        <v/>
      </c>
      <c r="DB14" s="20">
        <f>IF(DB7=0,0,p_tarifa_usuario*DB9*DB13)/1000</f>
        <v/>
      </c>
      <c r="DC14" s="20">
        <f>IF(DC7=0,0,p_tarifa_usuario*DC9*DC13)/1000</f>
        <v/>
      </c>
      <c r="DD14" s="20">
        <f>IF(DD7=0,0,p_tarifa_usuario*DD9*DD13)/1000</f>
        <v/>
      </c>
      <c r="DE14" s="20">
        <f>IF(DE7=0,0,p_tarifa_usuario*DE9*DE13)/1000</f>
        <v/>
      </c>
      <c r="DF14" s="20">
        <f>IF(DF7=0,0,p_tarifa_usuario*DF9*DF13)/1000</f>
        <v/>
      </c>
      <c r="DG14" s="20">
        <f>IF(DG7=0,0,p_tarifa_usuario*DG9*DG13)/1000</f>
        <v/>
      </c>
      <c r="DH14" s="20">
        <f>IF(DH7=0,0,p_tarifa_usuario*DH9*DH13)/1000</f>
        <v/>
      </c>
      <c r="DI14" s="20">
        <f>IF(DI7=0,0,p_tarifa_usuario*DI9*DI13)/1000</f>
        <v/>
      </c>
      <c r="DJ14" s="20">
        <f>IF(DJ7=0,0,p_tarifa_usuario*DJ9*DJ13)/1000</f>
        <v/>
      </c>
      <c r="DK14" s="20">
        <f>IF(DK7=0,0,p_tarifa_usuario*DK9*DK13)/1000</f>
        <v/>
      </c>
      <c r="DL14" s="20">
        <f>IF(DL7=0,0,p_tarifa_usuario*DL9*DL13)/1000</f>
        <v/>
      </c>
      <c r="DM14" s="20">
        <f>IF(DM7=0,0,p_tarifa_usuario*DM9*DM13)/1000</f>
        <v/>
      </c>
      <c r="DN14" s="20">
        <f>IF(DN7=0,0,p_tarifa_usuario*DN9*DN13)/1000</f>
        <v/>
      </c>
      <c r="DO14" s="20">
        <f>IF(DO7=0,0,p_tarifa_usuario*DO9*DO13)/1000</f>
        <v/>
      </c>
      <c r="DP14" s="20">
        <f>IF(DP7=0,0,p_tarifa_usuario*DP9*DP13)/1000</f>
        <v/>
      </c>
      <c r="DQ14" s="20">
        <f>IF(DQ7=0,0,p_tarifa_usuario*DQ9*DQ13)/1000</f>
        <v/>
      </c>
      <c r="DR14" s="20">
        <f>IF(DR7=0,0,p_tarifa_usuario*DR9*DR13)/1000</f>
        <v/>
      </c>
      <c r="DS14" s="20">
        <f>IF(DS7=0,0,p_tarifa_usuario*DS9*DS13)/1000</f>
        <v/>
      </c>
      <c r="DT14" s="20">
        <f>IF(DT7=0,0,p_tarifa_usuario*DT9*DT13)/1000</f>
        <v/>
      </c>
      <c r="DU14" s="20">
        <f>IF(DU7=0,0,p_tarifa_usuario*DU9*DU13)/1000</f>
        <v/>
      </c>
      <c r="DV14" s="20">
        <f>IF(DV7=0,0,p_tarifa_usuario*DV9*DV13)/1000</f>
        <v/>
      </c>
      <c r="DW14" s="20">
        <f>IF(DW7=0,0,p_tarifa_usuario*DW9*DW13)/1000</f>
        <v/>
      </c>
      <c r="DX14" s="20">
        <f>IF(DX7=0,0,p_tarifa_usuario*DX9*DX13)/1000</f>
        <v/>
      </c>
      <c r="DY14" s="20">
        <f>IF(DY7=0,0,p_tarifa_usuario*DY9*DY13)/1000</f>
        <v/>
      </c>
      <c r="DZ14" s="20">
        <f>IF(DZ7=0,0,p_tarifa_usuario*DZ9*DZ13)/1000</f>
        <v/>
      </c>
      <c r="EA14" s="20">
        <f>IF(EA7=0,0,p_tarifa_usuario*EA9*EA13)/1000</f>
        <v/>
      </c>
      <c r="EB14" s="20">
        <f>IF(EB7=0,0,p_tarifa_usuario*EB9*EB13)/1000</f>
        <v/>
      </c>
      <c r="EC14" s="20">
        <f>IF(EC7=0,0,p_tarifa_usuario*EC9*EC13)/1000</f>
        <v/>
      </c>
      <c r="ED14" s="20">
        <f>IF(ED7=0,0,p_tarifa_usuario*ED9*ED13)/1000</f>
        <v/>
      </c>
      <c r="EE14" s="20">
        <f>IF(EE7=0,0,p_tarifa_usuario*EE9*EE13)/1000</f>
        <v/>
      </c>
      <c r="EF14" s="20">
        <f>IF(EF7=0,0,p_tarifa_usuario*EF9*EF13)/1000</f>
        <v/>
      </c>
      <c r="EG14" s="20">
        <f>IF(EG7=0,0,p_tarifa_usuario*EG9*EG13)/1000</f>
        <v/>
      </c>
      <c r="EH14" s="20">
        <f>IF(EH7=0,0,p_tarifa_usuario*EH9*EH13)/1000</f>
        <v/>
      </c>
      <c r="EI14" s="20">
        <f>IF(EI7=0,0,p_tarifa_usuario*EI9*EI13)/1000</f>
        <v/>
      </c>
      <c r="EJ14" s="20">
        <f>IF(EJ7=0,0,p_tarifa_usuario*EJ9*EJ13)/1000</f>
        <v/>
      </c>
      <c r="EK14" s="20">
        <f>IF(EK7=0,0,p_tarifa_usuario*EK9*EK13)/1000</f>
        <v/>
      </c>
      <c r="EL14" s="20">
        <f>IF(EL7=0,0,p_tarifa_usuario*EL9*EL13)/1000</f>
        <v/>
      </c>
      <c r="EM14" s="20">
        <f>IF(EM7=0,0,p_tarifa_usuario*EM9*EM13)/1000</f>
        <v/>
      </c>
      <c r="EN14" s="20">
        <f>IF(EN7=0,0,p_tarifa_usuario*EN9*EN13)/1000</f>
        <v/>
      </c>
      <c r="EO14" s="20">
        <f>IF(EO7=0,0,p_tarifa_usuario*EO9*EO13)/1000</f>
        <v/>
      </c>
      <c r="EP14" s="20">
        <f>IF(EP7=0,0,p_tarifa_usuario*EP9*EP13)/1000</f>
        <v/>
      </c>
      <c r="EQ14" s="20">
        <f>IF(EQ7=0,0,p_tarifa_usuario*EQ9*EQ13)/1000</f>
        <v/>
      </c>
      <c r="ER14" s="20">
        <f>IF(ER7=0,0,p_tarifa_usuario*ER9*ER13)/1000</f>
        <v/>
      </c>
      <c r="ES14" s="20">
        <f>IF(ES7=0,0,p_tarifa_usuario*ES9*ES13)/1000</f>
        <v/>
      </c>
      <c r="ET14" s="20">
        <f>IF(ET7=0,0,p_tarifa_usuario*ET9*ET13)/1000</f>
        <v/>
      </c>
      <c r="EU14" s="20">
        <f>IF(EU7=0,0,p_tarifa_usuario*EU9*EU13)/1000</f>
        <v/>
      </c>
      <c r="EV14" s="20">
        <f>IF(EV7=0,0,p_tarifa_usuario*EV9*EV13)/1000</f>
        <v/>
      </c>
      <c r="EW14" s="20">
        <f>IF(EW7=0,0,p_tarifa_usuario*EW9*EW13)/1000</f>
        <v/>
      </c>
      <c r="EX14" s="20">
        <f>IF(EX7=0,0,p_tarifa_usuario*EX9*EX13)/1000</f>
        <v/>
      </c>
      <c r="EY14" s="20">
        <f>IF(EY7=0,0,p_tarifa_usuario*EY9*EY13)/1000</f>
        <v/>
      </c>
      <c r="EZ14" s="20">
        <f>IF(EZ7=0,0,p_tarifa_usuario*EZ9*EZ13)/1000</f>
        <v/>
      </c>
      <c r="FA14" s="20">
        <f>IF(FA7=0,0,p_tarifa_usuario*FA9*FA13)/1000</f>
        <v/>
      </c>
      <c r="FB14" s="20">
        <f>IF(FB7=0,0,p_tarifa_usuario*FB9*FB13)/1000</f>
        <v/>
      </c>
      <c r="FC14" s="20">
        <f>IF(FC7=0,0,p_tarifa_usuario*FC9*FC13)/1000</f>
        <v/>
      </c>
      <c r="FD14" s="20">
        <f>IF(FD7=0,0,p_tarifa_usuario*FD9*FD13)/1000</f>
        <v/>
      </c>
      <c r="FE14" s="20">
        <f>IF(FE7=0,0,p_tarifa_usuario*FE9*FE13)/1000</f>
        <v/>
      </c>
      <c r="FF14" s="20">
        <f>IF(FF7=0,0,p_tarifa_usuario*FF9*FF13)/1000</f>
        <v/>
      </c>
      <c r="FG14" s="20">
        <f>IF(FG7=0,0,p_tarifa_usuario*FG9*FG13)/1000</f>
        <v/>
      </c>
      <c r="FH14" s="20">
        <f>IF(FH7=0,0,p_tarifa_usuario*FH9*FH13)/1000</f>
        <v/>
      </c>
      <c r="FI14" s="20">
        <f>IF(FI7=0,0,p_tarifa_usuario*FI9*FI13)/1000</f>
        <v/>
      </c>
      <c r="FJ14" s="20">
        <f>IF(FJ7=0,0,p_tarifa_usuario*FJ9*FJ13)/1000</f>
        <v/>
      </c>
      <c r="FK14" s="20">
        <f>IF(FK7=0,0,p_tarifa_usuario*FK9*FK13)/1000</f>
        <v/>
      </c>
      <c r="FL14" s="20">
        <f>IF(FL7=0,0,p_tarifa_usuario*FL9*FL13)/1000</f>
        <v/>
      </c>
      <c r="FM14" s="20">
        <f>IF(FM7=0,0,p_tarifa_usuario*FM9*FM13)/1000</f>
        <v/>
      </c>
      <c r="FN14" s="20">
        <f>IF(FN7=0,0,p_tarifa_usuario*FN9*FN13)/1000</f>
        <v/>
      </c>
      <c r="FO14" s="20">
        <f>IF(FO7=0,0,p_tarifa_usuario*FO9*FO13)/1000</f>
        <v/>
      </c>
      <c r="FP14" s="20">
        <f>IF(FP7=0,0,p_tarifa_usuario*FP9*FP13)/1000</f>
        <v/>
      </c>
      <c r="FQ14" s="20">
        <f>IF(FQ7=0,0,p_tarifa_usuario*FQ9*FQ13)/1000</f>
        <v/>
      </c>
      <c r="FR14" s="20">
        <f>IF(FR7=0,0,p_tarifa_usuario*FR9*FR13)/1000</f>
        <v/>
      </c>
      <c r="FS14" s="20">
        <f>IF(FS7=0,0,p_tarifa_usuario*FS9*FS13)/1000</f>
        <v/>
      </c>
      <c r="FT14" s="20">
        <f>IF(FT7=0,0,p_tarifa_usuario*FT9*FT13)/1000</f>
        <v/>
      </c>
      <c r="FU14" s="20">
        <f>IF(FU7=0,0,p_tarifa_usuario*FU9*FU13)/1000</f>
        <v/>
      </c>
      <c r="FV14" s="20">
        <f>IF(FV7=0,0,p_tarifa_usuario*FV9*FV13)/1000</f>
        <v/>
      </c>
      <c r="FW14" s="20">
        <f>IF(FW7=0,0,p_tarifa_usuario*FW9*FW13)/1000</f>
        <v/>
      </c>
      <c r="FX14" s="20">
        <f>IF(FX7=0,0,p_tarifa_usuario*FX9*FX13)/1000</f>
        <v/>
      </c>
      <c r="FY14" s="20">
        <f>IF(FY7=0,0,p_tarifa_usuario*FY9*FY13)/1000</f>
        <v/>
      </c>
      <c r="FZ14" s="20">
        <f>IF(FZ7=0,0,p_tarifa_usuario*FZ9*FZ13)/1000</f>
        <v/>
      </c>
      <c r="GA14" s="20">
        <f>IF(GA7=0,0,p_tarifa_usuario*GA9*GA13)/1000</f>
        <v/>
      </c>
      <c r="GB14" s="20">
        <f>IF(GB7=0,0,p_tarifa_usuario*GB9*GB13)/1000</f>
        <v/>
      </c>
      <c r="GC14" s="20">
        <f>IF(GC7=0,0,p_tarifa_usuario*GC9*GC13)/1000</f>
        <v/>
      </c>
      <c r="GD14" s="20">
        <f>IF(GD7=0,0,p_tarifa_usuario*GD9*GD13)/1000</f>
        <v/>
      </c>
      <c r="GE14" s="20">
        <f>IF(GE7=0,0,p_tarifa_usuario*GE9*GE13)/1000</f>
        <v/>
      </c>
      <c r="GF14" s="20">
        <f>IF(GF7=0,0,p_tarifa_usuario*GF9*GF13)/1000</f>
        <v/>
      </c>
      <c r="GG14" s="20">
        <f>IF(GG7=0,0,p_tarifa_usuario*GG9*GG13)/1000</f>
        <v/>
      </c>
      <c r="GH14" s="20">
        <f>IF(GH7=0,0,p_tarifa_usuario*GH9*GH13)/1000</f>
        <v/>
      </c>
      <c r="GI14" s="20">
        <f>IF(GI7=0,0,p_tarifa_usuario*GI9*GI13)/1000</f>
        <v/>
      </c>
      <c r="GJ14" s="20">
        <f>IF(GJ7=0,0,p_tarifa_usuario*GJ9*GJ13)/1000</f>
        <v/>
      </c>
      <c r="GK14" s="20">
        <f>IF(GK7=0,0,p_tarifa_usuario*GK9*GK13)/1000</f>
        <v/>
      </c>
      <c r="GL14" s="20">
        <f>IF(GL7=0,0,p_tarifa_usuario*GL9*GL13)/1000</f>
        <v/>
      </c>
      <c r="GM14" s="20">
        <f>IF(GM7=0,0,p_tarifa_usuario*GM9*GM13)/1000</f>
        <v/>
      </c>
      <c r="GN14" s="20">
        <f>IF(GN7=0,0,p_tarifa_usuario*GN9*GN13)/1000</f>
        <v/>
      </c>
      <c r="GO14" s="20">
        <f>IF(GO7=0,0,p_tarifa_usuario*GO9*GO13)/1000</f>
        <v/>
      </c>
      <c r="GP14" s="20">
        <f>IF(GP7=0,0,p_tarifa_usuario*GP9*GP13)/1000</f>
        <v/>
      </c>
      <c r="GQ14" s="20">
        <f>IF(GQ7=0,0,p_tarifa_usuario*GQ9*GQ13)/1000</f>
        <v/>
      </c>
      <c r="GR14" s="20">
        <f>IF(GR7=0,0,p_tarifa_usuario*GR9*GR13)/1000</f>
        <v/>
      </c>
      <c r="GS14" s="20">
        <f>IF(GS7=0,0,p_tarifa_usuario*GS9*GS13)/1000</f>
        <v/>
      </c>
      <c r="GT14" s="20">
        <f>IF(GT7=0,0,p_tarifa_usuario*GT9*GT13)/1000</f>
        <v/>
      </c>
      <c r="GU14" s="20">
        <f>IF(GU7=0,0,p_tarifa_usuario*GU9*GU13)/1000</f>
        <v/>
      </c>
      <c r="GV14" s="20">
        <f>IF(GV7=0,0,p_tarifa_usuario*GV9*GV13)/1000</f>
        <v/>
      </c>
      <c r="GW14" s="20">
        <f>IF(GW7=0,0,p_tarifa_usuario*GW9*GW13)/1000</f>
        <v/>
      </c>
      <c r="GX14" s="20">
        <f>IF(GX7=0,0,p_tarifa_usuario*GX9*GX13)/1000</f>
        <v/>
      </c>
      <c r="GY14" s="20">
        <f>IF(GY7=0,0,p_tarifa_usuario*GY9*GY13)/1000</f>
        <v/>
      </c>
      <c r="GZ14" s="20">
        <f>IF(GZ7=0,0,p_tarifa_usuario*GZ9*GZ13)/1000</f>
        <v/>
      </c>
      <c r="HA14" s="20">
        <f>IF(HA7=0,0,p_tarifa_usuario*HA9*HA13)/1000</f>
        <v/>
      </c>
      <c r="HB14" s="20">
        <f>IF(HB7=0,0,p_tarifa_usuario*HB9*HB13)/1000</f>
        <v/>
      </c>
      <c r="HC14" s="20">
        <f>IF(HC7=0,0,p_tarifa_usuario*HC9*HC13)/1000</f>
        <v/>
      </c>
      <c r="HD14" s="20">
        <f>IF(HD7=0,0,p_tarifa_usuario*HD9*HD13)/1000</f>
        <v/>
      </c>
      <c r="HE14" s="20">
        <f>IF(HE7=0,0,p_tarifa_usuario*HE9*HE13)/1000</f>
        <v/>
      </c>
      <c r="HF14" s="20">
        <f>IF(HF7=0,0,p_tarifa_usuario*HF9*HF13)/1000</f>
        <v/>
      </c>
      <c r="HG14" s="20">
        <f>IF(HG7=0,0,p_tarifa_usuario*HG9*HG13)/1000</f>
        <v/>
      </c>
      <c r="HH14" s="20">
        <f>IF(HH7=0,0,p_tarifa_usuario*HH9*HH13)/1000</f>
        <v/>
      </c>
      <c r="HI14" s="20">
        <f>IF(HI7=0,0,p_tarifa_usuario*HI9*HI13)/1000</f>
        <v/>
      </c>
      <c r="HJ14" s="20">
        <f>IF(HJ7=0,0,p_tarifa_usuario*HJ9*HJ13)/1000</f>
        <v/>
      </c>
      <c r="HK14" s="20">
        <f>IF(HK7=0,0,p_tarifa_usuario*HK9*HK13)/1000</f>
        <v/>
      </c>
      <c r="HL14" s="20">
        <f>IF(HL7=0,0,p_tarifa_usuario*HL9*HL13)/1000</f>
        <v/>
      </c>
      <c r="HM14" s="20">
        <f>IF(HM7=0,0,p_tarifa_usuario*HM9*HM13)/1000</f>
        <v/>
      </c>
      <c r="HN14" s="20">
        <f>IF(HN7=0,0,p_tarifa_usuario*HN9*HN13)/1000</f>
        <v/>
      </c>
      <c r="HO14" s="20">
        <f>IF(HO7=0,0,p_tarifa_usuario*HO9*HO13)/1000</f>
        <v/>
      </c>
      <c r="HP14" s="20">
        <f>IF(HP7=0,0,p_tarifa_usuario*HP9*HP13)/1000</f>
        <v/>
      </c>
      <c r="HQ14" s="20">
        <f>IF(HQ7=0,0,p_tarifa_usuario*HQ9*HQ13)/1000</f>
        <v/>
      </c>
      <c r="HR14" s="20">
        <f>IF(HR7=0,0,p_tarifa_usuario*HR9*HR13)/1000</f>
        <v/>
      </c>
      <c r="HS14" s="20">
        <f>IF(HS7=0,0,p_tarifa_usuario*HS9*HS13)/1000</f>
        <v/>
      </c>
      <c r="HT14" s="20">
        <f>IF(HT7=0,0,p_tarifa_usuario*HT9*HT13)/1000</f>
        <v/>
      </c>
      <c r="HU14" s="20">
        <f>IF(HU7=0,0,p_tarifa_usuario*HU9*HU13)/1000</f>
        <v/>
      </c>
      <c r="HV14" s="20">
        <f>IF(HV7=0,0,p_tarifa_usuario*HV9*HV13)/1000</f>
        <v/>
      </c>
      <c r="HW14" s="20">
        <f>IF(HW7=0,0,p_tarifa_usuario*HW9*HW13)/1000</f>
        <v/>
      </c>
      <c r="HX14" s="20">
        <f>IF(HX7=0,0,p_tarifa_usuario*HX9*HX13)/1000</f>
        <v/>
      </c>
      <c r="HY14" s="20">
        <f>IF(HY7=0,0,p_tarifa_usuario*HY9*HY13)/1000</f>
        <v/>
      </c>
      <c r="HZ14" s="20">
        <f>IF(HZ7=0,0,p_tarifa_usuario*HZ9*HZ13)/1000</f>
        <v/>
      </c>
      <c r="IA14" s="20">
        <f>IF(IA7=0,0,p_tarifa_usuario*IA9*IA13)/1000</f>
        <v/>
      </c>
      <c r="IB14" s="20">
        <f>IF(IB7=0,0,p_tarifa_usuario*IB9*IB13)/1000</f>
        <v/>
      </c>
      <c r="IC14" s="20">
        <f>IF(IC7=0,0,p_tarifa_usuario*IC9*IC13)/1000</f>
        <v/>
      </c>
      <c r="ID14" s="20">
        <f>IF(ID7=0,0,p_tarifa_usuario*ID9*ID13)/1000</f>
        <v/>
      </c>
      <c r="IE14" s="20">
        <f>IF(IE7=0,0,p_tarifa_usuario*IE9*IE13)/1000</f>
        <v/>
      </c>
      <c r="IF14" s="20">
        <f>IF(IF7=0,0,p_tarifa_usuario*IF9*IF13)/1000</f>
        <v/>
      </c>
      <c r="IG14" s="20">
        <f>IF(IG7=0,0,p_tarifa_usuario*IG9*IG13)/1000</f>
        <v/>
      </c>
      <c r="IH14" s="20">
        <f>IF(IH7=0,0,p_tarifa_usuario*IH9*IH13)/1000</f>
        <v/>
      </c>
      <c r="II14" s="20">
        <f>IF(II7=0,0,p_tarifa_usuario*II9*II13)/1000</f>
        <v/>
      </c>
      <c r="IJ14" s="20">
        <f>IF(IJ7=0,0,p_tarifa_usuario*IJ9*IJ13)/1000</f>
        <v/>
      </c>
      <c r="IK14" s="20">
        <f>IF(IK7=0,0,p_tarifa_usuario*IK9*IK13)/1000</f>
        <v/>
      </c>
      <c r="IL14" s="20">
        <f>IF(IL7=0,0,p_tarifa_usuario*IL9*IL13)/1000</f>
        <v/>
      </c>
      <c r="IM14" s="20">
        <f>IF(IM7=0,0,p_tarifa_usuario*IM9*IM13)/1000</f>
        <v/>
      </c>
      <c r="IN14" s="20">
        <f>IF(IN7=0,0,p_tarifa_usuario*IN9*IN13)/1000</f>
        <v/>
      </c>
      <c r="IO14" s="20">
        <f>IF(IO7=0,0,p_tarifa_usuario*IO9*IO13)/1000</f>
        <v/>
      </c>
      <c r="IP14" s="20">
        <f>IF(IP7=0,0,p_tarifa_usuario*IP9*IP13)/1000</f>
        <v/>
      </c>
      <c r="IQ14" s="20">
        <f>IF(IQ7=0,0,p_tarifa_usuario*IQ9*IQ13)/1000</f>
        <v/>
      </c>
      <c r="IR14" s="20">
        <f>IF(IR7=0,0,p_tarifa_usuario*IR9*IR13)/1000</f>
        <v/>
      </c>
      <c r="IS14" s="20">
        <f>IF(IS7=0,0,p_tarifa_usuario*IS9*IS13)/1000</f>
        <v/>
      </c>
      <c r="IT14" s="20">
        <f>IF(IT7=0,0,p_tarifa_usuario*IT9*IT13)/1000</f>
        <v/>
      </c>
      <c r="IU14" s="20">
        <f>IF(IU7=0,0,p_tarifa_usuario*IU9*IU13)/1000</f>
        <v/>
      </c>
      <c r="IV14" s="20">
        <f>IF(IV7=0,0,p_tarifa_usuario*IV9*IV13)/1000</f>
        <v/>
      </c>
      <c r="IW14" s="20">
        <f>IF(IW7=0,0,p_tarifa_usuario*IW9*IW13)/1000</f>
        <v/>
      </c>
      <c r="IX14" s="20">
        <f>IF(IX7=0,0,p_tarifa_usuario*IX9*IX13)/1000</f>
        <v/>
      </c>
      <c r="IY14" s="20">
        <f>IF(IY7=0,0,p_tarifa_usuario*IY9*IY13)/1000</f>
        <v/>
      </c>
      <c r="IZ14" s="20">
        <f>IF(IZ7=0,0,p_tarifa_usuario*IZ9*IZ13)/1000</f>
        <v/>
      </c>
      <c r="JA14" s="20">
        <f>IF(JA7=0,0,p_tarifa_usuario*JA9*JA13)/1000</f>
        <v/>
      </c>
      <c r="JB14" s="20">
        <f>IF(JB7=0,0,p_tarifa_usuario*JB9*JB13)/1000</f>
        <v/>
      </c>
      <c r="JC14" s="20">
        <f>IF(JC7=0,0,p_tarifa_usuario*JC9*JC13)/1000</f>
        <v/>
      </c>
      <c r="JD14" s="20">
        <f>IF(JD7=0,0,p_tarifa_usuario*JD9*JD13)/1000</f>
        <v/>
      </c>
      <c r="JE14" s="20">
        <f>IF(JE7=0,0,p_tarifa_usuario*JE9*JE13)/1000</f>
        <v/>
      </c>
      <c r="JF14" s="20">
        <f>IF(JF7=0,0,p_tarifa_usuario*JF9*JF13)/1000</f>
        <v/>
      </c>
      <c r="JG14" s="20">
        <f>IF(JG7=0,0,p_tarifa_usuario*JG9*JG13)/1000</f>
        <v/>
      </c>
      <c r="JH14" s="20">
        <f>IF(JH7=0,0,p_tarifa_usuario*JH9*JH13)/1000</f>
        <v/>
      </c>
      <c r="JI14" s="20">
        <f>IF(JI7=0,0,p_tarifa_usuario*JI9*JI13)/1000</f>
        <v/>
      </c>
      <c r="JJ14" s="20">
        <f>IF(JJ7=0,0,p_tarifa_usuario*JJ9*JJ13)/1000</f>
        <v/>
      </c>
      <c r="JK14" s="20">
        <f>IF(JK7=0,0,p_tarifa_usuario*JK9*JK13)/1000</f>
        <v/>
      </c>
      <c r="JL14" s="20">
        <f>IF(JL7=0,0,p_tarifa_usuario*JL9*JL13)/1000</f>
        <v/>
      </c>
      <c r="JM14" s="20">
        <f>IF(JM7=0,0,p_tarifa_usuario*JM9*JM13)/1000</f>
        <v/>
      </c>
      <c r="JN14" s="20">
        <f>IF(JN7=0,0,p_tarifa_usuario*JN9*JN13)/1000</f>
        <v/>
      </c>
      <c r="JO14" s="20">
        <f>IF(JO7=0,0,p_tarifa_usuario*JO9*JO13)/1000</f>
        <v/>
      </c>
      <c r="JP14" s="20">
        <f>IF(JP7=0,0,p_tarifa_usuario*JP9*JP13)/1000</f>
        <v/>
      </c>
      <c r="JQ14" s="20">
        <f>IF(JQ7=0,0,p_tarifa_usuario*JQ9*JQ13)/1000</f>
        <v/>
      </c>
      <c r="JR14" s="20">
        <f>IF(JR7=0,0,p_tarifa_usuario*JR9*JR13)/1000</f>
        <v/>
      </c>
      <c r="JS14" s="20">
        <f>IF(JS7=0,0,p_tarifa_usuario*JS9*JS13)/1000</f>
        <v/>
      </c>
      <c r="JT14" s="20">
        <f>IF(JT7=0,0,p_tarifa_usuario*JT9*JT13)/1000</f>
        <v/>
      </c>
      <c r="JU14" s="20">
        <f>IF(JU7=0,0,p_tarifa_usuario*JU9*JU13)/1000</f>
        <v/>
      </c>
      <c r="JV14" s="20">
        <f>IF(JV7=0,0,p_tarifa_usuario*JV9*JV13)/1000</f>
        <v/>
      </c>
      <c r="JW14" s="20">
        <f>IF(JW7=0,0,p_tarifa_usuario*JW9*JW13)/1000</f>
        <v/>
      </c>
      <c r="JX14" s="20">
        <f>IF(JX7=0,0,p_tarifa_usuario*JX9*JX13)/1000</f>
        <v/>
      </c>
      <c r="JY14" s="20">
        <f>IF(JY7=0,0,p_tarifa_usuario*JY9*JY13)/1000</f>
        <v/>
      </c>
      <c r="JZ14" s="20">
        <f>IF(JZ7=0,0,p_tarifa_usuario*JZ9*JZ13)/1000</f>
        <v/>
      </c>
      <c r="KA14" s="20">
        <f>IF(KA7=0,0,p_tarifa_usuario*KA9*KA13)/1000</f>
        <v/>
      </c>
      <c r="KB14" s="20">
        <f>IF(KB7=0,0,p_tarifa_usuario*KB9*KB13)/1000</f>
        <v/>
      </c>
      <c r="KC14" s="20">
        <f>IF(KC7=0,0,p_tarifa_usuario*KC9*KC13)/1000</f>
        <v/>
      </c>
      <c r="KD14" s="20">
        <f>IF(KD7=0,0,p_tarifa_usuario*KD9*KD13)/1000</f>
        <v/>
      </c>
      <c r="KE14" s="20">
        <f>IF(KE7=0,0,p_tarifa_usuario*KE9*KE13)/1000</f>
        <v/>
      </c>
      <c r="KF14" s="20">
        <f>IF(KF7=0,0,p_tarifa_usuario*KF9*KF13)/1000</f>
        <v/>
      </c>
      <c r="KG14" s="20">
        <f>IF(KG7=0,0,p_tarifa_usuario*KG9*KG13)/1000</f>
        <v/>
      </c>
      <c r="KH14" s="20">
        <f>IF(KH7=0,0,p_tarifa_usuario*KH9*KH13)/1000</f>
        <v/>
      </c>
      <c r="KI14" s="20">
        <f>IF(KI7=0,0,p_tarifa_usuario*KI9*KI13)/1000</f>
        <v/>
      </c>
      <c r="KJ14" s="20">
        <f>IF(KJ7=0,0,p_tarifa_usuario*KJ9*KJ13)/1000</f>
        <v/>
      </c>
      <c r="KK14" s="20">
        <f>IF(KK7=0,0,p_tarifa_usuario*KK9*KK13)/1000</f>
        <v/>
      </c>
      <c r="KL14" s="20">
        <f>IF(KL7=0,0,p_tarifa_usuario*KL9*KL13)/1000</f>
        <v/>
      </c>
      <c r="KM14" s="20">
        <f>IF(KM7=0,0,p_tarifa_usuario*KM9*KM13)/1000</f>
        <v/>
      </c>
      <c r="KN14" s="20">
        <f>IF(KN7=0,0,p_tarifa_usuario*KN9*KN13)/1000</f>
        <v/>
      </c>
      <c r="KO14" s="20">
        <f>IF(KO7=0,0,p_tarifa_usuario*KO9*KO13)/1000</f>
        <v/>
      </c>
      <c r="KP14" s="20">
        <f>IF(KP7=0,0,p_tarifa_usuario*KP9*KP13)/1000</f>
        <v/>
      </c>
      <c r="KQ14" s="20">
        <f>IF(KQ7=0,0,p_tarifa_usuario*KQ9*KQ13)/1000</f>
        <v/>
      </c>
      <c r="KR14" s="20">
        <f>IF(KR7=0,0,p_tarifa_usuario*KR9*KR13)/1000</f>
        <v/>
      </c>
      <c r="KS14" s="20">
        <f>IF(KS7=0,0,p_tarifa_usuario*KS9*KS13)/1000</f>
        <v/>
      </c>
      <c r="KT14" s="20">
        <f>IF(KT7=0,0,p_tarifa_usuario*KT9*KT13)/1000</f>
        <v/>
      </c>
      <c r="KU14" s="20">
        <f>IF(KU7=0,0,p_tarifa_usuario*KU9*KU13)/1000</f>
        <v/>
      </c>
      <c r="KV14" s="20">
        <f>IF(KV7=0,0,p_tarifa_usuario*KV9*KV13)/1000</f>
        <v/>
      </c>
      <c r="KW14" s="20">
        <f>IF(KW7=0,0,p_tarifa_usuario*KW9*KW13)/1000</f>
        <v/>
      </c>
      <c r="KX14" s="20">
        <f>IF(KX7=0,0,p_tarifa_usuario*KX9*KX13)/1000</f>
        <v/>
      </c>
      <c r="KY14" s="20">
        <f>IF(KY7=0,0,p_tarifa_usuario*KY9*KY13)/1000</f>
        <v/>
      </c>
      <c r="KZ14" s="20">
        <f>IF(KZ7=0,0,p_tarifa_usuario*KZ9*KZ13)/1000</f>
        <v/>
      </c>
      <c r="LA14" s="20">
        <f>IF(LA7=0,0,p_tarifa_usuario*LA9*LA13)/1000</f>
        <v/>
      </c>
      <c r="LB14" s="20">
        <f>IF(LB7=0,0,p_tarifa_usuario*LB9*LB13)/1000</f>
        <v/>
      </c>
      <c r="LC14" s="20">
        <f>IF(LC7=0,0,p_tarifa_usuario*LC9*LC13)/1000</f>
        <v/>
      </c>
      <c r="LD14" s="20">
        <f>IF(LD7=0,0,p_tarifa_usuario*LD9*LD13)/1000</f>
        <v/>
      </c>
      <c r="LE14" s="20">
        <f>IF(LE7=0,0,p_tarifa_usuario*LE9*LE13)/1000</f>
        <v/>
      </c>
      <c r="LF14" s="20">
        <f>IF(LF7=0,0,p_tarifa_usuario*LF9*LF13)/1000</f>
        <v/>
      </c>
      <c r="LG14" s="20">
        <f>IF(LG7=0,0,p_tarifa_usuario*LG9*LG13)/1000</f>
        <v/>
      </c>
      <c r="LH14" s="20">
        <f>IF(LH7=0,0,p_tarifa_usuario*LH9*LH13)/1000</f>
        <v/>
      </c>
      <c r="LI14" s="20">
        <f>IF(LI7=0,0,p_tarifa_usuario*LI9*LI13)/1000</f>
        <v/>
      </c>
    </row>
    <row r="15">
      <c r="B15" s="18" t="inlineStr">
        <is>
          <t>Primer mes de operacion</t>
        </is>
      </c>
      <c r="D15" s="19">
        <f>IF(AND(D7=1,0=0),1,0)</f>
        <v/>
      </c>
      <c r="E15" s="19">
        <f>IF(AND(E7=1,SUM($D7:D7)=0),1,0)</f>
        <v/>
      </c>
      <c r="F15" s="19">
        <f>IF(AND(F7=1,SUM($D7:E7)=0),1,0)</f>
        <v/>
      </c>
      <c r="G15" s="19">
        <f>IF(AND(G7=1,SUM($D7:F7)=0),1,0)</f>
        <v/>
      </c>
      <c r="H15" s="19">
        <f>IF(AND(H7=1,SUM($D7:G7)=0),1,0)</f>
        <v/>
      </c>
      <c r="I15" s="19">
        <f>IF(AND(I7=1,SUM($D7:H7)=0),1,0)</f>
        <v/>
      </c>
      <c r="J15" s="19">
        <f>IF(AND(J7=1,SUM($D7:I7)=0),1,0)</f>
        <v/>
      </c>
      <c r="K15" s="19">
        <f>IF(AND(K7=1,SUM($D7:J7)=0),1,0)</f>
        <v/>
      </c>
      <c r="L15" s="19">
        <f>IF(AND(L7=1,SUM($D7:K7)=0),1,0)</f>
        <v/>
      </c>
      <c r="M15" s="19">
        <f>IF(AND(M7=1,SUM($D7:L7)=0),1,0)</f>
        <v/>
      </c>
      <c r="N15" s="19">
        <f>IF(AND(N7=1,SUM($D7:M7)=0),1,0)</f>
        <v/>
      </c>
      <c r="O15" s="19">
        <f>IF(AND(O7=1,SUM($D7:N7)=0),1,0)</f>
        <v/>
      </c>
      <c r="P15" s="19">
        <f>IF(AND(P7=1,SUM($D7:O7)=0),1,0)</f>
        <v/>
      </c>
      <c r="Q15" s="19">
        <f>IF(AND(Q7=1,SUM($D7:P7)=0),1,0)</f>
        <v/>
      </c>
      <c r="R15" s="19">
        <f>IF(AND(R7=1,SUM($D7:Q7)=0),1,0)</f>
        <v/>
      </c>
      <c r="S15" s="19">
        <f>IF(AND(S7=1,SUM($D7:R7)=0),1,0)</f>
        <v/>
      </c>
      <c r="T15" s="19">
        <f>IF(AND(T7=1,SUM($D7:S7)=0),1,0)</f>
        <v/>
      </c>
      <c r="U15" s="19">
        <f>IF(AND(U7=1,SUM($D7:T7)=0),1,0)</f>
        <v/>
      </c>
      <c r="V15" s="19">
        <f>IF(AND(V7=1,SUM($D7:U7)=0),1,0)</f>
        <v/>
      </c>
      <c r="W15" s="19">
        <f>IF(AND(W7=1,SUM($D7:V7)=0),1,0)</f>
        <v/>
      </c>
      <c r="X15" s="19">
        <f>IF(AND(X7=1,SUM($D7:W7)=0),1,0)</f>
        <v/>
      </c>
      <c r="Y15" s="19">
        <f>IF(AND(Y7=1,SUM($D7:X7)=0),1,0)</f>
        <v/>
      </c>
      <c r="Z15" s="19">
        <f>IF(AND(Z7=1,SUM($D7:Y7)=0),1,0)</f>
        <v/>
      </c>
      <c r="AA15" s="19">
        <f>IF(AND(AA7=1,SUM($D7:Z7)=0),1,0)</f>
        <v/>
      </c>
      <c r="AB15" s="19">
        <f>IF(AND(AB7=1,SUM($D7:AA7)=0),1,0)</f>
        <v/>
      </c>
      <c r="AC15" s="19">
        <f>IF(AND(AC7=1,SUM($D7:AB7)=0),1,0)</f>
        <v/>
      </c>
      <c r="AD15" s="19">
        <f>IF(AND(AD7=1,SUM($D7:AC7)=0),1,0)</f>
        <v/>
      </c>
      <c r="AE15" s="19">
        <f>IF(AND(AE7=1,SUM($D7:AD7)=0),1,0)</f>
        <v/>
      </c>
      <c r="AF15" s="19">
        <f>IF(AND(AF7=1,SUM($D7:AE7)=0),1,0)</f>
        <v/>
      </c>
      <c r="AG15" s="19">
        <f>IF(AND(AG7=1,SUM($D7:AF7)=0),1,0)</f>
        <v/>
      </c>
      <c r="AH15" s="19">
        <f>IF(AND(AH7=1,SUM($D7:AG7)=0),1,0)</f>
        <v/>
      </c>
      <c r="AI15" s="19">
        <f>IF(AND(AI7=1,SUM($D7:AH7)=0),1,0)</f>
        <v/>
      </c>
      <c r="AJ15" s="19">
        <f>IF(AND(AJ7=1,SUM($D7:AI7)=0),1,0)</f>
        <v/>
      </c>
      <c r="AK15" s="19">
        <f>IF(AND(AK7=1,SUM($D7:AJ7)=0),1,0)</f>
        <v/>
      </c>
      <c r="AL15" s="19">
        <f>IF(AND(AL7=1,SUM($D7:AK7)=0),1,0)</f>
        <v/>
      </c>
      <c r="AM15" s="19">
        <f>IF(AND(AM7=1,SUM($D7:AL7)=0),1,0)</f>
        <v/>
      </c>
      <c r="AN15" s="19">
        <f>IF(AND(AN7=1,SUM($D7:AM7)=0),1,0)</f>
        <v/>
      </c>
      <c r="AO15" s="19">
        <f>IF(AND(AO7=1,SUM($D7:AN7)=0),1,0)</f>
        <v/>
      </c>
      <c r="AP15" s="19">
        <f>IF(AND(AP7=1,SUM($D7:AO7)=0),1,0)</f>
        <v/>
      </c>
      <c r="AQ15" s="19">
        <f>IF(AND(AQ7=1,SUM($D7:AP7)=0),1,0)</f>
        <v/>
      </c>
      <c r="AR15" s="19">
        <f>IF(AND(AR7=1,SUM($D7:AQ7)=0),1,0)</f>
        <v/>
      </c>
      <c r="AS15" s="19">
        <f>IF(AND(AS7=1,SUM($D7:AR7)=0),1,0)</f>
        <v/>
      </c>
      <c r="AT15" s="19">
        <f>IF(AND(AT7=1,SUM($D7:AS7)=0),1,0)</f>
        <v/>
      </c>
      <c r="AU15" s="19">
        <f>IF(AND(AU7=1,SUM($D7:AT7)=0),1,0)</f>
        <v/>
      </c>
      <c r="AV15" s="19">
        <f>IF(AND(AV7=1,SUM($D7:AU7)=0),1,0)</f>
        <v/>
      </c>
      <c r="AW15" s="19">
        <f>IF(AND(AW7=1,SUM($D7:AV7)=0),1,0)</f>
        <v/>
      </c>
      <c r="AX15" s="19">
        <f>IF(AND(AX7=1,SUM($D7:AW7)=0),1,0)</f>
        <v/>
      </c>
      <c r="AY15" s="19">
        <f>IF(AND(AY7=1,SUM($D7:AX7)=0),1,0)</f>
        <v/>
      </c>
      <c r="AZ15" s="19">
        <f>IF(AND(AZ7=1,SUM($D7:AY7)=0),1,0)</f>
        <v/>
      </c>
      <c r="BA15" s="19">
        <f>IF(AND(BA7=1,SUM($D7:AZ7)=0),1,0)</f>
        <v/>
      </c>
      <c r="BB15" s="19">
        <f>IF(AND(BB7=1,SUM($D7:BA7)=0),1,0)</f>
        <v/>
      </c>
      <c r="BC15" s="19">
        <f>IF(AND(BC7=1,SUM($D7:BB7)=0),1,0)</f>
        <v/>
      </c>
      <c r="BD15" s="19">
        <f>IF(AND(BD7=1,SUM($D7:BC7)=0),1,0)</f>
        <v/>
      </c>
      <c r="BE15" s="19">
        <f>IF(AND(BE7=1,SUM($D7:BD7)=0),1,0)</f>
        <v/>
      </c>
      <c r="BF15" s="19">
        <f>IF(AND(BF7=1,SUM($D7:BE7)=0),1,0)</f>
        <v/>
      </c>
      <c r="BG15" s="19">
        <f>IF(AND(BG7=1,SUM($D7:BF7)=0),1,0)</f>
        <v/>
      </c>
      <c r="BH15" s="19">
        <f>IF(AND(BH7=1,SUM($D7:BG7)=0),1,0)</f>
        <v/>
      </c>
      <c r="BI15" s="19">
        <f>IF(AND(BI7=1,SUM($D7:BH7)=0),1,0)</f>
        <v/>
      </c>
      <c r="BJ15" s="19">
        <f>IF(AND(BJ7=1,SUM($D7:BI7)=0),1,0)</f>
        <v/>
      </c>
      <c r="BK15" s="19">
        <f>IF(AND(BK7=1,SUM($D7:BJ7)=0),1,0)</f>
        <v/>
      </c>
      <c r="BL15" s="19">
        <f>IF(AND(BL7=1,SUM($D7:BK7)=0),1,0)</f>
        <v/>
      </c>
      <c r="BM15" s="19">
        <f>IF(AND(BM7=1,SUM($D7:BL7)=0),1,0)</f>
        <v/>
      </c>
      <c r="BN15" s="19">
        <f>IF(AND(BN7=1,SUM($D7:BM7)=0),1,0)</f>
        <v/>
      </c>
      <c r="BO15" s="19">
        <f>IF(AND(BO7=1,SUM($D7:BN7)=0),1,0)</f>
        <v/>
      </c>
      <c r="BP15" s="19">
        <f>IF(AND(BP7=1,SUM($D7:BO7)=0),1,0)</f>
        <v/>
      </c>
      <c r="BQ15" s="19">
        <f>IF(AND(BQ7=1,SUM($D7:BP7)=0),1,0)</f>
        <v/>
      </c>
      <c r="BR15" s="19">
        <f>IF(AND(BR7=1,SUM($D7:BQ7)=0),1,0)</f>
        <v/>
      </c>
      <c r="BS15" s="19">
        <f>IF(AND(BS7=1,SUM($D7:BR7)=0),1,0)</f>
        <v/>
      </c>
      <c r="BT15" s="19">
        <f>IF(AND(BT7=1,SUM($D7:BS7)=0),1,0)</f>
        <v/>
      </c>
      <c r="BU15" s="19">
        <f>IF(AND(BU7=1,SUM($D7:BT7)=0),1,0)</f>
        <v/>
      </c>
      <c r="BV15" s="19">
        <f>IF(AND(BV7=1,SUM($D7:BU7)=0),1,0)</f>
        <v/>
      </c>
      <c r="BW15" s="19">
        <f>IF(AND(BW7=1,SUM($D7:BV7)=0),1,0)</f>
        <v/>
      </c>
      <c r="BX15" s="19">
        <f>IF(AND(BX7=1,SUM($D7:BW7)=0),1,0)</f>
        <v/>
      </c>
      <c r="BY15" s="19">
        <f>IF(AND(BY7=1,SUM($D7:BX7)=0),1,0)</f>
        <v/>
      </c>
      <c r="BZ15" s="19">
        <f>IF(AND(BZ7=1,SUM($D7:BY7)=0),1,0)</f>
        <v/>
      </c>
      <c r="CA15" s="19">
        <f>IF(AND(CA7=1,SUM($D7:BZ7)=0),1,0)</f>
        <v/>
      </c>
      <c r="CB15" s="19">
        <f>IF(AND(CB7=1,SUM($D7:CA7)=0),1,0)</f>
        <v/>
      </c>
      <c r="CC15" s="19">
        <f>IF(AND(CC7=1,SUM($D7:CB7)=0),1,0)</f>
        <v/>
      </c>
      <c r="CD15" s="19">
        <f>IF(AND(CD7=1,SUM($D7:CC7)=0),1,0)</f>
        <v/>
      </c>
      <c r="CE15" s="19">
        <f>IF(AND(CE7=1,SUM($D7:CD7)=0),1,0)</f>
        <v/>
      </c>
      <c r="CF15" s="19">
        <f>IF(AND(CF7=1,SUM($D7:CE7)=0),1,0)</f>
        <v/>
      </c>
      <c r="CG15" s="19">
        <f>IF(AND(CG7=1,SUM($D7:CF7)=0),1,0)</f>
        <v/>
      </c>
      <c r="CH15" s="19">
        <f>IF(AND(CH7=1,SUM($D7:CG7)=0),1,0)</f>
        <v/>
      </c>
      <c r="CI15" s="19">
        <f>IF(AND(CI7=1,SUM($D7:CH7)=0),1,0)</f>
        <v/>
      </c>
      <c r="CJ15" s="19">
        <f>IF(AND(CJ7=1,SUM($D7:CI7)=0),1,0)</f>
        <v/>
      </c>
      <c r="CK15" s="19">
        <f>IF(AND(CK7=1,SUM($D7:CJ7)=0),1,0)</f>
        <v/>
      </c>
      <c r="CL15" s="19">
        <f>IF(AND(CL7=1,SUM($D7:CK7)=0),1,0)</f>
        <v/>
      </c>
      <c r="CM15" s="19">
        <f>IF(AND(CM7=1,SUM($D7:CL7)=0),1,0)</f>
        <v/>
      </c>
      <c r="CN15" s="19">
        <f>IF(AND(CN7=1,SUM($D7:CM7)=0),1,0)</f>
        <v/>
      </c>
      <c r="CO15" s="19">
        <f>IF(AND(CO7=1,SUM($D7:CN7)=0),1,0)</f>
        <v/>
      </c>
      <c r="CP15" s="19">
        <f>IF(AND(CP7=1,SUM($D7:CO7)=0),1,0)</f>
        <v/>
      </c>
      <c r="CQ15" s="19">
        <f>IF(AND(CQ7=1,SUM($D7:CP7)=0),1,0)</f>
        <v/>
      </c>
      <c r="CR15" s="19">
        <f>IF(AND(CR7=1,SUM($D7:CQ7)=0),1,0)</f>
        <v/>
      </c>
      <c r="CS15" s="19">
        <f>IF(AND(CS7=1,SUM($D7:CR7)=0),1,0)</f>
        <v/>
      </c>
      <c r="CT15" s="19">
        <f>IF(AND(CT7=1,SUM($D7:CS7)=0),1,0)</f>
        <v/>
      </c>
      <c r="CU15" s="19">
        <f>IF(AND(CU7=1,SUM($D7:CT7)=0),1,0)</f>
        <v/>
      </c>
      <c r="CV15" s="19">
        <f>IF(AND(CV7=1,SUM($D7:CU7)=0),1,0)</f>
        <v/>
      </c>
      <c r="CW15" s="19">
        <f>IF(AND(CW7=1,SUM($D7:CV7)=0),1,0)</f>
        <v/>
      </c>
      <c r="CX15" s="19">
        <f>IF(AND(CX7=1,SUM($D7:CW7)=0),1,0)</f>
        <v/>
      </c>
      <c r="CY15" s="19">
        <f>IF(AND(CY7=1,SUM($D7:CX7)=0),1,0)</f>
        <v/>
      </c>
      <c r="CZ15" s="19">
        <f>IF(AND(CZ7=1,SUM($D7:CY7)=0),1,0)</f>
        <v/>
      </c>
      <c r="DA15" s="19">
        <f>IF(AND(DA7=1,SUM($D7:CZ7)=0),1,0)</f>
        <v/>
      </c>
      <c r="DB15" s="19">
        <f>IF(AND(DB7=1,SUM($D7:DA7)=0),1,0)</f>
        <v/>
      </c>
      <c r="DC15" s="19">
        <f>IF(AND(DC7=1,SUM($D7:DB7)=0),1,0)</f>
        <v/>
      </c>
      <c r="DD15" s="19">
        <f>IF(AND(DD7=1,SUM($D7:DC7)=0),1,0)</f>
        <v/>
      </c>
      <c r="DE15" s="19">
        <f>IF(AND(DE7=1,SUM($D7:DD7)=0),1,0)</f>
        <v/>
      </c>
      <c r="DF15" s="19">
        <f>IF(AND(DF7=1,SUM($D7:DE7)=0),1,0)</f>
        <v/>
      </c>
      <c r="DG15" s="19">
        <f>IF(AND(DG7=1,SUM($D7:DF7)=0),1,0)</f>
        <v/>
      </c>
      <c r="DH15" s="19">
        <f>IF(AND(DH7=1,SUM($D7:DG7)=0),1,0)</f>
        <v/>
      </c>
      <c r="DI15" s="19">
        <f>IF(AND(DI7=1,SUM($D7:DH7)=0),1,0)</f>
        <v/>
      </c>
      <c r="DJ15" s="19">
        <f>IF(AND(DJ7=1,SUM($D7:DI7)=0),1,0)</f>
        <v/>
      </c>
      <c r="DK15" s="19">
        <f>IF(AND(DK7=1,SUM($D7:DJ7)=0),1,0)</f>
        <v/>
      </c>
      <c r="DL15" s="19">
        <f>IF(AND(DL7=1,SUM($D7:DK7)=0),1,0)</f>
        <v/>
      </c>
      <c r="DM15" s="19">
        <f>IF(AND(DM7=1,SUM($D7:DL7)=0),1,0)</f>
        <v/>
      </c>
      <c r="DN15" s="19">
        <f>IF(AND(DN7=1,SUM($D7:DM7)=0),1,0)</f>
        <v/>
      </c>
      <c r="DO15" s="19">
        <f>IF(AND(DO7=1,SUM($D7:DN7)=0),1,0)</f>
        <v/>
      </c>
      <c r="DP15" s="19">
        <f>IF(AND(DP7=1,SUM($D7:DO7)=0),1,0)</f>
        <v/>
      </c>
      <c r="DQ15" s="19">
        <f>IF(AND(DQ7=1,SUM($D7:DP7)=0),1,0)</f>
        <v/>
      </c>
      <c r="DR15" s="19">
        <f>IF(AND(DR7=1,SUM($D7:DQ7)=0),1,0)</f>
        <v/>
      </c>
      <c r="DS15" s="19">
        <f>IF(AND(DS7=1,SUM($D7:DR7)=0),1,0)</f>
        <v/>
      </c>
      <c r="DT15" s="19">
        <f>IF(AND(DT7=1,SUM($D7:DS7)=0),1,0)</f>
        <v/>
      </c>
      <c r="DU15" s="19">
        <f>IF(AND(DU7=1,SUM($D7:DT7)=0),1,0)</f>
        <v/>
      </c>
      <c r="DV15" s="19">
        <f>IF(AND(DV7=1,SUM($D7:DU7)=0),1,0)</f>
        <v/>
      </c>
      <c r="DW15" s="19">
        <f>IF(AND(DW7=1,SUM($D7:DV7)=0),1,0)</f>
        <v/>
      </c>
      <c r="DX15" s="19">
        <f>IF(AND(DX7=1,SUM($D7:DW7)=0),1,0)</f>
        <v/>
      </c>
      <c r="DY15" s="19">
        <f>IF(AND(DY7=1,SUM($D7:DX7)=0),1,0)</f>
        <v/>
      </c>
      <c r="DZ15" s="19">
        <f>IF(AND(DZ7=1,SUM($D7:DY7)=0),1,0)</f>
        <v/>
      </c>
      <c r="EA15" s="19">
        <f>IF(AND(EA7=1,SUM($D7:DZ7)=0),1,0)</f>
        <v/>
      </c>
      <c r="EB15" s="19">
        <f>IF(AND(EB7=1,SUM($D7:EA7)=0),1,0)</f>
        <v/>
      </c>
      <c r="EC15" s="19">
        <f>IF(AND(EC7=1,SUM($D7:EB7)=0),1,0)</f>
        <v/>
      </c>
      <c r="ED15" s="19">
        <f>IF(AND(ED7=1,SUM($D7:EC7)=0),1,0)</f>
        <v/>
      </c>
      <c r="EE15" s="19">
        <f>IF(AND(EE7=1,SUM($D7:ED7)=0),1,0)</f>
        <v/>
      </c>
      <c r="EF15" s="19">
        <f>IF(AND(EF7=1,SUM($D7:EE7)=0),1,0)</f>
        <v/>
      </c>
      <c r="EG15" s="19">
        <f>IF(AND(EG7=1,SUM($D7:EF7)=0),1,0)</f>
        <v/>
      </c>
      <c r="EH15" s="19">
        <f>IF(AND(EH7=1,SUM($D7:EG7)=0),1,0)</f>
        <v/>
      </c>
      <c r="EI15" s="19">
        <f>IF(AND(EI7=1,SUM($D7:EH7)=0),1,0)</f>
        <v/>
      </c>
      <c r="EJ15" s="19">
        <f>IF(AND(EJ7=1,SUM($D7:EI7)=0),1,0)</f>
        <v/>
      </c>
      <c r="EK15" s="19">
        <f>IF(AND(EK7=1,SUM($D7:EJ7)=0),1,0)</f>
        <v/>
      </c>
      <c r="EL15" s="19">
        <f>IF(AND(EL7=1,SUM($D7:EK7)=0),1,0)</f>
        <v/>
      </c>
      <c r="EM15" s="19">
        <f>IF(AND(EM7=1,SUM($D7:EL7)=0),1,0)</f>
        <v/>
      </c>
      <c r="EN15" s="19">
        <f>IF(AND(EN7=1,SUM($D7:EM7)=0),1,0)</f>
        <v/>
      </c>
      <c r="EO15" s="19">
        <f>IF(AND(EO7=1,SUM($D7:EN7)=0),1,0)</f>
        <v/>
      </c>
      <c r="EP15" s="19">
        <f>IF(AND(EP7=1,SUM($D7:EO7)=0),1,0)</f>
        <v/>
      </c>
      <c r="EQ15" s="19">
        <f>IF(AND(EQ7=1,SUM($D7:EP7)=0),1,0)</f>
        <v/>
      </c>
      <c r="ER15" s="19">
        <f>IF(AND(ER7=1,SUM($D7:EQ7)=0),1,0)</f>
        <v/>
      </c>
      <c r="ES15" s="19">
        <f>IF(AND(ES7=1,SUM($D7:ER7)=0),1,0)</f>
        <v/>
      </c>
      <c r="ET15" s="19">
        <f>IF(AND(ET7=1,SUM($D7:ES7)=0),1,0)</f>
        <v/>
      </c>
      <c r="EU15" s="19">
        <f>IF(AND(EU7=1,SUM($D7:ET7)=0),1,0)</f>
        <v/>
      </c>
      <c r="EV15" s="19">
        <f>IF(AND(EV7=1,SUM($D7:EU7)=0),1,0)</f>
        <v/>
      </c>
      <c r="EW15" s="19">
        <f>IF(AND(EW7=1,SUM($D7:EV7)=0),1,0)</f>
        <v/>
      </c>
      <c r="EX15" s="19">
        <f>IF(AND(EX7=1,SUM($D7:EW7)=0),1,0)</f>
        <v/>
      </c>
      <c r="EY15" s="19">
        <f>IF(AND(EY7=1,SUM($D7:EX7)=0),1,0)</f>
        <v/>
      </c>
      <c r="EZ15" s="19">
        <f>IF(AND(EZ7=1,SUM($D7:EY7)=0),1,0)</f>
        <v/>
      </c>
      <c r="FA15" s="19">
        <f>IF(AND(FA7=1,SUM($D7:EZ7)=0),1,0)</f>
        <v/>
      </c>
      <c r="FB15" s="19">
        <f>IF(AND(FB7=1,SUM($D7:FA7)=0),1,0)</f>
        <v/>
      </c>
      <c r="FC15" s="19">
        <f>IF(AND(FC7=1,SUM($D7:FB7)=0),1,0)</f>
        <v/>
      </c>
      <c r="FD15" s="19">
        <f>IF(AND(FD7=1,SUM($D7:FC7)=0),1,0)</f>
        <v/>
      </c>
      <c r="FE15" s="19">
        <f>IF(AND(FE7=1,SUM($D7:FD7)=0),1,0)</f>
        <v/>
      </c>
      <c r="FF15" s="19">
        <f>IF(AND(FF7=1,SUM($D7:FE7)=0),1,0)</f>
        <v/>
      </c>
      <c r="FG15" s="19">
        <f>IF(AND(FG7=1,SUM($D7:FF7)=0),1,0)</f>
        <v/>
      </c>
      <c r="FH15" s="19">
        <f>IF(AND(FH7=1,SUM($D7:FG7)=0),1,0)</f>
        <v/>
      </c>
      <c r="FI15" s="19">
        <f>IF(AND(FI7=1,SUM($D7:FH7)=0),1,0)</f>
        <v/>
      </c>
      <c r="FJ15" s="19">
        <f>IF(AND(FJ7=1,SUM($D7:FI7)=0),1,0)</f>
        <v/>
      </c>
      <c r="FK15" s="19">
        <f>IF(AND(FK7=1,SUM($D7:FJ7)=0),1,0)</f>
        <v/>
      </c>
      <c r="FL15" s="19">
        <f>IF(AND(FL7=1,SUM($D7:FK7)=0),1,0)</f>
        <v/>
      </c>
      <c r="FM15" s="19">
        <f>IF(AND(FM7=1,SUM($D7:FL7)=0),1,0)</f>
        <v/>
      </c>
      <c r="FN15" s="19">
        <f>IF(AND(FN7=1,SUM($D7:FM7)=0),1,0)</f>
        <v/>
      </c>
      <c r="FO15" s="19">
        <f>IF(AND(FO7=1,SUM($D7:FN7)=0),1,0)</f>
        <v/>
      </c>
      <c r="FP15" s="19">
        <f>IF(AND(FP7=1,SUM($D7:FO7)=0),1,0)</f>
        <v/>
      </c>
      <c r="FQ15" s="19">
        <f>IF(AND(FQ7=1,SUM($D7:FP7)=0),1,0)</f>
        <v/>
      </c>
      <c r="FR15" s="19">
        <f>IF(AND(FR7=1,SUM($D7:FQ7)=0),1,0)</f>
        <v/>
      </c>
      <c r="FS15" s="19">
        <f>IF(AND(FS7=1,SUM($D7:FR7)=0),1,0)</f>
        <v/>
      </c>
      <c r="FT15" s="19">
        <f>IF(AND(FT7=1,SUM($D7:FS7)=0),1,0)</f>
        <v/>
      </c>
      <c r="FU15" s="19">
        <f>IF(AND(FU7=1,SUM($D7:FT7)=0),1,0)</f>
        <v/>
      </c>
      <c r="FV15" s="19">
        <f>IF(AND(FV7=1,SUM($D7:FU7)=0),1,0)</f>
        <v/>
      </c>
      <c r="FW15" s="19">
        <f>IF(AND(FW7=1,SUM($D7:FV7)=0),1,0)</f>
        <v/>
      </c>
      <c r="FX15" s="19">
        <f>IF(AND(FX7=1,SUM($D7:FW7)=0),1,0)</f>
        <v/>
      </c>
      <c r="FY15" s="19">
        <f>IF(AND(FY7=1,SUM($D7:FX7)=0),1,0)</f>
        <v/>
      </c>
      <c r="FZ15" s="19">
        <f>IF(AND(FZ7=1,SUM($D7:FY7)=0),1,0)</f>
        <v/>
      </c>
      <c r="GA15" s="19">
        <f>IF(AND(GA7=1,SUM($D7:FZ7)=0),1,0)</f>
        <v/>
      </c>
      <c r="GB15" s="19">
        <f>IF(AND(GB7=1,SUM($D7:GA7)=0),1,0)</f>
        <v/>
      </c>
      <c r="GC15" s="19">
        <f>IF(AND(GC7=1,SUM($D7:GB7)=0),1,0)</f>
        <v/>
      </c>
      <c r="GD15" s="19">
        <f>IF(AND(GD7=1,SUM($D7:GC7)=0),1,0)</f>
        <v/>
      </c>
      <c r="GE15" s="19">
        <f>IF(AND(GE7=1,SUM($D7:GD7)=0),1,0)</f>
        <v/>
      </c>
      <c r="GF15" s="19">
        <f>IF(AND(GF7=1,SUM($D7:GE7)=0),1,0)</f>
        <v/>
      </c>
      <c r="GG15" s="19">
        <f>IF(AND(GG7=1,SUM($D7:GF7)=0),1,0)</f>
        <v/>
      </c>
      <c r="GH15" s="19">
        <f>IF(AND(GH7=1,SUM($D7:GG7)=0),1,0)</f>
        <v/>
      </c>
      <c r="GI15" s="19">
        <f>IF(AND(GI7=1,SUM($D7:GH7)=0),1,0)</f>
        <v/>
      </c>
      <c r="GJ15" s="19">
        <f>IF(AND(GJ7=1,SUM($D7:GI7)=0),1,0)</f>
        <v/>
      </c>
      <c r="GK15" s="19">
        <f>IF(AND(GK7=1,SUM($D7:GJ7)=0),1,0)</f>
        <v/>
      </c>
      <c r="GL15" s="19">
        <f>IF(AND(GL7=1,SUM($D7:GK7)=0),1,0)</f>
        <v/>
      </c>
      <c r="GM15" s="19">
        <f>IF(AND(GM7=1,SUM($D7:GL7)=0),1,0)</f>
        <v/>
      </c>
      <c r="GN15" s="19">
        <f>IF(AND(GN7=1,SUM($D7:GM7)=0),1,0)</f>
        <v/>
      </c>
      <c r="GO15" s="19">
        <f>IF(AND(GO7=1,SUM($D7:GN7)=0),1,0)</f>
        <v/>
      </c>
      <c r="GP15" s="19">
        <f>IF(AND(GP7=1,SUM($D7:GO7)=0),1,0)</f>
        <v/>
      </c>
      <c r="GQ15" s="19">
        <f>IF(AND(GQ7=1,SUM($D7:GP7)=0),1,0)</f>
        <v/>
      </c>
      <c r="GR15" s="19">
        <f>IF(AND(GR7=1,SUM($D7:GQ7)=0),1,0)</f>
        <v/>
      </c>
      <c r="GS15" s="19">
        <f>IF(AND(GS7=1,SUM($D7:GR7)=0),1,0)</f>
        <v/>
      </c>
      <c r="GT15" s="19">
        <f>IF(AND(GT7=1,SUM($D7:GS7)=0),1,0)</f>
        <v/>
      </c>
      <c r="GU15" s="19">
        <f>IF(AND(GU7=1,SUM($D7:GT7)=0),1,0)</f>
        <v/>
      </c>
      <c r="GV15" s="19">
        <f>IF(AND(GV7=1,SUM($D7:GU7)=0),1,0)</f>
        <v/>
      </c>
      <c r="GW15" s="19">
        <f>IF(AND(GW7=1,SUM($D7:GV7)=0),1,0)</f>
        <v/>
      </c>
      <c r="GX15" s="19">
        <f>IF(AND(GX7=1,SUM($D7:GW7)=0),1,0)</f>
        <v/>
      </c>
      <c r="GY15" s="19">
        <f>IF(AND(GY7=1,SUM($D7:GX7)=0),1,0)</f>
        <v/>
      </c>
      <c r="GZ15" s="19">
        <f>IF(AND(GZ7=1,SUM($D7:GY7)=0),1,0)</f>
        <v/>
      </c>
      <c r="HA15" s="19">
        <f>IF(AND(HA7=1,SUM($D7:GZ7)=0),1,0)</f>
        <v/>
      </c>
      <c r="HB15" s="19">
        <f>IF(AND(HB7=1,SUM($D7:HA7)=0),1,0)</f>
        <v/>
      </c>
      <c r="HC15" s="19">
        <f>IF(AND(HC7=1,SUM($D7:HB7)=0),1,0)</f>
        <v/>
      </c>
      <c r="HD15" s="19">
        <f>IF(AND(HD7=1,SUM($D7:HC7)=0),1,0)</f>
        <v/>
      </c>
      <c r="HE15" s="19">
        <f>IF(AND(HE7=1,SUM($D7:HD7)=0),1,0)</f>
        <v/>
      </c>
      <c r="HF15" s="19">
        <f>IF(AND(HF7=1,SUM($D7:HE7)=0),1,0)</f>
        <v/>
      </c>
      <c r="HG15" s="19">
        <f>IF(AND(HG7=1,SUM($D7:HF7)=0),1,0)</f>
        <v/>
      </c>
      <c r="HH15" s="19">
        <f>IF(AND(HH7=1,SUM($D7:HG7)=0),1,0)</f>
        <v/>
      </c>
      <c r="HI15" s="19">
        <f>IF(AND(HI7=1,SUM($D7:HH7)=0),1,0)</f>
        <v/>
      </c>
      <c r="HJ15" s="19">
        <f>IF(AND(HJ7=1,SUM($D7:HI7)=0),1,0)</f>
        <v/>
      </c>
      <c r="HK15" s="19">
        <f>IF(AND(HK7=1,SUM($D7:HJ7)=0),1,0)</f>
        <v/>
      </c>
      <c r="HL15" s="19">
        <f>IF(AND(HL7=1,SUM($D7:HK7)=0),1,0)</f>
        <v/>
      </c>
      <c r="HM15" s="19">
        <f>IF(AND(HM7=1,SUM($D7:HL7)=0),1,0)</f>
        <v/>
      </c>
      <c r="HN15" s="19">
        <f>IF(AND(HN7=1,SUM($D7:HM7)=0),1,0)</f>
        <v/>
      </c>
      <c r="HO15" s="19">
        <f>IF(AND(HO7=1,SUM($D7:HN7)=0),1,0)</f>
        <v/>
      </c>
      <c r="HP15" s="19">
        <f>IF(AND(HP7=1,SUM($D7:HO7)=0),1,0)</f>
        <v/>
      </c>
      <c r="HQ15" s="19">
        <f>IF(AND(HQ7=1,SUM($D7:HP7)=0),1,0)</f>
        <v/>
      </c>
      <c r="HR15" s="19">
        <f>IF(AND(HR7=1,SUM($D7:HQ7)=0),1,0)</f>
        <v/>
      </c>
      <c r="HS15" s="19">
        <f>IF(AND(HS7=1,SUM($D7:HR7)=0),1,0)</f>
        <v/>
      </c>
      <c r="HT15" s="19">
        <f>IF(AND(HT7=1,SUM($D7:HS7)=0),1,0)</f>
        <v/>
      </c>
      <c r="HU15" s="19">
        <f>IF(AND(HU7=1,SUM($D7:HT7)=0),1,0)</f>
        <v/>
      </c>
      <c r="HV15" s="19">
        <f>IF(AND(HV7=1,SUM($D7:HU7)=0),1,0)</f>
        <v/>
      </c>
      <c r="HW15" s="19">
        <f>IF(AND(HW7=1,SUM($D7:HV7)=0),1,0)</f>
        <v/>
      </c>
      <c r="HX15" s="19">
        <f>IF(AND(HX7=1,SUM($D7:HW7)=0),1,0)</f>
        <v/>
      </c>
      <c r="HY15" s="19">
        <f>IF(AND(HY7=1,SUM($D7:HX7)=0),1,0)</f>
        <v/>
      </c>
      <c r="HZ15" s="19">
        <f>IF(AND(HZ7=1,SUM($D7:HY7)=0),1,0)</f>
        <v/>
      </c>
      <c r="IA15" s="19">
        <f>IF(AND(IA7=1,SUM($D7:HZ7)=0),1,0)</f>
        <v/>
      </c>
      <c r="IB15" s="19">
        <f>IF(AND(IB7=1,SUM($D7:IA7)=0),1,0)</f>
        <v/>
      </c>
      <c r="IC15" s="19">
        <f>IF(AND(IC7=1,SUM($D7:IB7)=0),1,0)</f>
        <v/>
      </c>
      <c r="ID15" s="19">
        <f>IF(AND(ID7=1,SUM($D7:IC7)=0),1,0)</f>
        <v/>
      </c>
      <c r="IE15" s="19">
        <f>IF(AND(IE7=1,SUM($D7:ID7)=0),1,0)</f>
        <v/>
      </c>
      <c r="IF15" s="19">
        <f>IF(AND(IF7=1,SUM($D7:IE7)=0),1,0)</f>
        <v/>
      </c>
      <c r="IG15" s="19">
        <f>IF(AND(IG7=1,SUM($D7:IF7)=0),1,0)</f>
        <v/>
      </c>
      <c r="IH15" s="19">
        <f>IF(AND(IH7=1,SUM($D7:IG7)=0),1,0)</f>
        <v/>
      </c>
      <c r="II15" s="19">
        <f>IF(AND(II7=1,SUM($D7:IH7)=0),1,0)</f>
        <v/>
      </c>
      <c r="IJ15" s="19">
        <f>IF(AND(IJ7=1,SUM($D7:II7)=0),1,0)</f>
        <v/>
      </c>
      <c r="IK15" s="19">
        <f>IF(AND(IK7=1,SUM($D7:IJ7)=0),1,0)</f>
        <v/>
      </c>
      <c r="IL15" s="19">
        <f>IF(AND(IL7=1,SUM($D7:IK7)=0),1,0)</f>
        <v/>
      </c>
      <c r="IM15" s="19">
        <f>IF(AND(IM7=1,SUM($D7:IL7)=0),1,0)</f>
        <v/>
      </c>
      <c r="IN15" s="19">
        <f>IF(AND(IN7=1,SUM($D7:IM7)=0),1,0)</f>
        <v/>
      </c>
      <c r="IO15" s="19">
        <f>IF(AND(IO7=1,SUM($D7:IN7)=0),1,0)</f>
        <v/>
      </c>
      <c r="IP15" s="19">
        <f>IF(AND(IP7=1,SUM($D7:IO7)=0),1,0)</f>
        <v/>
      </c>
      <c r="IQ15" s="19">
        <f>IF(AND(IQ7=1,SUM($D7:IP7)=0),1,0)</f>
        <v/>
      </c>
      <c r="IR15" s="19">
        <f>IF(AND(IR7=1,SUM($D7:IQ7)=0),1,0)</f>
        <v/>
      </c>
      <c r="IS15" s="19">
        <f>IF(AND(IS7=1,SUM($D7:IR7)=0),1,0)</f>
        <v/>
      </c>
      <c r="IT15" s="19">
        <f>IF(AND(IT7=1,SUM($D7:IS7)=0),1,0)</f>
        <v/>
      </c>
      <c r="IU15" s="19">
        <f>IF(AND(IU7=1,SUM($D7:IT7)=0),1,0)</f>
        <v/>
      </c>
      <c r="IV15" s="19">
        <f>IF(AND(IV7=1,SUM($D7:IU7)=0),1,0)</f>
        <v/>
      </c>
      <c r="IW15" s="19">
        <f>IF(AND(IW7=1,SUM($D7:IV7)=0),1,0)</f>
        <v/>
      </c>
      <c r="IX15" s="19">
        <f>IF(AND(IX7=1,SUM($D7:IW7)=0),1,0)</f>
        <v/>
      </c>
      <c r="IY15" s="19">
        <f>IF(AND(IY7=1,SUM($D7:IX7)=0),1,0)</f>
        <v/>
      </c>
      <c r="IZ15" s="19">
        <f>IF(AND(IZ7=1,SUM($D7:IY7)=0),1,0)</f>
        <v/>
      </c>
      <c r="JA15" s="19">
        <f>IF(AND(JA7=1,SUM($D7:IZ7)=0),1,0)</f>
        <v/>
      </c>
      <c r="JB15" s="19">
        <f>IF(AND(JB7=1,SUM($D7:JA7)=0),1,0)</f>
        <v/>
      </c>
      <c r="JC15" s="19">
        <f>IF(AND(JC7=1,SUM($D7:JB7)=0),1,0)</f>
        <v/>
      </c>
      <c r="JD15" s="19">
        <f>IF(AND(JD7=1,SUM($D7:JC7)=0),1,0)</f>
        <v/>
      </c>
      <c r="JE15" s="19">
        <f>IF(AND(JE7=1,SUM($D7:JD7)=0),1,0)</f>
        <v/>
      </c>
      <c r="JF15" s="19">
        <f>IF(AND(JF7=1,SUM($D7:JE7)=0),1,0)</f>
        <v/>
      </c>
      <c r="JG15" s="19">
        <f>IF(AND(JG7=1,SUM($D7:JF7)=0),1,0)</f>
        <v/>
      </c>
      <c r="JH15" s="19">
        <f>IF(AND(JH7=1,SUM($D7:JG7)=0),1,0)</f>
        <v/>
      </c>
      <c r="JI15" s="19">
        <f>IF(AND(JI7=1,SUM($D7:JH7)=0),1,0)</f>
        <v/>
      </c>
      <c r="JJ15" s="19">
        <f>IF(AND(JJ7=1,SUM($D7:JI7)=0),1,0)</f>
        <v/>
      </c>
      <c r="JK15" s="19">
        <f>IF(AND(JK7=1,SUM($D7:JJ7)=0),1,0)</f>
        <v/>
      </c>
      <c r="JL15" s="19">
        <f>IF(AND(JL7=1,SUM($D7:JK7)=0),1,0)</f>
        <v/>
      </c>
      <c r="JM15" s="19">
        <f>IF(AND(JM7=1,SUM($D7:JL7)=0),1,0)</f>
        <v/>
      </c>
      <c r="JN15" s="19">
        <f>IF(AND(JN7=1,SUM($D7:JM7)=0),1,0)</f>
        <v/>
      </c>
      <c r="JO15" s="19">
        <f>IF(AND(JO7=1,SUM($D7:JN7)=0),1,0)</f>
        <v/>
      </c>
      <c r="JP15" s="19">
        <f>IF(AND(JP7=1,SUM($D7:JO7)=0),1,0)</f>
        <v/>
      </c>
      <c r="JQ15" s="19">
        <f>IF(AND(JQ7=1,SUM($D7:JP7)=0),1,0)</f>
        <v/>
      </c>
      <c r="JR15" s="19">
        <f>IF(AND(JR7=1,SUM($D7:JQ7)=0),1,0)</f>
        <v/>
      </c>
      <c r="JS15" s="19">
        <f>IF(AND(JS7=1,SUM($D7:JR7)=0),1,0)</f>
        <v/>
      </c>
      <c r="JT15" s="19">
        <f>IF(AND(JT7=1,SUM($D7:JS7)=0),1,0)</f>
        <v/>
      </c>
      <c r="JU15" s="19">
        <f>IF(AND(JU7=1,SUM($D7:JT7)=0),1,0)</f>
        <v/>
      </c>
      <c r="JV15" s="19">
        <f>IF(AND(JV7=1,SUM($D7:JU7)=0),1,0)</f>
        <v/>
      </c>
      <c r="JW15" s="19">
        <f>IF(AND(JW7=1,SUM($D7:JV7)=0),1,0)</f>
        <v/>
      </c>
      <c r="JX15" s="19">
        <f>IF(AND(JX7=1,SUM($D7:JW7)=0),1,0)</f>
        <v/>
      </c>
      <c r="JY15" s="19">
        <f>IF(AND(JY7=1,SUM($D7:JX7)=0),1,0)</f>
        <v/>
      </c>
      <c r="JZ15" s="19">
        <f>IF(AND(JZ7=1,SUM($D7:JY7)=0),1,0)</f>
        <v/>
      </c>
      <c r="KA15" s="19">
        <f>IF(AND(KA7=1,SUM($D7:JZ7)=0),1,0)</f>
        <v/>
      </c>
      <c r="KB15" s="19">
        <f>IF(AND(KB7=1,SUM($D7:KA7)=0),1,0)</f>
        <v/>
      </c>
      <c r="KC15" s="19">
        <f>IF(AND(KC7=1,SUM($D7:KB7)=0),1,0)</f>
        <v/>
      </c>
      <c r="KD15" s="19">
        <f>IF(AND(KD7=1,SUM($D7:KC7)=0),1,0)</f>
        <v/>
      </c>
      <c r="KE15" s="19">
        <f>IF(AND(KE7=1,SUM($D7:KD7)=0),1,0)</f>
        <v/>
      </c>
      <c r="KF15" s="19">
        <f>IF(AND(KF7=1,SUM($D7:KE7)=0),1,0)</f>
        <v/>
      </c>
      <c r="KG15" s="19">
        <f>IF(AND(KG7=1,SUM($D7:KF7)=0),1,0)</f>
        <v/>
      </c>
      <c r="KH15" s="19">
        <f>IF(AND(KH7=1,SUM($D7:KG7)=0),1,0)</f>
        <v/>
      </c>
      <c r="KI15" s="19">
        <f>IF(AND(KI7=1,SUM($D7:KH7)=0),1,0)</f>
        <v/>
      </c>
      <c r="KJ15" s="19">
        <f>IF(AND(KJ7=1,SUM($D7:KI7)=0),1,0)</f>
        <v/>
      </c>
      <c r="KK15" s="19">
        <f>IF(AND(KK7=1,SUM($D7:KJ7)=0),1,0)</f>
        <v/>
      </c>
      <c r="KL15" s="19">
        <f>IF(AND(KL7=1,SUM($D7:KK7)=0),1,0)</f>
        <v/>
      </c>
      <c r="KM15" s="19">
        <f>IF(AND(KM7=1,SUM($D7:KL7)=0),1,0)</f>
        <v/>
      </c>
      <c r="KN15" s="19">
        <f>IF(AND(KN7=1,SUM($D7:KM7)=0),1,0)</f>
        <v/>
      </c>
      <c r="KO15" s="19">
        <f>IF(AND(KO7=1,SUM($D7:KN7)=0),1,0)</f>
        <v/>
      </c>
      <c r="KP15" s="19">
        <f>IF(AND(KP7=1,SUM($D7:KO7)=0),1,0)</f>
        <v/>
      </c>
      <c r="KQ15" s="19">
        <f>IF(AND(KQ7=1,SUM($D7:KP7)=0),1,0)</f>
        <v/>
      </c>
      <c r="KR15" s="19">
        <f>IF(AND(KR7=1,SUM($D7:KQ7)=0),1,0)</f>
        <v/>
      </c>
      <c r="KS15" s="19">
        <f>IF(AND(KS7=1,SUM($D7:KR7)=0),1,0)</f>
        <v/>
      </c>
      <c r="KT15" s="19">
        <f>IF(AND(KT7=1,SUM($D7:KS7)=0),1,0)</f>
        <v/>
      </c>
      <c r="KU15" s="19">
        <f>IF(AND(KU7=1,SUM($D7:KT7)=0),1,0)</f>
        <v/>
      </c>
      <c r="KV15" s="19">
        <f>IF(AND(KV7=1,SUM($D7:KU7)=0),1,0)</f>
        <v/>
      </c>
      <c r="KW15" s="19">
        <f>IF(AND(KW7=1,SUM($D7:KV7)=0),1,0)</f>
        <v/>
      </c>
      <c r="KX15" s="19">
        <f>IF(AND(KX7=1,SUM($D7:KW7)=0),1,0)</f>
        <v/>
      </c>
      <c r="KY15" s="19">
        <f>IF(AND(KY7=1,SUM($D7:KX7)=0),1,0)</f>
        <v/>
      </c>
      <c r="KZ15" s="19">
        <f>IF(AND(KZ7=1,SUM($D7:KY7)=0),1,0)</f>
        <v/>
      </c>
      <c r="LA15" s="19">
        <f>IF(AND(LA7=1,SUM($D7:KZ7)=0),1,0)</f>
        <v/>
      </c>
      <c r="LB15" s="19">
        <f>IF(AND(LB7=1,SUM($D7:LA7)=0),1,0)</f>
        <v/>
      </c>
      <c r="LC15" s="19">
        <f>IF(AND(LC7=1,SUM($D7:LB7)=0),1,0)</f>
        <v/>
      </c>
      <c r="LD15" s="19">
        <f>IF(AND(LD7=1,SUM($D7:LC7)=0),1,0)</f>
        <v/>
      </c>
      <c r="LE15" s="19">
        <f>IF(AND(LE7=1,SUM($D7:LD7)=0),1,0)</f>
        <v/>
      </c>
      <c r="LF15" s="19">
        <f>IF(AND(LF7=1,SUM($D7:LE7)=0),1,0)</f>
        <v/>
      </c>
      <c r="LG15" s="19">
        <f>IF(AND(LG7=1,SUM($D7:LF7)=0),1,0)</f>
        <v/>
      </c>
      <c r="LH15" s="19">
        <f>IF(AND(LH7=1,SUM($D7:LG7)=0),1,0)</f>
        <v/>
      </c>
      <c r="LI15" s="19">
        <f>IF(AND(LI7=1,SUM($D7:LH7)=0),1,0)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I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</cols>
  <sheetData>
    <row r="2">
      <c r="B2" s="1" t="inlineStr">
        <is>
          <t>Activo intangible de la concesion</t>
        </is>
      </c>
    </row>
    <row r="3">
      <c r="B3" s="2" t="inlineStr">
        <is>
          <t>CINIIF 12 p.17: derecho a cobrar al usuario, no importe determinable del concedente. p.22: intereses de obra capitalizados.</t>
        </is>
      </c>
    </row>
    <row r="6">
      <c r="B6" s="16" t="inlineStr">
        <is>
          <t>Mes</t>
        </is>
      </c>
      <c r="D6" s="17" t="inlineStr">
        <is>
          <t>2026-10-31</t>
        </is>
      </c>
      <c r="E6" s="17" t="inlineStr">
        <is>
          <t>2026-11-30</t>
        </is>
      </c>
      <c r="F6" s="17" t="inlineStr">
        <is>
          <t>2026-12-31</t>
        </is>
      </c>
      <c r="G6" s="17" t="inlineStr">
        <is>
          <t>2027-01-31</t>
        </is>
      </c>
      <c r="H6" s="17" t="inlineStr">
        <is>
          <t>2027-02-28</t>
        </is>
      </c>
      <c r="I6" s="17" t="inlineStr">
        <is>
          <t>2027-03-31</t>
        </is>
      </c>
      <c r="J6" s="17" t="inlineStr">
        <is>
          <t>2027-04-30</t>
        </is>
      </c>
      <c r="K6" s="17" t="inlineStr">
        <is>
          <t>2027-05-31</t>
        </is>
      </c>
      <c r="L6" s="17" t="inlineStr">
        <is>
          <t>2027-06-30</t>
        </is>
      </c>
      <c r="M6" s="17" t="inlineStr">
        <is>
          <t>2027-07-31</t>
        </is>
      </c>
      <c r="N6" s="17" t="inlineStr">
        <is>
          <t>2027-08-31</t>
        </is>
      </c>
      <c r="O6" s="17" t="inlineStr">
        <is>
          <t>2027-09-30</t>
        </is>
      </c>
      <c r="P6" s="17" t="inlineStr">
        <is>
          <t>2027-10-31</t>
        </is>
      </c>
      <c r="Q6" s="17" t="inlineStr">
        <is>
          <t>2027-11-30</t>
        </is>
      </c>
      <c r="R6" s="17" t="inlineStr">
        <is>
          <t>2027-12-31</t>
        </is>
      </c>
      <c r="S6" s="17" t="inlineStr">
        <is>
          <t>2028-01-31</t>
        </is>
      </c>
      <c r="T6" s="17" t="inlineStr">
        <is>
          <t>2028-02-29</t>
        </is>
      </c>
      <c r="U6" s="17" t="inlineStr">
        <is>
          <t>2028-03-31</t>
        </is>
      </c>
      <c r="V6" s="17" t="inlineStr">
        <is>
          <t>2028-04-30</t>
        </is>
      </c>
      <c r="W6" s="17" t="inlineStr">
        <is>
          <t>2028-05-31</t>
        </is>
      </c>
      <c r="X6" s="17" t="inlineStr">
        <is>
          <t>2028-06-30</t>
        </is>
      </c>
      <c r="Y6" s="17" t="inlineStr">
        <is>
          <t>2028-07-31</t>
        </is>
      </c>
      <c r="Z6" s="17" t="inlineStr">
        <is>
          <t>2028-08-31</t>
        </is>
      </c>
      <c r="AA6" s="17" t="inlineStr">
        <is>
          <t>2028-09-30</t>
        </is>
      </c>
      <c r="AB6" s="17" t="inlineStr">
        <is>
          <t>2028-10-31</t>
        </is>
      </c>
      <c r="AC6" s="17" t="inlineStr">
        <is>
          <t>2028-11-30</t>
        </is>
      </c>
      <c r="AD6" s="17" t="inlineStr">
        <is>
          <t>2028-12-31</t>
        </is>
      </c>
      <c r="AE6" s="17" t="inlineStr">
        <is>
          <t>2029-01-31</t>
        </is>
      </c>
      <c r="AF6" s="17" t="inlineStr">
        <is>
          <t>2029-02-28</t>
        </is>
      </c>
      <c r="AG6" s="17" t="inlineStr">
        <is>
          <t>2029-03-31</t>
        </is>
      </c>
      <c r="AH6" s="17" t="inlineStr">
        <is>
          <t>2029-04-30</t>
        </is>
      </c>
      <c r="AI6" s="17" t="inlineStr">
        <is>
          <t>2029-05-31</t>
        </is>
      </c>
      <c r="AJ6" s="17" t="inlineStr">
        <is>
          <t>2029-06-30</t>
        </is>
      </c>
      <c r="AK6" s="17" t="inlineStr">
        <is>
          <t>2029-07-31</t>
        </is>
      </c>
      <c r="AL6" s="17" t="inlineStr">
        <is>
          <t>2029-08-31</t>
        </is>
      </c>
      <c r="AM6" s="17" t="inlineStr">
        <is>
          <t>2029-09-30</t>
        </is>
      </c>
      <c r="AN6" s="17" t="inlineStr">
        <is>
          <t>2029-10-31</t>
        </is>
      </c>
      <c r="AO6" s="17" t="inlineStr">
        <is>
          <t>2029-11-30</t>
        </is>
      </c>
      <c r="AP6" s="17" t="inlineStr">
        <is>
          <t>2029-12-31</t>
        </is>
      </c>
      <c r="AQ6" s="17" t="inlineStr">
        <is>
          <t>2030-01-31</t>
        </is>
      </c>
      <c r="AR6" s="17" t="inlineStr">
        <is>
          <t>2030-02-28</t>
        </is>
      </c>
      <c r="AS6" s="17" t="inlineStr">
        <is>
          <t>2030-03-31</t>
        </is>
      </c>
      <c r="AT6" s="17" t="inlineStr">
        <is>
          <t>2030-04-30</t>
        </is>
      </c>
      <c r="AU6" s="17" t="inlineStr">
        <is>
          <t>2030-05-31</t>
        </is>
      </c>
      <c r="AV6" s="17" t="inlineStr">
        <is>
          <t>2030-06-30</t>
        </is>
      </c>
      <c r="AW6" s="17" t="inlineStr">
        <is>
          <t>2030-07-31</t>
        </is>
      </c>
      <c r="AX6" s="17" t="inlineStr">
        <is>
          <t>2030-08-31</t>
        </is>
      </c>
      <c r="AY6" s="17" t="inlineStr">
        <is>
          <t>2030-09-30</t>
        </is>
      </c>
      <c r="AZ6" s="17" t="inlineStr">
        <is>
          <t>2030-10-31</t>
        </is>
      </c>
      <c r="BA6" s="17" t="inlineStr">
        <is>
          <t>2030-11-30</t>
        </is>
      </c>
      <c r="BB6" s="17" t="inlineStr">
        <is>
          <t>2030-12-31</t>
        </is>
      </c>
      <c r="BC6" s="17" t="inlineStr">
        <is>
          <t>2031-01-31</t>
        </is>
      </c>
      <c r="BD6" s="17" t="inlineStr">
        <is>
          <t>2031-02-28</t>
        </is>
      </c>
      <c r="BE6" s="17" t="inlineStr">
        <is>
          <t>2031-03-31</t>
        </is>
      </c>
      <c r="BF6" s="17" t="inlineStr">
        <is>
          <t>2031-04-30</t>
        </is>
      </c>
      <c r="BG6" s="17" t="inlineStr">
        <is>
          <t>2031-05-31</t>
        </is>
      </c>
      <c r="BH6" s="17" t="inlineStr">
        <is>
          <t>2031-06-30</t>
        </is>
      </c>
      <c r="BI6" s="17" t="inlineStr">
        <is>
          <t>2031-07-31</t>
        </is>
      </c>
      <c r="BJ6" s="17" t="inlineStr">
        <is>
          <t>2031-08-31</t>
        </is>
      </c>
      <c r="BK6" s="17" t="inlineStr">
        <is>
          <t>2031-09-30</t>
        </is>
      </c>
      <c r="BL6" s="17" t="inlineStr">
        <is>
          <t>2031-10-31</t>
        </is>
      </c>
      <c r="BM6" s="17" t="inlineStr">
        <is>
          <t>2031-11-30</t>
        </is>
      </c>
      <c r="BN6" s="17" t="inlineStr">
        <is>
          <t>2031-12-31</t>
        </is>
      </c>
      <c r="BO6" s="17" t="inlineStr">
        <is>
          <t>2032-01-31</t>
        </is>
      </c>
      <c r="BP6" s="17" t="inlineStr">
        <is>
          <t>2032-02-29</t>
        </is>
      </c>
      <c r="BQ6" s="17" t="inlineStr">
        <is>
          <t>2032-03-31</t>
        </is>
      </c>
      <c r="BR6" s="17" t="inlineStr">
        <is>
          <t>2032-04-30</t>
        </is>
      </c>
      <c r="BS6" s="17" t="inlineStr">
        <is>
          <t>2032-05-31</t>
        </is>
      </c>
      <c r="BT6" s="17" t="inlineStr">
        <is>
          <t>2032-06-30</t>
        </is>
      </c>
      <c r="BU6" s="17" t="inlineStr">
        <is>
          <t>2032-07-31</t>
        </is>
      </c>
      <c r="BV6" s="17" t="inlineStr">
        <is>
          <t>2032-08-31</t>
        </is>
      </c>
      <c r="BW6" s="17" t="inlineStr">
        <is>
          <t>2032-09-30</t>
        </is>
      </c>
      <c r="BX6" s="17" t="inlineStr">
        <is>
          <t>2032-10-31</t>
        </is>
      </c>
      <c r="BY6" s="17" t="inlineStr">
        <is>
          <t>2032-11-30</t>
        </is>
      </c>
      <c r="BZ6" s="17" t="inlineStr">
        <is>
          <t>2032-12-31</t>
        </is>
      </c>
      <c r="CA6" s="17" t="inlineStr">
        <is>
          <t>2033-01-31</t>
        </is>
      </c>
      <c r="CB6" s="17" t="inlineStr">
        <is>
          <t>2033-02-28</t>
        </is>
      </c>
      <c r="CC6" s="17" t="inlineStr">
        <is>
          <t>2033-03-31</t>
        </is>
      </c>
      <c r="CD6" s="17" t="inlineStr">
        <is>
          <t>2033-04-30</t>
        </is>
      </c>
      <c r="CE6" s="17" t="inlineStr">
        <is>
          <t>2033-05-31</t>
        </is>
      </c>
      <c r="CF6" s="17" t="inlineStr">
        <is>
          <t>2033-06-30</t>
        </is>
      </c>
      <c r="CG6" s="17" t="inlineStr">
        <is>
          <t>2033-07-31</t>
        </is>
      </c>
      <c r="CH6" s="17" t="inlineStr">
        <is>
          <t>2033-08-31</t>
        </is>
      </c>
      <c r="CI6" s="17" t="inlineStr">
        <is>
          <t>2033-09-30</t>
        </is>
      </c>
      <c r="CJ6" s="17" t="inlineStr">
        <is>
          <t>2033-10-31</t>
        </is>
      </c>
      <c r="CK6" s="17" t="inlineStr">
        <is>
          <t>2033-11-30</t>
        </is>
      </c>
      <c r="CL6" s="17" t="inlineStr">
        <is>
          <t>2033-12-31</t>
        </is>
      </c>
      <c r="CM6" s="17" t="inlineStr">
        <is>
          <t>2034-01-31</t>
        </is>
      </c>
      <c r="CN6" s="17" t="inlineStr">
        <is>
          <t>2034-02-28</t>
        </is>
      </c>
      <c r="CO6" s="17" t="inlineStr">
        <is>
          <t>2034-03-31</t>
        </is>
      </c>
      <c r="CP6" s="17" t="inlineStr">
        <is>
          <t>2034-04-30</t>
        </is>
      </c>
      <c r="CQ6" s="17" t="inlineStr">
        <is>
          <t>2034-05-31</t>
        </is>
      </c>
      <c r="CR6" s="17" t="inlineStr">
        <is>
          <t>2034-06-30</t>
        </is>
      </c>
      <c r="CS6" s="17" t="inlineStr">
        <is>
          <t>2034-07-31</t>
        </is>
      </c>
      <c r="CT6" s="17" t="inlineStr">
        <is>
          <t>2034-08-31</t>
        </is>
      </c>
      <c r="CU6" s="17" t="inlineStr">
        <is>
          <t>2034-09-30</t>
        </is>
      </c>
      <c r="CV6" s="17" t="inlineStr">
        <is>
          <t>2034-10-31</t>
        </is>
      </c>
      <c r="CW6" s="17" t="inlineStr">
        <is>
          <t>2034-11-30</t>
        </is>
      </c>
      <c r="CX6" s="17" t="inlineStr">
        <is>
          <t>2034-12-31</t>
        </is>
      </c>
      <c r="CY6" s="17" t="inlineStr">
        <is>
          <t>2035-01-31</t>
        </is>
      </c>
      <c r="CZ6" s="17" t="inlineStr">
        <is>
          <t>2035-02-28</t>
        </is>
      </c>
      <c r="DA6" s="17" t="inlineStr">
        <is>
          <t>2035-03-31</t>
        </is>
      </c>
      <c r="DB6" s="17" t="inlineStr">
        <is>
          <t>2035-04-30</t>
        </is>
      </c>
      <c r="DC6" s="17" t="inlineStr">
        <is>
          <t>2035-05-31</t>
        </is>
      </c>
      <c r="DD6" s="17" t="inlineStr">
        <is>
          <t>2035-06-30</t>
        </is>
      </c>
      <c r="DE6" s="17" t="inlineStr">
        <is>
          <t>2035-07-31</t>
        </is>
      </c>
      <c r="DF6" s="17" t="inlineStr">
        <is>
          <t>2035-08-31</t>
        </is>
      </c>
      <c r="DG6" s="17" t="inlineStr">
        <is>
          <t>2035-09-30</t>
        </is>
      </c>
      <c r="DH6" s="17" t="inlineStr">
        <is>
          <t>2035-10-31</t>
        </is>
      </c>
      <c r="DI6" s="17" t="inlineStr">
        <is>
          <t>2035-11-30</t>
        </is>
      </c>
      <c r="DJ6" s="17" t="inlineStr">
        <is>
          <t>2035-12-31</t>
        </is>
      </c>
      <c r="DK6" s="17" t="inlineStr">
        <is>
          <t>2036-01-31</t>
        </is>
      </c>
      <c r="DL6" s="17" t="inlineStr">
        <is>
          <t>2036-02-29</t>
        </is>
      </c>
      <c r="DM6" s="17" t="inlineStr">
        <is>
          <t>2036-03-31</t>
        </is>
      </c>
      <c r="DN6" s="17" t="inlineStr">
        <is>
          <t>2036-04-30</t>
        </is>
      </c>
      <c r="DO6" s="17" t="inlineStr">
        <is>
          <t>2036-05-31</t>
        </is>
      </c>
      <c r="DP6" s="17" t="inlineStr">
        <is>
          <t>2036-06-30</t>
        </is>
      </c>
      <c r="DQ6" s="17" t="inlineStr">
        <is>
          <t>2036-07-31</t>
        </is>
      </c>
      <c r="DR6" s="17" t="inlineStr">
        <is>
          <t>2036-08-31</t>
        </is>
      </c>
      <c r="DS6" s="17" t="inlineStr">
        <is>
          <t>2036-09-30</t>
        </is>
      </c>
      <c r="DT6" s="17" t="inlineStr">
        <is>
          <t>2036-10-31</t>
        </is>
      </c>
      <c r="DU6" s="17" t="inlineStr">
        <is>
          <t>2036-11-30</t>
        </is>
      </c>
      <c r="DV6" s="17" t="inlineStr">
        <is>
          <t>2036-12-31</t>
        </is>
      </c>
      <c r="DW6" s="17" t="inlineStr">
        <is>
          <t>2037-01-31</t>
        </is>
      </c>
      <c r="DX6" s="17" t="inlineStr">
        <is>
          <t>2037-02-28</t>
        </is>
      </c>
      <c r="DY6" s="17" t="inlineStr">
        <is>
          <t>2037-03-31</t>
        </is>
      </c>
      <c r="DZ6" s="17" t="inlineStr">
        <is>
          <t>2037-04-30</t>
        </is>
      </c>
      <c r="EA6" s="17" t="inlineStr">
        <is>
          <t>2037-05-31</t>
        </is>
      </c>
      <c r="EB6" s="17" t="inlineStr">
        <is>
          <t>2037-06-30</t>
        </is>
      </c>
      <c r="EC6" s="17" t="inlineStr">
        <is>
          <t>2037-07-31</t>
        </is>
      </c>
      <c r="ED6" s="17" t="inlineStr">
        <is>
          <t>2037-08-31</t>
        </is>
      </c>
      <c r="EE6" s="17" t="inlineStr">
        <is>
          <t>2037-09-30</t>
        </is>
      </c>
      <c r="EF6" s="17" t="inlineStr">
        <is>
          <t>2037-10-31</t>
        </is>
      </c>
      <c r="EG6" s="17" t="inlineStr">
        <is>
          <t>2037-11-30</t>
        </is>
      </c>
      <c r="EH6" s="17" t="inlineStr">
        <is>
          <t>2037-12-31</t>
        </is>
      </c>
      <c r="EI6" s="17" t="inlineStr">
        <is>
          <t>2038-01-31</t>
        </is>
      </c>
      <c r="EJ6" s="17" t="inlineStr">
        <is>
          <t>2038-02-28</t>
        </is>
      </c>
      <c r="EK6" s="17" t="inlineStr">
        <is>
          <t>2038-03-31</t>
        </is>
      </c>
      <c r="EL6" s="17" t="inlineStr">
        <is>
          <t>2038-04-30</t>
        </is>
      </c>
      <c r="EM6" s="17" t="inlineStr">
        <is>
          <t>2038-05-31</t>
        </is>
      </c>
      <c r="EN6" s="17" t="inlineStr">
        <is>
          <t>2038-06-30</t>
        </is>
      </c>
      <c r="EO6" s="17" t="inlineStr">
        <is>
          <t>2038-07-31</t>
        </is>
      </c>
      <c r="EP6" s="17" t="inlineStr">
        <is>
          <t>2038-08-31</t>
        </is>
      </c>
      <c r="EQ6" s="17" t="inlineStr">
        <is>
          <t>2038-09-30</t>
        </is>
      </c>
      <c r="ER6" s="17" t="inlineStr">
        <is>
          <t>2038-10-31</t>
        </is>
      </c>
      <c r="ES6" s="17" t="inlineStr">
        <is>
          <t>2038-11-30</t>
        </is>
      </c>
      <c r="ET6" s="17" t="inlineStr">
        <is>
          <t>2038-12-31</t>
        </is>
      </c>
      <c r="EU6" s="17" t="inlineStr">
        <is>
          <t>2039-01-31</t>
        </is>
      </c>
      <c r="EV6" s="17" t="inlineStr">
        <is>
          <t>2039-02-28</t>
        </is>
      </c>
      <c r="EW6" s="17" t="inlineStr">
        <is>
          <t>2039-03-31</t>
        </is>
      </c>
      <c r="EX6" s="17" t="inlineStr">
        <is>
          <t>2039-04-30</t>
        </is>
      </c>
      <c r="EY6" s="17" t="inlineStr">
        <is>
          <t>2039-05-31</t>
        </is>
      </c>
      <c r="EZ6" s="17" t="inlineStr">
        <is>
          <t>2039-06-30</t>
        </is>
      </c>
      <c r="FA6" s="17" t="inlineStr">
        <is>
          <t>2039-07-31</t>
        </is>
      </c>
      <c r="FB6" s="17" t="inlineStr">
        <is>
          <t>2039-08-31</t>
        </is>
      </c>
      <c r="FC6" s="17" t="inlineStr">
        <is>
          <t>2039-09-30</t>
        </is>
      </c>
      <c r="FD6" s="17" t="inlineStr">
        <is>
          <t>2039-10-31</t>
        </is>
      </c>
      <c r="FE6" s="17" t="inlineStr">
        <is>
          <t>2039-11-30</t>
        </is>
      </c>
      <c r="FF6" s="17" t="inlineStr">
        <is>
          <t>2039-12-31</t>
        </is>
      </c>
      <c r="FG6" s="17" t="inlineStr">
        <is>
          <t>2040-01-31</t>
        </is>
      </c>
      <c r="FH6" s="17" t="inlineStr">
        <is>
          <t>2040-02-29</t>
        </is>
      </c>
      <c r="FI6" s="17" t="inlineStr">
        <is>
          <t>2040-03-31</t>
        </is>
      </c>
      <c r="FJ6" s="17" t="inlineStr">
        <is>
          <t>2040-04-30</t>
        </is>
      </c>
      <c r="FK6" s="17" t="inlineStr">
        <is>
          <t>2040-05-31</t>
        </is>
      </c>
      <c r="FL6" s="17" t="inlineStr">
        <is>
          <t>2040-06-30</t>
        </is>
      </c>
      <c r="FM6" s="17" t="inlineStr">
        <is>
          <t>2040-07-31</t>
        </is>
      </c>
      <c r="FN6" s="17" t="inlineStr">
        <is>
          <t>2040-08-31</t>
        </is>
      </c>
      <c r="FO6" s="17" t="inlineStr">
        <is>
          <t>2040-09-30</t>
        </is>
      </c>
      <c r="FP6" s="17" t="inlineStr">
        <is>
          <t>2040-10-31</t>
        </is>
      </c>
      <c r="FQ6" s="17" t="inlineStr">
        <is>
          <t>2040-11-30</t>
        </is>
      </c>
      <c r="FR6" s="17" t="inlineStr">
        <is>
          <t>2040-12-31</t>
        </is>
      </c>
      <c r="FS6" s="17" t="inlineStr">
        <is>
          <t>2041-01-31</t>
        </is>
      </c>
      <c r="FT6" s="17" t="inlineStr">
        <is>
          <t>2041-02-28</t>
        </is>
      </c>
      <c r="FU6" s="17" t="inlineStr">
        <is>
          <t>2041-03-31</t>
        </is>
      </c>
      <c r="FV6" s="17" t="inlineStr">
        <is>
          <t>2041-04-30</t>
        </is>
      </c>
      <c r="FW6" s="17" t="inlineStr">
        <is>
          <t>2041-05-31</t>
        </is>
      </c>
      <c r="FX6" s="17" t="inlineStr">
        <is>
          <t>2041-06-30</t>
        </is>
      </c>
      <c r="FY6" s="17" t="inlineStr">
        <is>
          <t>2041-07-31</t>
        </is>
      </c>
      <c r="FZ6" s="17" t="inlineStr">
        <is>
          <t>2041-08-31</t>
        </is>
      </c>
      <c r="GA6" s="17" t="inlineStr">
        <is>
          <t>2041-09-30</t>
        </is>
      </c>
      <c r="GB6" s="17" t="inlineStr">
        <is>
          <t>2041-10-31</t>
        </is>
      </c>
      <c r="GC6" s="17" t="inlineStr">
        <is>
          <t>2041-11-30</t>
        </is>
      </c>
      <c r="GD6" s="17" t="inlineStr">
        <is>
          <t>2041-12-31</t>
        </is>
      </c>
      <c r="GE6" s="17" t="inlineStr">
        <is>
          <t>2042-01-31</t>
        </is>
      </c>
      <c r="GF6" s="17" t="inlineStr">
        <is>
          <t>2042-02-28</t>
        </is>
      </c>
      <c r="GG6" s="17" t="inlineStr">
        <is>
          <t>2042-03-31</t>
        </is>
      </c>
      <c r="GH6" s="17" t="inlineStr">
        <is>
          <t>2042-04-30</t>
        </is>
      </c>
      <c r="GI6" s="17" t="inlineStr">
        <is>
          <t>2042-05-31</t>
        </is>
      </c>
      <c r="GJ6" s="17" t="inlineStr">
        <is>
          <t>2042-06-30</t>
        </is>
      </c>
      <c r="GK6" s="17" t="inlineStr">
        <is>
          <t>2042-07-31</t>
        </is>
      </c>
      <c r="GL6" s="17" t="inlineStr">
        <is>
          <t>2042-08-31</t>
        </is>
      </c>
      <c r="GM6" s="17" t="inlineStr">
        <is>
          <t>2042-09-30</t>
        </is>
      </c>
      <c r="GN6" s="17" t="inlineStr">
        <is>
          <t>2042-10-31</t>
        </is>
      </c>
      <c r="GO6" s="17" t="inlineStr">
        <is>
          <t>2042-11-30</t>
        </is>
      </c>
      <c r="GP6" s="17" t="inlineStr">
        <is>
          <t>2042-12-31</t>
        </is>
      </c>
      <c r="GQ6" s="17" t="inlineStr">
        <is>
          <t>2043-01-31</t>
        </is>
      </c>
      <c r="GR6" s="17" t="inlineStr">
        <is>
          <t>2043-02-28</t>
        </is>
      </c>
      <c r="GS6" s="17" t="inlineStr">
        <is>
          <t>2043-03-31</t>
        </is>
      </c>
      <c r="GT6" s="17" t="inlineStr">
        <is>
          <t>2043-04-30</t>
        </is>
      </c>
      <c r="GU6" s="17" t="inlineStr">
        <is>
          <t>2043-05-31</t>
        </is>
      </c>
      <c r="GV6" s="17" t="inlineStr">
        <is>
          <t>2043-06-30</t>
        </is>
      </c>
      <c r="GW6" s="17" t="inlineStr">
        <is>
          <t>2043-07-31</t>
        </is>
      </c>
      <c r="GX6" s="17" t="inlineStr">
        <is>
          <t>2043-08-31</t>
        </is>
      </c>
      <c r="GY6" s="17" t="inlineStr">
        <is>
          <t>2043-09-30</t>
        </is>
      </c>
      <c r="GZ6" s="17" t="inlineStr">
        <is>
          <t>2043-10-31</t>
        </is>
      </c>
      <c r="HA6" s="17" t="inlineStr">
        <is>
          <t>2043-11-30</t>
        </is>
      </c>
      <c r="HB6" s="17" t="inlineStr">
        <is>
          <t>2043-12-31</t>
        </is>
      </c>
      <c r="HC6" s="17" t="inlineStr">
        <is>
          <t>2044-01-31</t>
        </is>
      </c>
      <c r="HD6" s="17" t="inlineStr">
        <is>
          <t>2044-02-29</t>
        </is>
      </c>
      <c r="HE6" s="17" t="inlineStr">
        <is>
          <t>2044-03-31</t>
        </is>
      </c>
      <c r="HF6" s="17" t="inlineStr">
        <is>
          <t>2044-04-30</t>
        </is>
      </c>
      <c r="HG6" s="17" t="inlineStr">
        <is>
          <t>2044-05-31</t>
        </is>
      </c>
      <c r="HH6" s="17" t="inlineStr">
        <is>
          <t>2044-06-30</t>
        </is>
      </c>
      <c r="HI6" s="17" t="inlineStr">
        <is>
          <t>2044-07-31</t>
        </is>
      </c>
      <c r="HJ6" s="17" t="inlineStr">
        <is>
          <t>2044-08-31</t>
        </is>
      </c>
      <c r="HK6" s="17" t="inlineStr">
        <is>
          <t>2044-09-30</t>
        </is>
      </c>
      <c r="HL6" s="17" t="inlineStr">
        <is>
          <t>2044-10-31</t>
        </is>
      </c>
      <c r="HM6" s="17" t="inlineStr">
        <is>
          <t>2044-11-30</t>
        </is>
      </c>
      <c r="HN6" s="17" t="inlineStr">
        <is>
          <t>2044-12-31</t>
        </is>
      </c>
      <c r="HO6" s="17" t="inlineStr">
        <is>
          <t>2045-01-31</t>
        </is>
      </c>
      <c r="HP6" s="17" t="inlineStr">
        <is>
          <t>2045-02-28</t>
        </is>
      </c>
      <c r="HQ6" s="17" t="inlineStr">
        <is>
          <t>2045-03-31</t>
        </is>
      </c>
      <c r="HR6" s="17" t="inlineStr">
        <is>
          <t>2045-04-30</t>
        </is>
      </c>
      <c r="HS6" s="17" t="inlineStr">
        <is>
          <t>2045-05-31</t>
        </is>
      </c>
      <c r="HT6" s="17" t="inlineStr">
        <is>
          <t>2045-06-30</t>
        </is>
      </c>
      <c r="HU6" s="17" t="inlineStr">
        <is>
          <t>2045-07-31</t>
        </is>
      </c>
      <c r="HV6" s="17" t="inlineStr">
        <is>
          <t>2045-08-31</t>
        </is>
      </c>
      <c r="HW6" s="17" t="inlineStr">
        <is>
          <t>2045-09-30</t>
        </is>
      </c>
      <c r="HX6" s="17" t="inlineStr">
        <is>
          <t>2045-10-31</t>
        </is>
      </c>
      <c r="HY6" s="17" t="inlineStr">
        <is>
          <t>2045-11-30</t>
        </is>
      </c>
      <c r="HZ6" s="17" t="inlineStr">
        <is>
          <t>2045-12-31</t>
        </is>
      </c>
      <c r="IA6" s="17" t="inlineStr">
        <is>
          <t>2046-01-31</t>
        </is>
      </c>
      <c r="IB6" s="17" t="inlineStr">
        <is>
          <t>2046-02-28</t>
        </is>
      </c>
      <c r="IC6" s="17" t="inlineStr">
        <is>
          <t>2046-03-31</t>
        </is>
      </c>
      <c r="ID6" s="17" t="inlineStr">
        <is>
          <t>2046-04-30</t>
        </is>
      </c>
      <c r="IE6" s="17" t="inlineStr">
        <is>
          <t>2046-05-31</t>
        </is>
      </c>
      <c r="IF6" s="17" t="inlineStr">
        <is>
          <t>2046-06-30</t>
        </is>
      </c>
      <c r="IG6" s="17" t="inlineStr">
        <is>
          <t>2046-07-31</t>
        </is>
      </c>
      <c r="IH6" s="17" t="inlineStr">
        <is>
          <t>2046-08-31</t>
        </is>
      </c>
      <c r="II6" s="17" t="inlineStr">
        <is>
          <t>2046-09-30</t>
        </is>
      </c>
      <c r="IJ6" s="17" t="inlineStr">
        <is>
          <t>2046-10-31</t>
        </is>
      </c>
      <c r="IK6" s="17" t="inlineStr">
        <is>
          <t>2046-11-30</t>
        </is>
      </c>
      <c r="IL6" s="17" t="inlineStr">
        <is>
          <t>2046-12-31</t>
        </is>
      </c>
      <c r="IM6" s="17" t="inlineStr">
        <is>
          <t>2047-01-31</t>
        </is>
      </c>
      <c r="IN6" s="17" t="inlineStr">
        <is>
          <t>2047-02-28</t>
        </is>
      </c>
      <c r="IO6" s="17" t="inlineStr">
        <is>
          <t>2047-03-31</t>
        </is>
      </c>
      <c r="IP6" s="17" t="inlineStr">
        <is>
          <t>2047-04-30</t>
        </is>
      </c>
      <c r="IQ6" s="17" t="inlineStr">
        <is>
          <t>2047-05-31</t>
        </is>
      </c>
      <c r="IR6" s="17" t="inlineStr">
        <is>
          <t>2047-06-30</t>
        </is>
      </c>
      <c r="IS6" s="17" t="inlineStr">
        <is>
          <t>2047-07-31</t>
        </is>
      </c>
      <c r="IT6" s="17" t="inlineStr">
        <is>
          <t>2047-08-31</t>
        </is>
      </c>
      <c r="IU6" s="17" t="inlineStr">
        <is>
          <t>2047-09-30</t>
        </is>
      </c>
      <c r="IV6" s="17" t="inlineStr">
        <is>
          <t>2047-10-31</t>
        </is>
      </c>
      <c r="IW6" s="17" t="inlineStr">
        <is>
          <t>2047-11-30</t>
        </is>
      </c>
      <c r="IX6" s="17" t="inlineStr">
        <is>
          <t>2047-12-31</t>
        </is>
      </c>
      <c r="IY6" s="17" t="inlineStr">
        <is>
          <t>2048-01-31</t>
        </is>
      </c>
      <c r="IZ6" s="17" t="inlineStr">
        <is>
          <t>2048-02-29</t>
        </is>
      </c>
      <c r="JA6" s="17" t="inlineStr">
        <is>
          <t>2048-03-31</t>
        </is>
      </c>
      <c r="JB6" s="17" t="inlineStr">
        <is>
          <t>2048-04-30</t>
        </is>
      </c>
      <c r="JC6" s="17" t="inlineStr">
        <is>
          <t>2048-05-31</t>
        </is>
      </c>
      <c r="JD6" s="17" t="inlineStr">
        <is>
          <t>2048-06-30</t>
        </is>
      </c>
      <c r="JE6" s="17" t="inlineStr">
        <is>
          <t>2048-07-31</t>
        </is>
      </c>
      <c r="JF6" s="17" t="inlineStr">
        <is>
          <t>2048-08-31</t>
        </is>
      </c>
      <c r="JG6" s="17" t="inlineStr">
        <is>
          <t>2048-09-30</t>
        </is>
      </c>
      <c r="JH6" s="17" t="inlineStr">
        <is>
          <t>2048-10-31</t>
        </is>
      </c>
      <c r="JI6" s="17" t="inlineStr">
        <is>
          <t>2048-11-30</t>
        </is>
      </c>
      <c r="JJ6" s="17" t="inlineStr">
        <is>
          <t>2048-12-31</t>
        </is>
      </c>
      <c r="JK6" s="17" t="inlineStr">
        <is>
          <t>2049-01-31</t>
        </is>
      </c>
      <c r="JL6" s="17" t="inlineStr">
        <is>
          <t>2049-02-28</t>
        </is>
      </c>
      <c r="JM6" s="17" t="inlineStr">
        <is>
          <t>2049-03-31</t>
        </is>
      </c>
      <c r="JN6" s="17" t="inlineStr">
        <is>
          <t>2049-04-30</t>
        </is>
      </c>
      <c r="JO6" s="17" t="inlineStr">
        <is>
          <t>2049-05-31</t>
        </is>
      </c>
      <c r="JP6" s="17" t="inlineStr">
        <is>
          <t>2049-06-30</t>
        </is>
      </c>
      <c r="JQ6" s="17" t="inlineStr">
        <is>
          <t>2049-07-31</t>
        </is>
      </c>
      <c r="JR6" s="17" t="inlineStr">
        <is>
          <t>2049-08-31</t>
        </is>
      </c>
      <c r="JS6" s="17" t="inlineStr">
        <is>
          <t>2049-09-30</t>
        </is>
      </c>
      <c r="JT6" s="17" t="inlineStr">
        <is>
          <t>2049-10-31</t>
        </is>
      </c>
      <c r="JU6" s="17" t="inlineStr">
        <is>
          <t>2049-11-30</t>
        </is>
      </c>
      <c r="JV6" s="17" t="inlineStr">
        <is>
          <t>2049-12-31</t>
        </is>
      </c>
      <c r="JW6" s="17" t="inlineStr">
        <is>
          <t>2050-01-31</t>
        </is>
      </c>
      <c r="JX6" s="17" t="inlineStr">
        <is>
          <t>2050-02-28</t>
        </is>
      </c>
      <c r="JY6" s="17" t="inlineStr">
        <is>
          <t>2050-03-31</t>
        </is>
      </c>
      <c r="JZ6" s="17" t="inlineStr">
        <is>
          <t>2050-04-30</t>
        </is>
      </c>
      <c r="KA6" s="17" t="inlineStr">
        <is>
          <t>2050-05-31</t>
        </is>
      </c>
      <c r="KB6" s="17" t="inlineStr">
        <is>
          <t>2050-06-30</t>
        </is>
      </c>
      <c r="KC6" s="17" t="inlineStr">
        <is>
          <t>2050-07-31</t>
        </is>
      </c>
      <c r="KD6" s="17" t="inlineStr">
        <is>
          <t>2050-08-31</t>
        </is>
      </c>
      <c r="KE6" s="17" t="inlineStr">
        <is>
          <t>2050-09-30</t>
        </is>
      </c>
      <c r="KF6" s="17" t="inlineStr">
        <is>
          <t>2050-10-31</t>
        </is>
      </c>
      <c r="KG6" s="17" t="inlineStr">
        <is>
          <t>2050-11-30</t>
        </is>
      </c>
      <c r="KH6" s="17" t="inlineStr">
        <is>
          <t>2050-12-31</t>
        </is>
      </c>
      <c r="KI6" s="17" t="inlineStr">
        <is>
          <t>2051-01-31</t>
        </is>
      </c>
      <c r="KJ6" s="17" t="inlineStr">
        <is>
          <t>2051-02-28</t>
        </is>
      </c>
      <c r="KK6" s="17" t="inlineStr">
        <is>
          <t>2051-03-31</t>
        </is>
      </c>
      <c r="KL6" s="17" t="inlineStr">
        <is>
          <t>2051-04-30</t>
        </is>
      </c>
      <c r="KM6" s="17" t="inlineStr">
        <is>
          <t>2051-05-31</t>
        </is>
      </c>
      <c r="KN6" s="17" t="inlineStr">
        <is>
          <t>2051-06-30</t>
        </is>
      </c>
      <c r="KO6" s="17" t="inlineStr">
        <is>
          <t>2051-07-31</t>
        </is>
      </c>
      <c r="KP6" s="17" t="inlineStr">
        <is>
          <t>2051-08-31</t>
        </is>
      </c>
      <c r="KQ6" s="17" t="inlineStr">
        <is>
          <t>2051-09-30</t>
        </is>
      </c>
      <c r="KR6" s="17" t="inlineStr">
        <is>
          <t>2051-10-31</t>
        </is>
      </c>
      <c r="KS6" s="17" t="inlineStr">
        <is>
          <t>2051-11-30</t>
        </is>
      </c>
      <c r="KT6" s="17" t="inlineStr">
        <is>
          <t>2051-12-31</t>
        </is>
      </c>
      <c r="KU6" s="17" t="inlineStr">
        <is>
          <t>2052-01-31</t>
        </is>
      </c>
      <c r="KV6" s="17" t="inlineStr">
        <is>
          <t>2052-02-29</t>
        </is>
      </c>
      <c r="KW6" s="17" t="inlineStr">
        <is>
          <t>2052-03-31</t>
        </is>
      </c>
      <c r="KX6" s="17" t="inlineStr">
        <is>
          <t>2052-04-30</t>
        </is>
      </c>
      <c r="KY6" s="17" t="inlineStr">
        <is>
          <t>2052-05-31</t>
        </is>
      </c>
      <c r="KZ6" s="17" t="inlineStr">
        <is>
          <t>2052-06-30</t>
        </is>
      </c>
      <c r="LA6" s="17" t="inlineStr">
        <is>
          <t>2052-07-31</t>
        </is>
      </c>
      <c r="LB6" s="17" t="inlineStr">
        <is>
          <t>2052-08-31</t>
        </is>
      </c>
      <c r="LC6" s="17" t="inlineStr">
        <is>
          <t>2052-09-30</t>
        </is>
      </c>
      <c r="LD6" s="17" t="inlineStr">
        <is>
          <t>2052-10-31</t>
        </is>
      </c>
      <c r="LE6" s="17" t="inlineStr">
        <is>
          <t>2052-11-30</t>
        </is>
      </c>
      <c r="LF6" s="17" t="inlineStr">
        <is>
          <t>2052-12-31</t>
        </is>
      </c>
      <c r="LG6" s="17" t="inlineStr">
        <is>
          <t>2053-01-31</t>
        </is>
      </c>
      <c r="LH6" s="17" t="inlineStr">
        <is>
          <t>2053-02-28</t>
        </is>
      </c>
      <c r="LI6" s="17" t="inlineStr">
        <is>
          <t>2053-03-31</t>
        </is>
      </c>
    </row>
    <row r="7">
      <c r="B7" s="22" t="inlineStr">
        <is>
          <t>Meses de operacion</t>
        </is>
      </c>
      <c r="D7" s="26">
        <f>SUM($D$12:$LI$12)</f>
        <v/>
      </c>
    </row>
    <row r="8">
      <c r="B8" s="22" t="inlineStr">
        <is>
          <t>Base del intangible al termino de obra</t>
        </is>
      </c>
      <c r="D8" s="27">
        <f>SUM($D$16:$LI$16)</f>
        <v/>
      </c>
    </row>
    <row r="9">
      <c r="B9" s="22" t="inlineStr">
        <is>
          <t>Amortizacion lineal mensual</t>
        </is>
      </c>
      <c r="D9" s="27">
        <f>$D$8/$D$7</f>
        <v/>
      </c>
    </row>
    <row r="10">
      <c r="B10" s="18" t="inlineStr">
        <is>
          <t>Trimestre del mes</t>
        </is>
      </c>
      <c r="D10" s="19" t="n">
        <v>1</v>
      </c>
      <c r="E10" s="19" t="n">
        <v>1</v>
      </c>
      <c r="F10" s="19" t="n">
        <v>1</v>
      </c>
      <c r="G10" s="19" t="n">
        <v>2</v>
      </c>
      <c r="H10" s="19" t="n">
        <v>2</v>
      </c>
      <c r="I10" s="19" t="n">
        <v>2</v>
      </c>
      <c r="J10" s="19" t="n">
        <v>3</v>
      </c>
      <c r="K10" s="19" t="n">
        <v>3</v>
      </c>
      <c r="L10" s="19" t="n">
        <v>3</v>
      </c>
      <c r="M10" s="19" t="n">
        <v>4</v>
      </c>
      <c r="N10" s="19" t="n">
        <v>4</v>
      </c>
      <c r="O10" s="19" t="n">
        <v>4</v>
      </c>
      <c r="P10" s="19" t="n">
        <v>5</v>
      </c>
      <c r="Q10" s="19" t="n">
        <v>5</v>
      </c>
      <c r="R10" s="19" t="n">
        <v>5</v>
      </c>
      <c r="S10" s="19" t="n">
        <v>6</v>
      </c>
      <c r="T10" s="19" t="n">
        <v>6</v>
      </c>
      <c r="U10" s="19" t="n">
        <v>6</v>
      </c>
      <c r="V10" s="19" t="n">
        <v>7</v>
      </c>
      <c r="W10" s="19" t="n">
        <v>7</v>
      </c>
      <c r="X10" s="19" t="n">
        <v>7</v>
      </c>
      <c r="Y10" s="19" t="n">
        <v>8</v>
      </c>
      <c r="Z10" s="19" t="n">
        <v>8</v>
      </c>
      <c r="AA10" s="19" t="n">
        <v>8</v>
      </c>
      <c r="AB10" s="19" t="n">
        <v>9</v>
      </c>
      <c r="AC10" s="19" t="n">
        <v>9</v>
      </c>
      <c r="AD10" s="19" t="n">
        <v>9</v>
      </c>
      <c r="AE10" s="19" t="n">
        <v>10</v>
      </c>
      <c r="AF10" s="19" t="n">
        <v>10</v>
      </c>
      <c r="AG10" s="19" t="n">
        <v>10</v>
      </c>
      <c r="AH10" s="19" t="n">
        <v>11</v>
      </c>
      <c r="AI10" s="19" t="n">
        <v>11</v>
      </c>
      <c r="AJ10" s="19" t="n">
        <v>11</v>
      </c>
      <c r="AK10" s="19" t="n">
        <v>12</v>
      </c>
      <c r="AL10" s="19" t="n">
        <v>12</v>
      </c>
      <c r="AM10" s="19" t="n">
        <v>12</v>
      </c>
      <c r="AN10" s="19" t="n">
        <v>13</v>
      </c>
      <c r="AO10" s="19" t="n">
        <v>13</v>
      </c>
      <c r="AP10" s="19" t="n">
        <v>13</v>
      </c>
      <c r="AQ10" s="19" t="n">
        <v>14</v>
      </c>
      <c r="AR10" s="19" t="n">
        <v>14</v>
      </c>
      <c r="AS10" s="19" t="n">
        <v>14</v>
      </c>
      <c r="AT10" s="19" t="n">
        <v>15</v>
      </c>
      <c r="AU10" s="19" t="n">
        <v>15</v>
      </c>
      <c r="AV10" s="19" t="n">
        <v>15</v>
      </c>
      <c r="AW10" s="19" t="n">
        <v>16</v>
      </c>
      <c r="AX10" s="19" t="n">
        <v>16</v>
      </c>
      <c r="AY10" s="19" t="n">
        <v>16</v>
      </c>
      <c r="AZ10" s="19" t="n">
        <v>17</v>
      </c>
      <c r="BA10" s="19" t="n">
        <v>17</v>
      </c>
      <c r="BB10" s="19" t="n">
        <v>17</v>
      </c>
      <c r="BC10" s="19" t="n">
        <v>18</v>
      </c>
      <c r="BD10" s="19" t="n">
        <v>18</v>
      </c>
      <c r="BE10" s="19" t="n">
        <v>18</v>
      </c>
      <c r="BF10" s="19" t="n">
        <v>19</v>
      </c>
      <c r="BG10" s="19" t="n">
        <v>19</v>
      </c>
      <c r="BH10" s="19" t="n">
        <v>19</v>
      </c>
      <c r="BI10" s="19" t="n">
        <v>20</v>
      </c>
      <c r="BJ10" s="19" t="n">
        <v>20</v>
      </c>
      <c r="BK10" s="19" t="n">
        <v>20</v>
      </c>
      <c r="BL10" s="19" t="n">
        <v>21</v>
      </c>
      <c r="BM10" s="19" t="n">
        <v>21</v>
      </c>
      <c r="BN10" s="19" t="n">
        <v>21</v>
      </c>
      <c r="BO10" s="19" t="n">
        <v>22</v>
      </c>
      <c r="BP10" s="19" t="n">
        <v>22</v>
      </c>
      <c r="BQ10" s="19" t="n">
        <v>22</v>
      </c>
      <c r="BR10" s="19" t="n">
        <v>23</v>
      </c>
      <c r="BS10" s="19" t="n">
        <v>23</v>
      </c>
      <c r="BT10" s="19" t="n">
        <v>23</v>
      </c>
      <c r="BU10" s="19" t="n">
        <v>24</v>
      </c>
      <c r="BV10" s="19" t="n">
        <v>24</v>
      </c>
      <c r="BW10" s="19" t="n">
        <v>24</v>
      </c>
      <c r="BX10" s="19" t="n">
        <v>25</v>
      </c>
      <c r="BY10" s="19" t="n">
        <v>25</v>
      </c>
      <c r="BZ10" s="19" t="n">
        <v>25</v>
      </c>
      <c r="CA10" s="19" t="n">
        <v>26</v>
      </c>
      <c r="CB10" s="19" t="n">
        <v>26</v>
      </c>
      <c r="CC10" s="19" t="n">
        <v>26</v>
      </c>
      <c r="CD10" s="19" t="n">
        <v>27</v>
      </c>
      <c r="CE10" s="19" t="n">
        <v>27</v>
      </c>
      <c r="CF10" s="19" t="n">
        <v>27</v>
      </c>
      <c r="CG10" s="19" t="n">
        <v>28</v>
      </c>
      <c r="CH10" s="19" t="n">
        <v>28</v>
      </c>
      <c r="CI10" s="19" t="n">
        <v>28</v>
      </c>
      <c r="CJ10" s="19" t="n">
        <v>29</v>
      </c>
      <c r="CK10" s="19" t="n">
        <v>29</v>
      </c>
      <c r="CL10" s="19" t="n">
        <v>29</v>
      </c>
      <c r="CM10" s="19" t="n">
        <v>30</v>
      </c>
      <c r="CN10" s="19" t="n">
        <v>30</v>
      </c>
      <c r="CO10" s="19" t="n">
        <v>30</v>
      </c>
      <c r="CP10" s="19" t="n">
        <v>31</v>
      </c>
      <c r="CQ10" s="19" t="n">
        <v>31</v>
      </c>
      <c r="CR10" s="19" t="n">
        <v>31</v>
      </c>
      <c r="CS10" s="19" t="n">
        <v>32</v>
      </c>
      <c r="CT10" s="19" t="n">
        <v>32</v>
      </c>
      <c r="CU10" s="19" t="n">
        <v>32</v>
      </c>
      <c r="CV10" s="19" t="n">
        <v>33</v>
      </c>
      <c r="CW10" s="19" t="n">
        <v>33</v>
      </c>
      <c r="CX10" s="19" t="n">
        <v>33</v>
      </c>
      <c r="CY10" s="19" t="n">
        <v>34</v>
      </c>
      <c r="CZ10" s="19" t="n">
        <v>34</v>
      </c>
      <c r="DA10" s="19" t="n">
        <v>34</v>
      </c>
      <c r="DB10" s="19" t="n">
        <v>35</v>
      </c>
      <c r="DC10" s="19" t="n">
        <v>35</v>
      </c>
      <c r="DD10" s="19" t="n">
        <v>35</v>
      </c>
      <c r="DE10" s="19" t="n">
        <v>36</v>
      </c>
      <c r="DF10" s="19" t="n">
        <v>36</v>
      </c>
      <c r="DG10" s="19" t="n">
        <v>36</v>
      </c>
      <c r="DH10" s="19" t="n">
        <v>37</v>
      </c>
      <c r="DI10" s="19" t="n">
        <v>37</v>
      </c>
      <c r="DJ10" s="19" t="n">
        <v>37</v>
      </c>
      <c r="DK10" s="19" t="n">
        <v>38</v>
      </c>
      <c r="DL10" s="19" t="n">
        <v>38</v>
      </c>
      <c r="DM10" s="19" t="n">
        <v>38</v>
      </c>
      <c r="DN10" s="19" t="n">
        <v>39</v>
      </c>
      <c r="DO10" s="19" t="n">
        <v>39</v>
      </c>
      <c r="DP10" s="19" t="n">
        <v>39</v>
      </c>
      <c r="DQ10" s="19" t="n">
        <v>40</v>
      </c>
      <c r="DR10" s="19" t="n">
        <v>40</v>
      </c>
      <c r="DS10" s="19" t="n">
        <v>40</v>
      </c>
      <c r="DT10" s="19" t="n">
        <v>41</v>
      </c>
      <c r="DU10" s="19" t="n">
        <v>41</v>
      </c>
      <c r="DV10" s="19" t="n">
        <v>41</v>
      </c>
      <c r="DW10" s="19" t="n">
        <v>42</v>
      </c>
      <c r="DX10" s="19" t="n">
        <v>42</v>
      </c>
      <c r="DY10" s="19" t="n">
        <v>42</v>
      </c>
      <c r="DZ10" s="19" t="n">
        <v>43</v>
      </c>
      <c r="EA10" s="19" t="n">
        <v>43</v>
      </c>
      <c r="EB10" s="19" t="n">
        <v>43</v>
      </c>
      <c r="EC10" s="19" t="n">
        <v>44</v>
      </c>
      <c r="ED10" s="19" t="n">
        <v>44</v>
      </c>
      <c r="EE10" s="19" t="n">
        <v>44</v>
      </c>
      <c r="EF10" s="19" t="n">
        <v>45</v>
      </c>
      <c r="EG10" s="19" t="n">
        <v>45</v>
      </c>
      <c r="EH10" s="19" t="n">
        <v>45</v>
      </c>
      <c r="EI10" s="19" t="n">
        <v>46</v>
      </c>
      <c r="EJ10" s="19" t="n">
        <v>46</v>
      </c>
      <c r="EK10" s="19" t="n">
        <v>46</v>
      </c>
      <c r="EL10" s="19" t="n">
        <v>47</v>
      </c>
      <c r="EM10" s="19" t="n">
        <v>47</v>
      </c>
      <c r="EN10" s="19" t="n">
        <v>47</v>
      </c>
      <c r="EO10" s="19" t="n">
        <v>48</v>
      </c>
      <c r="EP10" s="19" t="n">
        <v>48</v>
      </c>
      <c r="EQ10" s="19" t="n">
        <v>48</v>
      </c>
      <c r="ER10" s="19" t="n">
        <v>49</v>
      </c>
      <c r="ES10" s="19" t="n">
        <v>49</v>
      </c>
      <c r="ET10" s="19" t="n">
        <v>49</v>
      </c>
      <c r="EU10" s="19" t="n">
        <v>50</v>
      </c>
      <c r="EV10" s="19" t="n">
        <v>50</v>
      </c>
      <c r="EW10" s="19" t="n">
        <v>50</v>
      </c>
      <c r="EX10" s="19" t="n">
        <v>51</v>
      </c>
      <c r="EY10" s="19" t="n">
        <v>51</v>
      </c>
      <c r="EZ10" s="19" t="n">
        <v>51</v>
      </c>
      <c r="FA10" s="19" t="n">
        <v>52</v>
      </c>
      <c r="FB10" s="19" t="n">
        <v>52</v>
      </c>
      <c r="FC10" s="19" t="n">
        <v>52</v>
      </c>
      <c r="FD10" s="19" t="n">
        <v>53</v>
      </c>
      <c r="FE10" s="19" t="n">
        <v>53</v>
      </c>
      <c r="FF10" s="19" t="n">
        <v>53</v>
      </c>
      <c r="FG10" s="19" t="n">
        <v>54</v>
      </c>
      <c r="FH10" s="19" t="n">
        <v>54</v>
      </c>
      <c r="FI10" s="19" t="n">
        <v>54</v>
      </c>
      <c r="FJ10" s="19" t="n">
        <v>55</v>
      </c>
      <c r="FK10" s="19" t="n">
        <v>55</v>
      </c>
      <c r="FL10" s="19" t="n">
        <v>55</v>
      </c>
      <c r="FM10" s="19" t="n">
        <v>56</v>
      </c>
      <c r="FN10" s="19" t="n">
        <v>56</v>
      </c>
      <c r="FO10" s="19" t="n">
        <v>56</v>
      </c>
      <c r="FP10" s="19" t="n">
        <v>57</v>
      </c>
      <c r="FQ10" s="19" t="n">
        <v>57</v>
      </c>
      <c r="FR10" s="19" t="n">
        <v>57</v>
      </c>
      <c r="FS10" s="19" t="n">
        <v>58</v>
      </c>
      <c r="FT10" s="19" t="n">
        <v>58</v>
      </c>
      <c r="FU10" s="19" t="n">
        <v>58</v>
      </c>
      <c r="FV10" s="19" t="n">
        <v>59</v>
      </c>
      <c r="FW10" s="19" t="n">
        <v>59</v>
      </c>
      <c r="FX10" s="19" t="n">
        <v>59</v>
      </c>
      <c r="FY10" s="19" t="n">
        <v>60</v>
      </c>
      <c r="FZ10" s="19" t="n">
        <v>60</v>
      </c>
      <c r="GA10" s="19" t="n">
        <v>60</v>
      </c>
      <c r="GB10" s="19" t="n">
        <v>61</v>
      </c>
      <c r="GC10" s="19" t="n">
        <v>61</v>
      </c>
      <c r="GD10" s="19" t="n">
        <v>61</v>
      </c>
      <c r="GE10" s="19" t="n">
        <v>62</v>
      </c>
      <c r="GF10" s="19" t="n">
        <v>62</v>
      </c>
      <c r="GG10" s="19" t="n">
        <v>62</v>
      </c>
      <c r="GH10" s="19" t="n">
        <v>63</v>
      </c>
      <c r="GI10" s="19" t="n">
        <v>63</v>
      </c>
      <c r="GJ10" s="19" t="n">
        <v>63</v>
      </c>
      <c r="GK10" s="19" t="n">
        <v>64</v>
      </c>
      <c r="GL10" s="19" t="n">
        <v>64</v>
      </c>
      <c r="GM10" s="19" t="n">
        <v>64</v>
      </c>
      <c r="GN10" s="19" t="n">
        <v>65</v>
      </c>
      <c r="GO10" s="19" t="n">
        <v>65</v>
      </c>
      <c r="GP10" s="19" t="n">
        <v>65</v>
      </c>
      <c r="GQ10" s="19" t="n">
        <v>66</v>
      </c>
      <c r="GR10" s="19" t="n">
        <v>66</v>
      </c>
      <c r="GS10" s="19" t="n">
        <v>66</v>
      </c>
      <c r="GT10" s="19" t="n">
        <v>67</v>
      </c>
      <c r="GU10" s="19" t="n">
        <v>67</v>
      </c>
      <c r="GV10" s="19" t="n">
        <v>67</v>
      </c>
      <c r="GW10" s="19" t="n">
        <v>68</v>
      </c>
      <c r="GX10" s="19" t="n">
        <v>68</v>
      </c>
      <c r="GY10" s="19" t="n">
        <v>68</v>
      </c>
      <c r="GZ10" s="19" t="n">
        <v>69</v>
      </c>
      <c r="HA10" s="19" t="n">
        <v>69</v>
      </c>
      <c r="HB10" s="19" t="n">
        <v>69</v>
      </c>
      <c r="HC10" s="19" t="n">
        <v>70</v>
      </c>
      <c r="HD10" s="19" t="n">
        <v>70</v>
      </c>
      <c r="HE10" s="19" t="n">
        <v>70</v>
      </c>
      <c r="HF10" s="19" t="n">
        <v>71</v>
      </c>
      <c r="HG10" s="19" t="n">
        <v>71</v>
      </c>
      <c r="HH10" s="19" t="n">
        <v>71</v>
      </c>
      <c r="HI10" s="19" t="n">
        <v>72</v>
      </c>
      <c r="HJ10" s="19" t="n">
        <v>72</v>
      </c>
      <c r="HK10" s="19" t="n">
        <v>72</v>
      </c>
      <c r="HL10" s="19" t="n">
        <v>73</v>
      </c>
      <c r="HM10" s="19" t="n">
        <v>73</v>
      </c>
      <c r="HN10" s="19" t="n">
        <v>73</v>
      </c>
      <c r="HO10" s="19" t="n">
        <v>74</v>
      </c>
      <c r="HP10" s="19" t="n">
        <v>74</v>
      </c>
      <c r="HQ10" s="19" t="n">
        <v>74</v>
      </c>
      <c r="HR10" s="19" t="n">
        <v>75</v>
      </c>
      <c r="HS10" s="19" t="n">
        <v>75</v>
      </c>
      <c r="HT10" s="19" t="n">
        <v>75</v>
      </c>
      <c r="HU10" s="19" t="n">
        <v>76</v>
      </c>
      <c r="HV10" s="19" t="n">
        <v>76</v>
      </c>
      <c r="HW10" s="19" t="n">
        <v>76</v>
      </c>
      <c r="HX10" s="19" t="n">
        <v>77</v>
      </c>
      <c r="HY10" s="19" t="n">
        <v>77</v>
      </c>
      <c r="HZ10" s="19" t="n">
        <v>77</v>
      </c>
      <c r="IA10" s="19" t="n">
        <v>78</v>
      </c>
      <c r="IB10" s="19" t="n">
        <v>78</v>
      </c>
      <c r="IC10" s="19" t="n">
        <v>78</v>
      </c>
      <c r="ID10" s="19" t="n">
        <v>79</v>
      </c>
      <c r="IE10" s="19" t="n">
        <v>79</v>
      </c>
      <c r="IF10" s="19" t="n">
        <v>79</v>
      </c>
      <c r="IG10" s="19" t="n">
        <v>80</v>
      </c>
      <c r="IH10" s="19" t="n">
        <v>80</v>
      </c>
      <c r="II10" s="19" t="n">
        <v>80</v>
      </c>
      <c r="IJ10" s="19" t="n">
        <v>81</v>
      </c>
      <c r="IK10" s="19" t="n">
        <v>81</v>
      </c>
      <c r="IL10" s="19" t="n">
        <v>81</v>
      </c>
      <c r="IM10" s="19" t="n">
        <v>82</v>
      </c>
      <c r="IN10" s="19" t="n">
        <v>82</v>
      </c>
      <c r="IO10" s="19" t="n">
        <v>82</v>
      </c>
      <c r="IP10" s="19" t="n">
        <v>83</v>
      </c>
      <c r="IQ10" s="19" t="n">
        <v>83</v>
      </c>
      <c r="IR10" s="19" t="n">
        <v>83</v>
      </c>
      <c r="IS10" s="19" t="n">
        <v>84</v>
      </c>
      <c r="IT10" s="19" t="n">
        <v>84</v>
      </c>
      <c r="IU10" s="19" t="n">
        <v>84</v>
      </c>
      <c r="IV10" s="19" t="n">
        <v>85</v>
      </c>
      <c r="IW10" s="19" t="n">
        <v>85</v>
      </c>
      <c r="IX10" s="19" t="n">
        <v>85</v>
      </c>
      <c r="IY10" s="19" t="n">
        <v>86</v>
      </c>
      <c r="IZ10" s="19" t="n">
        <v>86</v>
      </c>
      <c r="JA10" s="19" t="n">
        <v>86</v>
      </c>
      <c r="JB10" s="19" t="n">
        <v>87</v>
      </c>
      <c r="JC10" s="19" t="n">
        <v>87</v>
      </c>
      <c r="JD10" s="19" t="n">
        <v>87</v>
      </c>
      <c r="JE10" s="19" t="n">
        <v>88</v>
      </c>
      <c r="JF10" s="19" t="n">
        <v>88</v>
      </c>
      <c r="JG10" s="19" t="n">
        <v>88</v>
      </c>
      <c r="JH10" s="19" t="n">
        <v>89</v>
      </c>
      <c r="JI10" s="19" t="n">
        <v>89</v>
      </c>
      <c r="JJ10" s="19" t="n">
        <v>89</v>
      </c>
      <c r="JK10" s="19" t="n">
        <v>90</v>
      </c>
      <c r="JL10" s="19" t="n">
        <v>90</v>
      </c>
      <c r="JM10" s="19" t="n">
        <v>90</v>
      </c>
      <c r="JN10" s="19" t="n">
        <v>91</v>
      </c>
      <c r="JO10" s="19" t="n">
        <v>91</v>
      </c>
      <c r="JP10" s="19" t="n">
        <v>91</v>
      </c>
      <c r="JQ10" s="19" t="n">
        <v>92</v>
      </c>
      <c r="JR10" s="19" t="n">
        <v>92</v>
      </c>
      <c r="JS10" s="19" t="n">
        <v>92</v>
      </c>
      <c r="JT10" s="19" t="n">
        <v>93</v>
      </c>
      <c r="JU10" s="19" t="n">
        <v>93</v>
      </c>
      <c r="JV10" s="19" t="n">
        <v>93</v>
      </c>
      <c r="JW10" s="19" t="n">
        <v>94</v>
      </c>
      <c r="JX10" s="19" t="n">
        <v>94</v>
      </c>
      <c r="JY10" s="19" t="n">
        <v>94</v>
      </c>
      <c r="JZ10" s="19" t="n">
        <v>95</v>
      </c>
      <c r="KA10" s="19" t="n">
        <v>95</v>
      </c>
      <c r="KB10" s="19" t="n">
        <v>95</v>
      </c>
      <c r="KC10" s="19" t="n">
        <v>96</v>
      </c>
      <c r="KD10" s="19" t="n">
        <v>96</v>
      </c>
      <c r="KE10" s="19" t="n">
        <v>96</v>
      </c>
      <c r="KF10" s="19" t="n">
        <v>97</v>
      </c>
      <c r="KG10" s="19" t="n">
        <v>97</v>
      </c>
      <c r="KH10" s="19" t="n">
        <v>97</v>
      </c>
      <c r="KI10" s="19" t="n">
        <v>98</v>
      </c>
      <c r="KJ10" s="19" t="n">
        <v>98</v>
      </c>
      <c r="KK10" s="19" t="n">
        <v>98</v>
      </c>
      <c r="KL10" s="19" t="n">
        <v>99</v>
      </c>
      <c r="KM10" s="19" t="n">
        <v>99</v>
      </c>
      <c r="KN10" s="19" t="n">
        <v>99</v>
      </c>
      <c r="KO10" s="19" t="n">
        <v>100</v>
      </c>
      <c r="KP10" s="19" t="n">
        <v>100</v>
      </c>
      <c r="KQ10" s="19" t="n">
        <v>100</v>
      </c>
      <c r="KR10" s="19" t="n">
        <v>101</v>
      </c>
      <c r="KS10" s="19" t="n">
        <v>101</v>
      </c>
      <c r="KT10" s="19" t="n">
        <v>101</v>
      </c>
      <c r="KU10" s="19" t="n">
        <v>102</v>
      </c>
      <c r="KV10" s="19" t="n">
        <v>102</v>
      </c>
      <c r="KW10" s="19" t="n">
        <v>102</v>
      </c>
      <c r="KX10" s="19" t="n">
        <v>103</v>
      </c>
      <c r="KY10" s="19" t="n">
        <v>103</v>
      </c>
      <c r="KZ10" s="19" t="n">
        <v>103</v>
      </c>
      <c r="LA10" s="19" t="n">
        <v>104</v>
      </c>
      <c r="LB10" s="19" t="n">
        <v>104</v>
      </c>
      <c r="LC10" s="19" t="n">
        <v>104</v>
      </c>
      <c r="LD10" s="19" t="n">
        <v>105</v>
      </c>
      <c r="LE10" s="19" t="n">
        <v>105</v>
      </c>
      <c r="LF10" s="19" t="n">
        <v>105</v>
      </c>
      <c r="LG10" s="19" t="n">
        <v>106</v>
      </c>
      <c r="LH10" s="19" t="n">
        <v>106</v>
      </c>
      <c r="LI10" s="19" t="n">
        <v>106</v>
      </c>
    </row>
    <row r="11">
      <c r="B11" s="18" t="inlineStr">
        <is>
          <t>Flag anterior a la operacion</t>
        </is>
      </c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1</v>
      </c>
      <c r="M11" s="19" t="n">
        <v>1</v>
      </c>
      <c r="N11" s="19" t="n">
        <v>1</v>
      </c>
      <c r="O11" s="19" t="n">
        <v>1</v>
      </c>
      <c r="P11" s="19" t="n">
        <v>1</v>
      </c>
      <c r="Q11" s="19" t="n">
        <v>1</v>
      </c>
      <c r="R11" s="19" t="n">
        <v>1</v>
      </c>
      <c r="S11" s="19" t="n">
        <v>1</v>
      </c>
      <c r="T11" s="19" t="n">
        <v>1</v>
      </c>
      <c r="U11" s="19" t="n">
        <v>1</v>
      </c>
      <c r="V11" s="19" t="n">
        <v>1</v>
      </c>
      <c r="W11" s="19" t="n">
        <v>1</v>
      </c>
      <c r="X11" s="19" t="n">
        <v>1</v>
      </c>
      <c r="Y11" s="19" t="n">
        <v>1</v>
      </c>
      <c r="Z11" s="19" t="n">
        <v>1</v>
      </c>
      <c r="AA11" s="19" t="n">
        <v>1</v>
      </c>
      <c r="AB11" s="19" t="n">
        <v>1</v>
      </c>
      <c r="AC11" s="19" t="n">
        <v>1</v>
      </c>
      <c r="AD11" s="19" t="n">
        <v>1</v>
      </c>
      <c r="AE11" s="19" t="n">
        <v>1</v>
      </c>
      <c r="AF11" s="19" t="n">
        <v>1</v>
      </c>
      <c r="AG11" s="19" t="n">
        <v>1</v>
      </c>
      <c r="AH11" s="19" t="n">
        <v>1</v>
      </c>
      <c r="AI11" s="19" t="n">
        <v>1</v>
      </c>
      <c r="AJ11" s="19" t="n">
        <v>1</v>
      </c>
      <c r="AK11" s="19" t="n">
        <v>1</v>
      </c>
      <c r="AL11" s="19" t="n">
        <v>1</v>
      </c>
      <c r="AM11" s="19" t="n">
        <v>1</v>
      </c>
      <c r="AN11" s="19" t="n">
        <v>1</v>
      </c>
      <c r="AO11" s="19" t="n">
        <v>1</v>
      </c>
      <c r="AP11" s="19" t="n">
        <v>1</v>
      </c>
      <c r="AQ11" s="19" t="n">
        <v>1</v>
      </c>
      <c r="AR11" s="19" t="n">
        <v>1</v>
      </c>
      <c r="AS11" s="19" t="n">
        <v>1</v>
      </c>
      <c r="AT11" s="19" t="n">
        <v>1</v>
      </c>
      <c r="AU11" s="19" t="n">
        <v>1</v>
      </c>
      <c r="AV11" s="19" t="n">
        <v>1</v>
      </c>
      <c r="AW11" s="19" t="n">
        <v>1</v>
      </c>
      <c r="AX11" s="19" t="n">
        <v>1</v>
      </c>
      <c r="AY11" s="19" t="n">
        <v>1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0</v>
      </c>
      <c r="EG11" s="19" t="n">
        <v>0</v>
      </c>
      <c r="EH11" s="19" t="n">
        <v>0</v>
      </c>
      <c r="EI11" s="19" t="n">
        <v>0</v>
      </c>
      <c r="EJ11" s="19" t="n">
        <v>0</v>
      </c>
      <c r="EK11" s="19" t="n">
        <v>0</v>
      </c>
      <c r="EL11" s="19" t="n">
        <v>0</v>
      </c>
      <c r="EM11" s="19" t="n">
        <v>0</v>
      </c>
      <c r="EN11" s="19" t="n">
        <v>0</v>
      </c>
      <c r="EO11" s="19" t="n">
        <v>0</v>
      </c>
      <c r="EP11" s="19" t="n">
        <v>0</v>
      </c>
      <c r="EQ11" s="19" t="n">
        <v>0</v>
      </c>
      <c r="ER11" s="19" t="n">
        <v>0</v>
      </c>
      <c r="ES11" s="19" t="n">
        <v>0</v>
      </c>
      <c r="ET11" s="19" t="n">
        <v>0</v>
      </c>
      <c r="EU11" s="19" t="n">
        <v>0</v>
      </c>
      <c r="EV11" s="19" t="n">
        <v>0</v>
      </c>
      <c r="EW11" s="19" t="n">
        <v>0</v>
      </c>
      <c r="EX11" s="19" t="n">
        <v>0</v>
      </c>
      <c r="EY11" s="19" t="n">
        <v>0</v>
      </c>
      <c r="EZ11" s="19" t="n">
        <v>0</v>
      </c>
      <c r="FA11" s="19" t="n">
        <v>0</v>
      </c>
      <c r="FB11" s="19" t="n">
        <v>0</v>
      </c>
      <c r="FC11" s="19" t="n">
        <v>0</v>
      </c>
      <c r="FD11" s="19" t="n">
        <v>0</v>
      </c>
      <c r="FE11" s="19" t="n">
        <v>0</v>
      </c>
      <c r="FF11" s="19" t="n">
        <v>0</v>
      </c>
      <c r="FG11" s="19" t="n">
        <v>0</v>
      </c>
      <c r="FH11" s="19" t="n">
        <v>0</v>
      </c>
      <c r="FI11" s="19" t="n">
        <v>0</v>
      </c>
      <c r="FJ11" s="19" t="n">
        <v>0</v>
      </c>
      <c r="FK11" s="19" t="n">
        <v>0</v>
      </c>
      <c r="FL11" s="19" t="n">
        <v>0</v>
      </c>
      <c r="FM11" s="19" t="n">
        <v>0</v>
      </c>
      <c r="FN11" s="19" t="n">
        <v>0</v>
      </c>
      <c r="FO11" s="19" t="n">
        <v>0</v>
      </c>
      <c r="FP11" s="19" t="n">
        <v>0</v>
      </c>
      <c r="FQ11" s="19" t="n">
        <v>0</v>
      </c>
      <c r="FR11" s="19" t="n">
        <v>0</v>
      </c>
      <c r="FS11" s="19" t="n">
        <v>0</v>
      </c>
      <c r="FT11" s="19" t="n">
        <v>0</v>
      </c>
      <c r="FU11" s="19" t="n">
        <v>0</v>
      </c>
      <c r="FV11" s="19" t="n">
        <v>0</v>
      </c>
      <c r="FW11" s="19" t="n">
        <v>0</v>
      </c>
      <c r="FX11" s="19" t="n">
        <v>0</v>
      </c>
      <c r="FY11" s="19" t="n">
        <v>0</v>
      </c>
      <c r="FZ11" s="19" t="n">
        <v>0</v>
      </c>
      <c r="GA11" s="19" t="n">
        <v>0</v>
      </c>
      <c r="GB11" s="19" t="n">
        <v>0</v>
      </c>
      <c r="GC11" s="19" t="n">
        <v>0</v>
      </c>
      <c r="GD11" s="19" t="n">
        <v>0</v>
      </c>
      <c r="GE11" s="19" t="n">
        <v>0</v>
      </c>
      <c r="GF11" s="19" t="n">
        <v>0</v>
      </c>
      <c r="GG11" s="19" t="n">
        <v>0</v>
      </c>
      <c r="GH11" s="19" t="n">
        <v>0</v>
      </c>
      <c r="GI11" s="19" t="n">
        <v>0</v>
      </c>
      <c r="GJ11" s="19" t="n">
        <v>0</v>
      </c>
      <c r="GK11" s="19" t="n">
        <v>0</v>
      </c>
      <c r="GL11" s="19" t="n">
        <v>0</v>
      </c>
      <c r="GM11" s="19" t="n">
        <v>0</v>
      </c>
      <c r="GN11" s="19" t="n">
        <v>0</v>
      </c>
      <c r="GO11" s="19" t="n">
        <v>0</v>
      </c>
      <c r="GP11" s="19" t="n">
        <v>0</v>
      </c>
      <c r="GQ11" s="19" t="n">
        <v>0</v>
      </c>
      <c r="GR11" s="19" t="n">
        <v>0</v>
      </c>
      <c r="GS11" s="19" t="n">
        <v>0</v>
      </c>
      <c r="GT11" s="19" t="n">
        <v>0</v>
      </c>
      <c r="GU11" s="19" t="n">
        <v>0</v>
      </c>
      <c r="GV11" s="19" t="n">
        <v>0</v>
      </c>
      <c r="GW11" s="19" t="n">
        <v>0</v>
      </c>
      <c r="GX11" s="19" t="n">
        <v>0</v>
      </c>
      <c r="GY11" s="19" t="n">
        <v>0</v>
      </c>
      <c r="GZ11" s="19" t="n">
        <v>0</v>
      </c>
      <c r="HA11" s="19" t="n">
        <v>0</v>
      </c>
      <c r="HB11" s="19" t="n">
        <v>0</v>
      </c>
      <c r="HC11" s="19" t="n">
        <v>0</v>
      </c>
      <c r="HD11" s="19" t="n">
        <v>0</v>
      </c>
      <c r="HE11" s="19" t="n">
        <v>0</v>
      </c>
      <c r="HF11" s="19" t="n">
        <v>0</v>
      </c>
      <c r="HG11" s="19" t="n">
        <v>0</v>
      </c>
      <c r="HH11" s="19" t="n">
        <v>0</v>
      </c>
      <c r="HI11" s="19" t="n">
        <v>0</v>
      </c>
      <c r="HJ11" s="19" t="n">
        <v>0</v>
      </c>
      <c r="HK11" s="19" t="n">
        <v>0</v>
      </c>
      <c r="HL11" s="19" t="n">
        <v>0</v>
      </c>
      <c r="HM11" s="19" t="n">
        <v>0</v>
      </c>
      <c r="HN11" s="19" t="n">
        <v>0</v>
      </c>
      <c r="HO11" s="19" t="n">
        <v>0</v>
      </c>
      <c r="HP11" s="19" t="n">
        <v>0</v>
      </c>
      <c r="HQ11" s="19" t="n">
        <v>0</v>
      </c>
      <c r="HR11" s="19" t="n">
        <v>0</v>
      </c>
      <c r="HS11" s="19" t="n">
        <v>0</v>
      </c>
      <c r="HT11" s="19" t="n">
        <v>0</v>
      </c>
      <c r="HU11" s="19" t="n">
        <v>0</v>
      </c>
      <c r="HV11" s="19" t="n">
        <v>0</v>
      </c>
      <c r="HW11" s="19" t="n">
        <v>0</v>
      </c>
      <c r="HX11" s="19" t="n">
        <v>0</v>
      </c>
      <c r="HY11" s="19" t="n">
        <v>0</v>
      </c>
      <c r="HZ11" s="19" t="n">
        <v>0</v>
      </c>
      <c r="IA11" s="19" t="n">
        <v>0</v>
      </c>
      <c r="IB11" s="19" t="n">
        <v>0</v>
      </c>
      <c r="IC11" s="19" t="n">
        <v>0</v>
      </c>
      <c r="ID11" s="19" t="n">
        <v>0</v>
      </c>
      <c r="IE11" s="19" t="n">
        <v>0</v>
      </c>
      <c r="IF11" s="19" t="n">
        <v>0</v>
      </c>
      <c r="IG11" s="19" t="n">
        <v>0</v>
      </c>
      <c r="IH11" s="19" t="n">
        <v>0</v>
      </c>
      <c r="II11" s="19" t="n">
        <v>0</v>
      </c>
      <c r="IJ11" s="19" t="n">
        <v>0</v>
      </c>
      <c r="IK11" s="19" t="n">
        <v>0</v>
      </c>
      <c r="IL11" s="19" t="n">
        <v>0</v>
      </c>
      <c r="IM11" s="19" t="n">
        <v>0</v>
      </c>
      <c r="IN11" s="19" t="n">
        <v>0</v>
      </c>
      <c r="IO11" s="19" t="n">
        <v>0</v>
      </c>
      <c r="IP11" s="19" t="n">
        <v>0</v>
      </c>
      <c r="IQ11" s="19" t="n">
        <v>0</v>
      </c>
      <c r="IR11" s="19" t="n">
        <v>0</v>
      </c>
      <c r="IS11" s="19" t="n">
        <v>0</v>
      </c>
      <c r="IT11" s="19" t="n">
        <v>0</v>
      </c>
      <c r="IU11" s="19" t="n">
        <v>0</v>
      </c>
      <c r="IV11" s="19" t="n">
        <v>0</v>
      </c>
      <c r="IW11" s="19" t="n">
        <v>0</v>
      </c>
      <c r="IX11" s="19" t="n">
        <v>0</v>
      </c>
      <c r="IY11" s="19" t="n">
        <v>0</v>
      </c>
      <c r="IZ11" s="19" t="n">
        <v>0</v>
      </c>
      <c r="JA11" s="19" t="n">
        <v>0</v>
      </c>
      <c r="JB11" s="19" t="n">
        <v>0</v>
      </c>
      <c r="JC11" s="19" t="n">
        <v>0</v>
      </c>
      <c r="JD11" s="19" t="n">
        <v>0</v>
      </c>
      <c r="JE11" s="19" t="n">
        <v>0</v>
      </c>
      <c r="JF11" s="19" t="n">
        <v>0</v>
      </c>
      <c r="JG11" s="19" t="n">
        <v>0</v>
      </c>
      <c r="JH11" s="19" t="n">
        <v>0</v>
      </c>
      <c r="JI11" s="19" t="n">
        <v>0</v>
      </c>
      <c r="JJ11" s="19" t="n">
        <v>0</v>
      </c>
      <c r="JK11" s="19" t="n">
        <v>0</v>
      </c>
      <c r="JL11" s="19" t="n">
        <v>0</v>
      </c>
      <c r="JM11" s="19" t="n">
        <v>0</v>
      </c>
      <c r="JN11" s="19" t="n">
        <v>0</v>
      </c>
      <c r="JO11" s="19" t="n">
        <v>0</v>
      </c>
      <c r="JP11" s="19" t="n">
        <v>0</v>
      </c>
      <c r="JQ11" s="19" t="n">
        <v>0</v>
      </c>
      <c r="JR11" s="19" t="n">
        <v>0</v>
      </c>
      <c r="JS11" s="19" t="n">
        <v>0</v>
      </c>
      <c r="JT11" s="19" t="n">
        <v>0</v>
      </c>
      <c r="JU11" s="19" t="n">
        <v>0</v>
      </c>
      <c r="JV11" s="19" t="n">
        <v>0</v>
      </c>
      <c r="JW11" s="19" t="n">
        <v>0</v>
      </c>
      <c r="JX11" s="19" t="n">
        <v>0</v>
      </c>
      <c r="JY11" s="19" t="n">
        <v>0</v>
      </c>
      <c r="JZ11" s="19" t="n">
        <v>0</v>
      </c>
      <c r="KA11" s="19" t="n">
        <v>0</v>
      </c>
      <c r="KB11" s="19" t="n">
        <v>0</v>
      </c>
      <c r="KC11" s="19" t="n">
        <v>0</v>
      </c>
      <c r="KD11" s="19" t="n">
        <v>0</v>
      </c>
      <c r="KE11" s="19" t="n">
        <v>0</v>
      </c>
      <c r="KF11" s="19" t="n">
        <v>0</v>
      </c>
      <c r="KG11" s="19" t="n">
        <v>0</v>
      </c>
      <c r="KH11" s="19" t="n">
        <v>0</v>
      </c>
      <c r="KI11" s="19" t="n">
        <v>0</v>
      </c>
      <c r="KJ11" s="19" t="n">
        <v>0</v>
      </c>
      <c r="KK11" s="19" t="n">
        <v>0</v>
      </c>
      <c r="KL11" s="19" t="n">
        <v>0</v>
      </c>
      <c r="KM11" s="19" t="n">
        <v>0</v>
      </c>
      <c r="KN11" s="19" t="n">
        <v>0</v>
      </c>
      <c r="KO11" s="19" t="n">
        <v>0</v>
      </c>
      <c r="KP11" s="19" t="n">
        <v>0</v>
      </c>
      <c r="KQ11" s="19" t="n">
        <v>0</v>
      </c>
      <c r="KR11" s="19" t="n">
        <v>0</v>
      </c>
      <c r="KS11" s="19" t="n">
        <v>0</v>
      </c>
      <c r="KT11" s="19" t="n">
        <v>0</v>
      </c>
      <c r="KU11" s="19" t="n">
        <v>0</v>
      </c>
      <c r="KV11" s="19" t="n">
        <v>0</v>
      </c>
      <c r="KW11" s="19" t="n">
        <v>0</v>
      </c>
      <c r="KX11" s="19" t="n">
        <v>0</v>
      </c>
      <c r="KY11" s="19" t="n">
        <v>0</v>
      </c>
      <c r="KZ11" s="19" t="n">
        <v>0</v>
      </c>
      <c r="LA11" s="19" t="n">
        <v>0</v>
      </c>
      <c r="LB11" s="19" t="n">
        <v>0</v>
      </c>
      <c r="LC11" s="19" t="n">
        <v>0</v>
      </c>
      <c r="LD11" s="19" t="n">
        <v>0</v>
      </c>
      <c r="LE11" s="19" t="n">
        <v>0</v>
      </c>
      <c r="LF11" s="19" t="n">
        <v>0</v>
      </c>
      <c r="LG11" s="19" t="n">
        <v>0</v>
      </c>
      <c r="LH11" s="19" t="n">
        <v>0</v>
      </c>
      <c r="LI11" s="19" t="n">
        <v>0</v>
      </c>
    </row>
    <row r="12">
      <c r="B12" s="18" t="inlineStr">
        <is>
          <t>Flag de operacion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1</v>
      </c>
      <c r="BA12" s="19" t="n">
        <v>1</v>
      </c>
      <c r="BB12" s="19" t="n">
        <v>1</v>
      </c>
      <c r="BC12" s="19" t="n">
        <v>1</v>
      </c>
      <c r="BD12" s="19" t="n">
        <v>1</v>
      </c>
      <c r="BE12" s="19" t="n">
        <v>1</v>
      </c>
      <c r="BF12" s="19" t="n">
        <v>1</v>
      </c>
      <c r="BG12" s="19" t="n">
        <v>1</v>
      </c>
      <c r="BH12" s="19" t="n">
        <v>1</v>
      </c>
      <c r="BI12" s="19" t="n">
        <v>1</v>
      </c>
      <c r="BJ12" s="19" t="n">
        <v>1</v>
      </c>
      <c r="BK12" s="19" t="n">
        <v>1</v>
      </c>
      <c r="BL12" s="19" t="n">
        <v>1</v>
      </c>
      <c r="BM12" s="19" t="n">
        <v>1</v>
      </c>
      <c r="BN12" s="19" t="n">
        <v>1</v>
      </c>
      <c r="BO12" s="19" t="n">
        <v>1</v>
      </c>
      <c r="BP12" s="19" t="n">
        <v>1</v>
      </c>
      <c r="BQ12" s="19" t="n">
        <v>1</v>
      </c>
      <c r="BR12" s="19" t="n">
        <v>1</v>
      </c>
      <c r="BS12" s="19" t="n">
        <v>1</v>
      </c>
      <c r="BT12" s="19" t="n">
        <v>1</v>
      </c>
      <c r="BU12" s="19" t="n">
        <v>1</v>
      </c>
      <c r="BV12" s="19" t="n">
        <v>1</v>
      </c>
      <c r="BW12" s="19" t="n">
        <v>1</v>
      </c>
      <c r="BX12" s="19" t="n">
        <v>1</v>
      </c>
      <c r="BY12" s="19" t="n">
        <v>1</v>
      </c>
      <c r="BZ12" s="19" t="n">
        <v>1</v>
      </c>
      <c r="CA12" s="19" t="n">
        <v>1</v>
      </c>
      <c r="CB12" s="19" t="n">
        <v>1</v>
      </c>
      <c r="CC12" s="19" t="n">
        <v>1</v>
      </c>
      <c r="CD12" s="19" t="n">
        <v>1</v>
      </c>
      <c r="CE12" s="19" t="n">
        <v>1</v>
      </c>
      <c r="CF12" s="19" t="n">
        <v>1</v>
      </c>
      <c r="CG12" s="19" t="n">
        <v>1</v>
      </c>
      <c r="CH12" s="19" t="n">
        <v>1</v>
      </c>
      <c r="CI12" s="19" t="n">
        <v>1</v>
      </c>
      <c r="CJ12" s="19" t="n">
        <v>1</v>
      </c>
      <c r="CK12" s="19" t="n">
        <v>1</v>
      </c>
      <c r="CL12" s="19" t="n">
        <v>1</v>
      </c>
      <c r="CM12" s="19" t="n">
        <v>1</v>
      </c>
      <c r="CN12" s="19" t="n">
        <v>1</v>
      </c>
      <c r="CO12" s="19" t="n">
        <v>1</v>
      </c>
      <c r="CP12" s="19" t="n">
        <v>1</v>
      </c>
      <c r="CQ12" s="19" t="n">
        <v>1</v>
      </c>
      <c r="CR12" s="19" t="n">
        <v>1</v>
      </c>
      <c r="CS12" s="19" t="n">
        <v>1</v>
      </c>
      <c r="CT12" s="19" t="n">
        <v>1</v>
      </c>
      <c r="CU12" s="19" t="n">
        <v>1</v>
      </c>
      <c r="CV12" s="19" t="n">
        <v>1</v>
      </c>
      <c r="CW12" s="19" t="n">
        <v>1</v>
      </c>
      <c r="CX12" s="19" t="n">
        <v>1</v>
      </c>
      <c r="CY12" s="19" t="n">
        <v>1</v>
      </c>
      <c r="CZ12" s="19" t="n">
        <v>1</v>
      </c>
      <c r="DA12" s="19" t="n">
        <v>1</v>
      </c>
      <c r="DB12" s="19" t="n">
        <v>1</v>
      </c>
      <c r="DC12" s="19" t="n">
        <v>1</v>
      </c>
      <c r="DD12" s="19" t="n">
        <v>1</v>
      </c>
      <c r="DE12" s="19" t="n">
        <v>1</v>
      </c>
      <c r="DF12" s="19" t="n">
        <v>1</v>
      </c>
      <c r="DG12" s="19" t="n">
        <v>1</v>
      </c>
      <c r="DH12" s="19" t="n">
        <v>1</v>
      </c>
      <c r="DI12" s="19" t="n">
        <v>1</v>
      </c>
      <c r="DJ12" s="19" t="n">
        <v>1</v>
      </c>
      <c r="DK12" s="19" t="n">
        <v>1</v>
      </c>
      <c r="DL12" s="19" t="n">
        <v>1</v>
      </c>
      <c r="DM12" s="19" t="n">
        <v>1</v>
      </c>
      <c r="DN12" s="19" t="n">
        <v>1</v>
      </c>
      <c r="DO12" s="19" t="n">
        <v>1</v>
      </c>
      <c r="DP12" s="19" t="n">
        <v>1</v>
      </c>
      <c r="DQ12" s="19" t="n">
        <v>1</v>
      </c>
      <c r="DR12" s="19" t="n">
        <v>1</v>
      </c>
      <c r="DS12" s="19" t="n">
        <v>1</v>
      </c>
      <c r="DT12" s="19" t="n">
        <v>1</v>
      </c>
      <c r="DU12" s="19" t="n">
        <v>1</v>
      </c>
      <c r="DV12" s="19" t="n">
        <v>1</v>
      </c>
      <c r="DW12" s="19" t="n">
        <v>1</v>
      </c>
      <c r="DX12" s="19" t="n">
        <v>1</v>
      </c>
      <c r="DY12" s="19" t="n">
        <v>1</v>
      </c>
      <c r="DZ12" s="19" t="n">
        <v>1</v>
      </c>
      <c r="EA12" s="19" t="n">
        <v>1</v>
      </c>
      <c r="EB12" s="19" t="n">
        <v>1</v>
      </c>
      <c r="EC12" s="19" t="n">
        <v>1</v>
      </c>
      <c r="ED12" s="19" t="n">
        <v>1</v>
      </c>
      <c r="EE12" s="19" t="n">
        <v>1</v>
      </c>
      <c r="EF12" s="19" t="n">
        <v>1</v>
      </c>
      <c r="EG12" s="19" t="n">
        <v>1</v>
      </c>
      <c r="EH12" s="19" t="n">
        <v>1</v>
      </c>
      <c r="EI12" s="19" t="n">
        <v>1</v>
      </c>
      <c r="EJ12" s="19" t="n">
        <v>1</v>
      </c>
      <c r="EK12" s="19" t="n">
        <v>1</v>
      </c>
      <c r="EL12" s="19" t="n">
        <v>1</v>
      </c>
      <c r="EM12" s="19" t="n">
        <v>1</v>
      </c>
      <c r="EN12" s="19" t="n">
        <v>1</v>
      </c>
      <c r="EO12" s="19" t="n">
        <v>1</v>
      </c>
      <c r="EP12" s="19" t="n">
        <v>1</v>
      </c>
      <c r="EQ12" s="19" t="n">
        <v>1</v>
      </c>
      <c r="ER12" s="19" t="n">
        <v>1</v>
      </c>
      <c r="ES12" s="19" t="n">
        <v>1</v>
      </c>
      <c r="ET12" s="19" t="n">
        <v>1</v>
      </c>
      <c r="EU12" s="19" t="n">
        <v>1</v>
      </c>
      <c r="EV12" s="19" t="n">
        <v>1</v>
      </c>
      <c r="EW12" s="19" t="n">
        <v>1</v>
      </c>
      <c r="EX12" s="19" t="n">
        <v>1</v>
      </c>
      <c r="EY12" s="19" t="n">
        <v>1</v>
      </c>
      <c r="EZ12" s="19" t="n">
        <v>1</v>
      </c>
      <c r="FA12" s="19" t="n">
        <v>1</v>
      </c>
      <c r="FB12" s="19" t="n">
        <v>1</v>
      </c>
      <c r="FC12" s="19" t="n">
        <v>1</v>
      </c>
      <c r="FD12" s="19" t="n">
        <v>1</v>
      </c>
      <c r="FE12" s="19" t="n">
        <v>1</v>
      </c>
      <c r="FF12" s="19" t="n">
        <v>1</v>
      </c>
      <c r="FG12" s="19" t="n">
        <v>1</v>
      </c>
      <c r="FH12" s="19" t="n">
        <v>1</v>
      </c>
      <c r="FI12" s="19" t="n">
        <v>1</v>
      </c>
      <c r="FJ12" s="19" t="n">
        <v>1</v>
      </c>
      <c r="FK12" s="19" t="n">
        <v>1</v>
      </c>
      <c r="FL12" s="19" t="n">
        <v>1</v>
      </c>
      <c r="FM12" s="19" t="n">
        <v>1</v>
      </c>
      <c r="FN12" s="19" t="n">
        <v>1</v>
      </c>
      <c r="FO12" s="19" t="n">
        <v>1</v>
      </c>
      <c r="FP12" s="19" t="n">
        <v>1</v>
      </c>
      <c r="FQ12" s="19" t="n">
        <v>1</v>
      </c>
      <c r="FR12" s="19" t="n">
        <v>1</v>
      </c>
      <c r="FS12" s="19" t="n">
        <v>1</v>
      </c>
      <c r="FT12" s="19" t="n">
        <v>1</v>
      </c>
      <c r="FU12" s="19" t="n">
        <v>1</v>
      </c>
      <c r="FV12" s="19" t="n">
        <v>1</v>
      </c>
      <c r="FW12" s="19" t="n">
        <v>1</v>
      </c>
      <c r="FX12" s="19" t="n">
        <v>1</v>
      </c>
      <c r="FY12" s="19" t="n">
        <v>1</v>
      </c>
      <c r="FZ12" s="19" t="n">
        <v>1</v>
      </c>
      <c r="GA12" s="19" t="n">
        <v>1</v>
      </c>
      <c r="GB12" s="19" t="n">
        <v>1</v>
      </c>
      <c r="GC12" s="19" t="n">
        <v>1</v>
      </c>
      <c r="GD12" s="19" t="n">
        <v>1</v>
      </c>
      <c r="GE12" s="19" t="n">
        <v>1</v>
      </c>
      <c r="GF12" s="19" t="n">
        <v>1</v>
      </c>
      <c r="GG12" s="19" t="n">
        <v>1</v>
      </c>
      <c r="GH12" s="19" t="n">
        <v>1</v>
      </c>
      <c r="GI12" s="19" t="n">
        <v>1</v>
      </c>
      <c r="GJ12" s="19" t="n">
        <v>1</v>
      </c>
      <c r="GK12" s="19" t="n">
        <v>1</v>
      </c>
      <c r="GL12" s="19" t="n">
        <v>1</v>
      </c>
      <c r="GM12" s="19" t="n">
        <v>1</v>
      </c>
      <c r="GN12" s="19" t="n">
        <v>1</v>
      </c>
      <c r="GO12" s="19" t="n">
        <v>1</v>
      </c>
      <c r="GP12" s="19" t="n">
        <v>1</v>
      </c>
      <c r="GQ12" s="19" t="n">
        <v>1</v>
      </c>
      <c r="GR12" s="19" t="n">
        <v>1</v>
      </c>
      <c r="GS12" s="19" t="n">
        <v>1</v>
      </c>
      <c r="GT12" s="19" t="n">
        <v>1</v>
      </c>
      <c r="GU12" s="19" t="n">
        <v>1</v>
      </c>
      <c r="GV12" s="19" t="n">
        <v>1</v>
      </c>
      <c r="GW12" s="19" t="n">
        <v>1</v>
      </c>
      <c r="GX12" s="19" t="n">
        <v>1</v>
      </c>
      <c r="GY12" s="19" t="n">
        <v>1</v>
      </c>
      <c r="GZ12" s="19" t="n">
        <v>1</v>
      </c>
      <c r="HA12" s="19" t="n">
        <v>1</v>
      </c>
      <c r="HB12" s="19" t="n">
        <v>1</v>
      </c>
      <c r="HC12" s="19" t="n">
        <v>1</v>
      </c>
      <c r="HD12" s="19" t="n">
        <v>1</v>
      </c>
      <c r="HE12" s="19" t="n">
        <v>1</v>
      </c>
      <c r="HF12" s="19" t="n">
        <v>1</v>
      </c>
      <c r="HG12" s="19" t="n">
        <v>1</v>
      </c>
      <c r="HH12" s="19" t="n">
        <v>1</v>
      </c>
      <c r="HI12" s="19" t="n">
        <v>1</v>
      </c>
      <c r="HJ12" s="19" t="n">
        <v>1</v>
      </c>
      <c r="HK12" s="19" t="n">
        <v>1</v>
      </c>
      <c r="HL12" s="19" t="n">
        <v>1</v>
      </c>
      <c r="HM12" s="19" t="n">
        <v>1</v>
      </c>
      <c r="HN12" s="19" t="n">
        <v>1</v>
      </c>
      <c r="HO12" s="19" t="n">
        <v>1</v>
      </c>
      <c r="HP12" s="19" t="n">
        <v>1</v>
      </c>
      <c r="HQ12" s="19" t="n">
        <v>1</v>
      </c>
      <c r="HR12" s="19" t="n">
        <v>1</v>
      </c>
      <c r="HS12" s="19" t="n">
        <v>1</v>
      </c>
      <c r="HT12" s="19" t="n">
        <v>1</v>
      </c>
      <c r="HU12" s="19" t="n">
        <v>1</v>
      </c>
      <c r="HV12" s="19" t="n">
        <v>1</v>
      </c>
      <c r="HW12" s="19" t="n">
        <v>1</v>
      </c>
      <c r="HX12" s="19" t="n">
        <v>1</v>
      </c>
      <c r="HY12" s="19" t="n">
        <v>1</v>
      </c>
      <c r="HZ12" s="19" t="n">
        <v>1</v>
      </c>
      <c r="IA12" s="19" t="n">
        <v>1</v>
      </c>
      <c r="IB12" s="19" t="n">
        <v>1</v>
      </c>
      <c r="IC12" s="19" t="n">
        <v>1</v>
      </c>
      <c r="ID12" s="19" t="n">
        <v>1</v>
      </c>
      <c r="IE12" s="19" t="n">
        <v>1</v>
      </c>
      <c r="IF12" s="19" t="n">
        <v>1</v>
      </c>
      <c r="IG12" s="19" t="n">
        <v>1</v>
      </c>
      <c r="IH12" s="19" t="n">
        <v>1</v>
      </c>
      <c r="II12" s="19" t="n">
        <v>1</v>
      </c>
      <c r="IJ12" s="19" t="n">
        <v>1</v>
      </c>
      <c r="IK12" s="19" t="n">
        <v>1</v>
      </c>
      <c r="IL12" s="19" t="n">
        <v>1</v>
      </c>
      <c r="IM12" s="19" t="n">
        <v>1</v>
      </c>
      <c r="IN12" s="19" t="n">
        <v>1</v>
      </c>
      <c r="IO12" s="19" t="n">
        <v>1</v>
      </c>
      <c r="IP12" s="19" t="n">
        <v>1</v>
      </c>
      <c r="IQ12" s="19" t="n">
        <v>1</v>
      </c>
      <c r="IR12" s="19" t="n">
        <v>1</v>
      </c>
      <c r="IS12" s="19" t="n">
        <v>1</v>
      </c>
      <c r="IT12" s="19" t="n">
        <v>1</v>
      </c>
      <c r="IU12" s="19" t="n">
        <v>1</v>
      </c>
      <c r="IV12" s="19" t="n">
        <v>1</v>
      </c>
      <c r="IW12" s="19" t="n">
        <v>1</v>
      </c>
      <c r="IX12" s="19" t="n">
        <v>1</v>
      </c>
      <c r="IY12" s="19" t="n">
        <v>1</v>
      </c>
      <c r="IZ12" s="19" t="n">
        <v>1</v>
      </c>
      <c r="JA12" s="19" t="n">
        <v>1</v>
      </c>
      <c r="JB12" s="19" t="n">
        <v>1</v>
      </c>
      <c r="JC12" s="19" t="n">
        <v>1</v>
      </c>
      <c r="JD12" s="19" t="n">
        <v>1</v>
      </c>
      <c r="JE12" s="19" t="n">
        <v>1</v>
      </c>
      <c r="JF12" s="19" t="n">
        <v>1</v>
      </c>
      <c r="JG12" s="19" t="n">
        <v>1</v>
      </c>
      <c r="JH12" s="19" t="n">
        <v>1</v>
      </c>
      <c r="JI12" s="19" t="n">
        <v>1</v>
      </c>
      <c r="JJ12" s="19" t="n">
        <v>1</v>
      </c>
      <c r="JK12" s="19" t="n">
        <v>1</v>
      </c>
      <c r="JL12" s="19" t="n">
        <v>1</v>
      </c>
      <c r="JM12" s="19" t="n">
        <v>1</v>
      </c>
      <c r="JN12" s="19" t="n">
        <v>1</v>
      </c>
      <c r="JO12" s="19" t="n">
        <v>1</v>
      </c>
      <c r="JP12" s="19" t="n">
        <v>1</v>
      </c>
      <c r="JQ12" s="19" t="n">
        <v>1</v>
      </c>
      <c r="JR12" s="19" t="n">
        <v>1</v>
      </c>
      <c r="JS12" s="19" t="n">
        <v>1</v>
      </c>
      <c r="JT12" s="19" t="n">
        <v>1</v>
      </c>
      <c r="JU12" s="19" t="n">
        <v>1</v>
      </c>
      <c r="JV12" s="19" t="n">
        <v>1</v>
      </c>
      <c r="JW12" s="19" t="n">
        <v>1</v>
      </c>
      <c r="JX12" s="19" t="n">
        <v>1</v>
      </c>
      <c r="JY12" s="19" t="n">
        <v>1</v>
      </c>
      <c r="JZ12" s="19" t="n">
        <v>1</v>
      </c>
      <c r="KA12" s="19" t="n">
        <v>1</v>
      </c>
      <c r="KB12" s="19" t="n">
        <v>1</v>
      </c>
      <c r="KC12" s="19" t="n">
        <v>1</v>
      </c>
      <c r="KD12" s="19" t="n">
        <v>1</v>
      </c>
      <c r="KE12" s="19" t="n">
        <v>1</v>
      </c>
      <c r="KF12" s="19" t="n">
        <v>1</v>
      </c>
      <c r="KG12" s="19" t="n">
        <v>1</v>
      </c>
      <c r="KH12" s="19" t="n">
        <v>1</v>
      </c>
      <c r="KI12" s="19" t="n">
        <v>1</v>
      </c>
      <c r="KJ12" s="19" t="n">
        <v>1</v>
      </c>
      <c r="KK12" s="19" t="n">
        <v>1</v>
      </c>
      <c r="KL12" s="19" t="n">
        <v>1</v>
      </c>
      <c r="KM12" s="19" t="n">
        <v>1</v>
      </c>
      <c r="KN12" s="19" t="n">
        <v>1</v>
      </c>
      <c r="KO12" s="19" t="n">
        <v>1</v>
      </c>
      <c r="KP12" s="19" t="n">
        <v>1</v>
      </c>
      <c r="KQ12" s="19" t="n">
        <v>1</v>
      </c>
      <c r="KR12" s="19" t="n">
        <v>1</v>
      </c>
      <c r="KS12" s="19" t="n">
        <v>1</v>
      </c>
      <c r="KT12" s="19" t="n">
        <v>1</v>
      </c>
      <c r="KU12" s="19" t="n">
        <v>1</v>
      </c>
      <c r="KV12" s="19" t="n">
        <v>1</v>
      </c>
      <c r="KW12" s="19" t="n">
        <v>1</v>
      </c>
      <c r="KX12" s="19" t="n">
        <v>1</v>
      </c>
      <c r="KY12" s="19" t="n">
        <v>1</v>
      </c>
      <c r="KZ12" s="19" t="n">
        <v>1</v>
      </c>
      <c r="LA12" s="19" t="n">
        <v>1</v>
      </c>
      <c r="LB12" s="19" t="n">
        <v>1</v>
      </c>
      <c r="LC12" s="19" t="n">
        <v>1</v>
      </c>
      <c r="LD12" s="19" t="n">
        <v>0</v>
      </c>
      <c r="LE12" s="19" t="n">
        <v>0</v>
      </c>
      <c r="LF12" s="19" t="n">
        <v>0</v>
      </c>
      <c r="LG12" s="19" t="n">
        <v>0</v>
      </c>
      <c r="LH12" s="19" t="n">
        <v>0</v>
      </c>
      <c r="LI12" s="19" t="n">
        <v>0</v>
      </c>
    </row>
    <row r="13">
      <c r="B13" s="18" t="inlineStr">
        <is>
          <t>Servicio de construccion del periodo</t>
        </is>
      </c>
      <c r="D13" s="20" t="n">
        <v>9871.061053815973</v>
      </c>
      <c r="E13" s="20" t="n">
        <v>1436.319068468077</v>
      </c>
      <c r="F13" s="20" t="n">
        <v>1438.691266185151</v>
      </c>
      <c r="G13" s="20" t="n">
        <v>1441.067381779618</v>
      </c>
      <c r="H13" s="20" t="n">
        <v>1443.447421722173</v>
      </c>
      <c r="I13" s="20" t="n">
        <v>1445.831392494194</v>
      </c>
      <c r="J13" s="20" t="n">
        <v>1456.5526339211</v>
      </c>
      <c r="K13" s="20" t="n">
        <v>1458.94448583903</v>
      </c>
      <c r="L13" s="20" t="n">
        <v>1461.340288094866</v>
      </c>
      <c r="M13" s="20" t="n">
        <v>1381.064947432726</v>
      </c>
      <c r="N13" s="20" t="n">
        <v>1383.332125299127</v>
      </c>
      <c r="O13" s="20" t="n">
        <v>1385.603047594101</v>
      </c>
      <c r="P13" s="20" t="n">
        <v>49.87603865493386</v>
      </c>
      <c r="Q13" s="20" t="n">
        <v>49.9446498102742</v>
      </c>
      <c r="R13" s="20" t="n">
        <v>50.0133742825158</v>
      </c>
      <c r="S13" s="20" t="n">
        <v>133.5799701097656</v>
      </c>
      <c r="T13" s="20" t="n">
        <v>8.333333333333334</v>
      </c>
      <c r="U13" s="20" t="n">
        <v>8.333333333333334</v>
      </c>
      <c r="V13" s="20" t="n">
        <v>8.333333333333334</v>
      </c>
      <c r="W13" s="20" t="n">
        <v>8.333333333333334</v>
      </c>
      <c r="X13" s="20" t="n">
        <v>8.333333333333334</v>
      </c>
      <c r="Y13" s="20" t="n">
        <v>47218.55807480431</v>
      </c>
      <c r="Z13" s="20" t="n">
        <v>6404.7805657171</v>
      </c>
      <c r="AA13" s="20" t="n">
        <v>6410.954088614444</v>
      </c>
      <c r="AB13" s="20" t="n">
        <v>6417.137807586776</v>
      </c>
      <c r="AC13" s="20" t="n">
        <v>6423.331739473739</v>
      </c>
      <c r="AD13" s="20" t="n">
        <v>6429.535901142794</v>
      </c>
      <c r="AE13" s="20" t="n">
        <v>15912.37428631301</v>
      </c>
      <c r="AF13" s="20" t="n">
        <v>15927.95722027007</v>
      </c>
      <c r="AG13" s="20" t="n">
        <v>15943.56589070949</v>
      </c>
      <c r="AH13" s="20" t="n">
        <v>15959.20034013716</v>
      </c>
      <c r="AI13" s="20" t="n">
        <v>15722.7537376416</v>
      </c>
      <c r="AJ13" s="20" t="n">
        <v>15702.76541169011</v>
      </c>
      <c r="AK13" s="20" t="n">
        <v>13733.55457788014</v>
      </c>
      <c r="AL13" s="20" t="n">
        <v>13722.70830280461</v>
      </c>
      <c r="AM13" s="20" t="n">
        <v>13134.64137026406</v>
      </c>
      <c r="AN13" s="20" t="n">
        <v>13147.56117660037</v>
      </c>
      <c r="AO13" s="20" t="n">
        <v>14866.67739108563</v>
      </c>
      <c r="AP13" s="20" t="n">
        <v>14845.546769703</v>
      </c>
      <c r="AQ13" s="20" t="n">
        <v>2463.988239205169</v>
      </c>
      <c r="AR13" s="20" t="n">
        <v>2466.407287591749</v>
      </c>
      <c r="AS13" s="20" t="n">
        <v>1610.093045240443</v>
      </c>
      <c r="AT13" s="20" t="n">
        <v>1611.672078981736</v>
      </c>
      <c r="AU13" s="20" t="n">
        <v>197.8101487364306</v>
      </c>
      <c r="AV13" s="20" t="n">
        <v>197.9966377491016</v>
      </c>
      <c r="AW13" s="20" t="n">
        <v>198.1834347635388</v>
      </c>
      <c r="AX13" s="20" t="n">
        <v>198.3705402884324</v>
      </c>
      <c r="AY13" s="20" t="n">
        <v>198.5579548333123</v>
      </c>
      <c r="AZ13" s="20" t="n">
        <v>0</v>
      </c>
      <c r="BA13" s="20" t="n">
        <v>0</v>
      </c>
      <c r="BB13" s="20" t="n">
        <v>0</v>
      </c>
      <c r="BC13" s="20" t="n">
        <v>0</v>
      </c>
      <c r="BD13" s="20" t="n">
        <v>0</v>
      </c>
      <c r="BE13" s="20" t="n">
        <v>0</v>
      </c>
      <c r="BF13" s="20" t="n">
        <v>0</v>
      </c>
      <c r="BG13" s="20" t="n">
        <v>0</v>
      </c>
      <c r="BH13" s="20" t="n">
        <v>0</v>
      </c>
      <c r="BI13" s="20" t="n">
        <v>0</v>
      </c>
      <c r="BJ13" s="20" t="n">
        <v>0</v>
      </c>
      <c r="BK13" s="20" t="n">
        <v>0</v>
      </c>
      <c r="BL13" s="20" t="n">
        <v>0</v>
      </c>
      <c r="BM13" s="20" t="n">
        <v>0</v>
      </c>
      <c r="BN13" s="20" t="n">
        <v>0</v>
      </c>
      <c r="BO13" s="20" t="n">
        <v>0</v>
      </c>
      <c r="BP13" s="20" t="n">
        <v>0</v>
      </c>
      <c r="BQ13" s="20" t="n">
        <v>0</v>
      </c>
      <c r="BR13" s="20" t="n">
        <v>0</v>
      </c>
      <c r="BS13" s="20" t="n">
        <v>0</v>
      </c>
      <c r="BT13" s="20" t="n">
        <v>0</v>
      </c>
      <c r="BU13" s="20" t="n">
        <v>0</v>
      </c>
      <c r="BV13" s="20" t="n">
        <v>0</v>
      </c>
      <c r="BW13" s="20" t="n">
        <v>0</v>
      </c>
      <c r="BX13" s="20" t="n">
        <v>0</v>
      </c>
      <c r="BY13" s="20" t="n">
        <v>0</v>
      </c>
      <c r="BZ13" s="20" t="n">
        <v>0</v>
      </c>
      <c r="CA13" s="20" t="n">
        <v>0</v>
      </c>
      <c r="CB13" s="20" t="n">
        <v>0</v>
      </c>
      <c r="CC13" s="20" t="n">
        <v>0</v>
      </c>
      <c r="CD13" s="20" t="n">
        <v>0</v>
      </c>
      <c r="CE13" s="20" t="n">
        <v>0</v>
      </c>
      <c r="CF13" s="20" t="n">
        <v>0</v>
      </c>
      <c r="CG13" s="20" t="n">
        <v>0</v>
      </c>
      <c r="CH13" s="20" t="n">
        <v>0</v>
      </c>
      <c r="CI13" s="20" t="n">
        <v>0</v>
      </c>
      <c r="CJ13" s="20" t="n">
        <v>0</v>
      </c>
      <c r="CK13" s="20" t="n">
        <v>0</v>
      </c>
      <c r="CL13" s="20" t="n">
        <v>0</v>
      </c>
      <c r="CM13" s="20" t="n">
        <v>0</v>
      </c>
      <c r="CN13" s="20" t="n">
        <v>0</v>
      </c>
      <c r="CO13" s="20" t="n">
        <v>0</v>
      </c>
      <c r="CP13" s="20" t="n">
        <v>0</v>
      </c>
      <c r="CQ13" s="20" t="n">
        <v>0</v>
      </c>
      <c r="CR13" s="20" t="n">
        <v>0</v>
      </c>
      <c r="CS13" s="20" t="n">
        <v>0</v>
      </c>
      <c r="CT13" s="20" t="n">
        <v>0</v>
      </c>
      <c r="CU13" s="20" t="n">
        <v>0</v>
      </c>
      <c r="CV13" s="20" t="n">
        <v>0</v>
      </c>
      <c r="CW13" s="20" t="n">
        <v>0</v>
      </c>
      <c r="CX13" s="20" t="n">
        <v>0</v>
      </c>
      <c r="CY13" s="20" t="n">
        <v>0</v>
      </c>
      <c r="CZ13" s="20" t="n">
        <v>0</v>
      </c>
      <c r="DA13" s="20" t="n">
        <v>0</v>
      </c>
      <c r="DB13" s="20" t="n">
        <v>0</v>
      </c>
      <c r="DC13" s="20" t="n">
        <v>0</v>
      </c>
      <c r="DD13" s="20" t="n">
        <v>0</v>
      </c>
      <c r="DE13" s="20" t="n">
        <v>0</v>
      </c>
      <c r="DF13" s="20" t="n">
        <v>0</v>
      </c>
      <c r="DG13" s="20" t="n">
        <v>0</v>
      </c>
      <c r="DH13" s="20" t="n">
        <v>0</v>
      </c>
      <c r="DI13" s="20" t="n">
        <v>0</v>
      </c>
      <c r="DJ13" s="20" t="n">
        <v>0</v>
      </c>
      <c r="DK13" s="20" t="n">
        <v>0</v>
      </c>
      <c r="DL13" s="20" t="n">
        <v>0</v>
      </c>
      <c r="DM13" s="20" t="n">
        <v>0</v>
      </c>
      <c r="DN13" s="20" t="n">
        <v>0</v>
      </c>
      <c r="DO13" s="20" t="n">
        <v>0</v>
      </c>
      <c r="DP13" s="20" t="n">
        <v>0</v>
      </c>
      <c r="DQ13" s="20" t="n">
        <v>0</v>
      </c>
      <c r="DR13" s="20" t="n">
        <v>0</v>
      </c>
      <c r="DS13" s="20" t="n">
        <v>0</v>
      </c>
      <c r="DT13" s="20" t="n">
        <v>0</v>
      </c>
      <c r="DU13" s="20" t="n">
        <v>0</v>
      </c>
      <c r="DV13" s="20" t="n">
        <v>0</v>
      </c>
      <c r="DW13" s="20" t="n">
        <v>0</v>
      </c>
      <c r="DX13" s="20" t="n">
        <v>0</v>
      </c>
      <c r="DY13" s="20" t="n">
        <v>0</v>
      </c>
      <c r="DZ13" s="20" t="n">
        <v>0</v>
      </c>
      <c r="EA13" s="20" t="n">
        <v>0</v>
      </c>
      <c r="EB13" s="20" t="n">
        <v>0</v>
      </c>
      <c r="EC13" s="20" t="n">
        <v>0</v>
      </c>
      <c r="ED13" s="20" t="n">
        <v>0</v>
      </c>
      <c r="EE13" s="20" t="n">
        <v>0</v>
      </c>
      <c r="EF13" s="20" t="n">
        <v>0</v>
      </c>
      <c r="EG13" s="20" t="n">
        <v>0</v>
      </c>
      <c r="EH13" s="20" t="n">
        <v>0</v>
      </c>
      <c r="EI13" s="20" t="n">
        <v>0</v>
      </c>
      <c r="EJ13" s="20" t="n">
        <v>0</v>
      </c>
      <c r="EK13" s="20" t="n">
        <v>0</v>
      </c>
      <c r="EL13" s="20" t="n">
        <v>0</v>
      </c>
      <c r="EM13" s="20" t="n">
        <v>0</v>
      </c>
      <c r="EN13" s="20" t="n">
        <v>0</v>
      </c>
      <c r="EO13" s="20" t="n">
        <v>0</v>
      </c>
      <c r="EP13" s="20" t="n">
        <v>0</v>
      </c>
      <c r="EQ13" s="20" t="n">
        <v>0</v>
      </c>
      <c r="ER13" s="20" t="n">
        <v>0</v>
      </c>
      <c r="ES13" s="20" t="n">
        <v>0</v>
      </c>
      <c r="ET13" s="20" t="n">
        <v>0</v>
      </c>
      <c r="EU13" s="20" t="n">
        <v>0</v>
      </c>
      <c r="EV13" s="20" t="n">
        <v>0</v>
      </c>
      <c r="EW13" s="20" t="n">
        <v>0</v>
      </c>
      <c r="EX13" s="20" t="n">
        <v>0</v>
      </c>
      <c r="EY13" s="20" t="n">
        <v>0</v>
      </c>
      <c r="EZ13" s="20" t="n">
        <v>0</v>
      </c>
      <c r="FA13" s="20" t="n">
        <v>0</v>
      </c>
      <c r="FB13" s="20" t="n">
        <v>0</v>
      </c>
      <c r="FC13" s="20" t="n">
        <v>0</v>
      </c>
      <c r="FD13" s="20" t="n">
        <v>0</v>
      </c>
      <c r="FE13" s="20" t="n">
        <v>0</v>
      </c>
      <c r="FF13" s="20" t="n">
        <v>0</v>
      </c>
      <c r="FG13" s="20" t="n">
        <v>0</v>
      </c>
      <c r="FH13" s="20" t="n">
        <v>0</v>
      </c>
      <c r="FI13" s="20" t="n">
        <v>0</v>
      </c>
      <c r="FJ13" s="20" t="n">
        <v>0</v>
      </c>
      <c r="FK13" s="20" t="n">
        <v>0</v>
      </c>
      <c r="FL13" s="20" t="n">
        <v>0</v>
      </c>
      <c r="FM13" s="20" t="n">
        <v>0</v>
      </c>
      <c r="FN13" s="20" t="n">
        <v>0</v>
      </c>
      <c r="FO13" s="20" t="n">
        <v>0</v>
      </c>
      <c r="FP13" s="20" t="n">
        <v>0</v>
      </c>
      <c r="FQ13" s="20" t="n">
        <v>0</v>
      </c>
      <c r="FR13" s="20" t="n">
        <v>0</v>
      </c>
      <c r="FS13" s="20" t="n">
        <v>0</v>
      </c>
      <c r="FT13" s="20" t="n">
        <v>0</v>
      </c>
      <c r="FU13" s="20" t="n">
        <v>0</v>
      </c>
      <c r="FV13" s="20" t="n">
        <v>0</v>
      </c>
      <c r="FW13" s="20" t="n">
        <v>0</v>
      </c>
      <c r="FX13" s="20" t="n">
        <v>0</v>
      </c>
      <c r="FY13" s="20" t="n">
        <v>0</v>
      </c>
      <c r="FZ13" s="20" t="n">
        <v>0</v>
      </c>
      <c r="GA13" s="20" t="n">
        <v>0</v>
      </c>
      <c r="GB13" s="20" t="n">
        <v>0</v>
      </c>
      <c r="GC13" s="20" t="n">
        <v>0</v>
      </c>
      <c r="GD13" s="20" t="n">
        <v>0</v>
      </c>
      <c r="GE13" s="20" t="n">
        <v>0</v>
      </c>
      <c r="GF13" s="20" t="n">
        <v>0</v>
      </c>
      <c r="GG13" s="20" t="n">
        <v>0</v>
      </c>
      <c r="GH13" s="20" t="n">
        <v>0</v>
      </c>
      <c r="GI13" s="20" t="n">
        <v>0</v>
      </c>
      <c r="GJ13" s="20" t="n">
        <v>0</v>
      </c>
      <c r="GK13" s="20" t="n">
        <v>0</v>
      </c>
      <c r="GL13" s="20" t="n">
        <v>0</v>
      </c>
      <c r="GM13" s="20" t="n">
        <v>0</v>
      </c>
      <c r="GN13" s="20" t="n">
        <v>0</v>
      </c>
      <c r="GO13" s="20" t="n">
        <v>0</v>
      </c>
      <c r="GP13" s="20" t="n">
        <v>0</v>
      </c>
      <c r="GQ13" s="20" t="n">
        <v>0</v>
      </c>
      <c r="GR13" s="20" t="n">
        <v>0</v>
      </c>
      <c r="GS13" s="20" t="n">
        <v>0</v>
      </c>
      <c r="GT13" s="20" t="n">
        <v>0</v>
      </c>
      <c r="GU13" s="20" t="n">
        <v>0</v>
      </c>
      <c r="GV13" s="20" t="n">
        <v>0</v>
      </c>
      <c r="GW13" s="20" t="n">
        <v>0</v>
      </c>
      <c r="GX13" s="20" t="n">
        <v>0</v>
      </c>
      <c r="GY13" s="20" t="n">
        <v>0</v>
      </c>
      <c r="GZ13" s="20" t="n">
        <v>0</v>
      </c>
      <c r="HA13" s="20" t="n">
        <v>0</v>
      </c>
      <c r="HB13" s="20" t="n">
        <v>0</v>
      </c>
      <c r="HC13" s="20" t="n">
        <v>0</v>
      </c>
      <c r="HD13" s="20" t="n">
        <v>0</v>
      </c>
      <c r="HE13" s="20" t="n">
        <v>0</v>
      </c>
      <c r="HF13" s="20" t="n">
        <v>0</v>
      </c>
      <c r="HG13" s="20" t="n">
        <v>0</v>
      </c>
      <c r="HH13" s="20" t="n">
        <v>0</v>
      </c>
      <c r="HI13" s="20" t="n">
        <v>0</v>
      </c>
      <c r="HJ13" s="20" t="n">
        <v>0</v>
      </c>
      <c r="HK13" s="20" t="n">
        <v>0</v>
      </c>
      <c r="HL13" s="20" t="n">
        <v>0</v>
      </c>
      <c r="HM13" s="20" t="n">
        <v>0</v>
      </c>
      <c r="HN13" s="20" t="n">
        <v>0</v>
      </c>
      <c r="HO13" s="20" t="n">
        <v>0</v>
      </c>
      <c r="HP13" s="20" t="n">
        <v>0</v>
      </c>
      <c r="HQ13" s="20" t="n">
        <v>0</v>
      </c>
      <c r="HR13" s="20" t="n">
        <v>0</v>
      </c>
      <c r="HS13" s="20" t="n">
        <v>0</v>
      </c>
      <c r="HT13" s="20" t="n">
        <v>0</v>
      </c>
      <c r="HU13" s="20" t="n">
        <v>0</v>
      </c>
      <c r="HV13" s="20" t="n">
        <v>0</v>
      </c>
      <c r="HW13" s="20" t="n">
        <v>0</v>
      </c>
      <c r="HX13" s="20" t="n">
        <v>0</v>
      </c>
      <c r="HY13" s="20" t="n">
        <v>0</v>
      </c>
      <c r="HZ13" s="20" t="n">
        <v>0</v>
      </c>
      <c r="IA13" s="20" t="n">
        <v>0</v>
      </c>
      <c r="IB13" s="20" t="n">
        <v>0</v>
      </c>
      <c r="IC13" s="20" t="n">
        <v>0</v>
      </c>
      <c r="ID13" s="20" t="n">
        <v>0</v>
      </c>
      <c r="IE13" s="20" t="n">
        <v>0</v>
      </c>
      <c r="IF13" s="20" t="n">
        <v>0</v>
      </c>
      <c r="IG13" s="20" t="n">
        <v>0</v>
      </c>
      <c r="IH13" s="20" t="n">
        <v>0</v>
      </c>
      <c r="II13" s="20" t="n">
        <v>0</v>
      </c>
      <c r="IJ13" s="20" t="n">
        <v>0</v>
      </c>
      <c r="IK13" s="20" t="n">
        <v>0</v>
      </c>
      <c r="IL13" s="20" t="n">
        <v>0</v>
      </c>
      <c r="IM13" s="20" t="n">
        <v>0</v>
      </c>
      <c r="IN13" s="20" t="n">
        <v>0</v>
      </c>
      <c r="IO13" s="20" t="n">
        <v>0</v>
      </c>
      <c r="IP13" s="20" t="n">
        <v>0</v>
      </c>
      <c r="IQ13" s="20" t="n">
        <v>0</v>
      </c>
      <c r="IR13" s="20" t="n">
        <v>0</v>
      </c>
      <c r="IS13" s="20" t="n">
        <v>0</v>
      </c>
      <c r="IT13" s="20" t="n">
        <v>0</v>
      </c>
      <c r="IU13" s="20" t="n">
        <v>0</v>
      </c>
      <c r="IV13" s="20" t="n">
        <v>0</v>
      </c>
      <c r="IW13" s="20" t="n">
        <v>0</v>
      </c>
      <c r="IX13" s="20" t="n">
        <v>0</v>
      </c>
      <c r="IY13" s="20" t="n">
        <v>0</v>
      </c>
      <c r="IZ13" s="20" t="n">
        <v>0</v>
      </c>
      <c r="JA13" s="20" t="n">
        <v>0</v>
      </c>
      <c r="JB13" s="20" t="n">
        <v>0</v>
      </c>
      <c r="JC13" s="20" t="n">
        <v>0</v>
      </c>
      <c r="JD13" s="20" t="n">
        <v>0</v>
      </c>
      <c r="JE13" s="20" t="n">
        <v>0</v>
      </c>
      <c r="JF13" s="20" t="n">
        <v>0</v>
      </c>
      <c r="JG13" s="20" t="n">
        <v>0</v>
      </c>
      <c r="JH13" s="20" t="n">
        <v>0</v>
      </c>
      <c r="JI13" s="20" t="n">
        <v>0</v>
      </c>
      <c r="JJ13" s="20" t="n">
        <v>0</v>
      </c>
      <c r="JK13" s="20" t="n">
        <v>0</v>
      </c>
      <c r="JL13" s="20" t="n">
        <v>0</v>
      </c>
      <c r="JM13" s="20" t="n">
        <v>0</v>
      </c>
      <c r="JN13" s="20" t="n">
        <v>0</v>
      </c>
      <c r="JO13" s="20" t="n">
        <v>0</v>
      </c>
      <c r="JP13" s="20" t="n">
        <v>0</v>
      </c>
      <c r="JQ13" s="20" t="n">
        <v>0</v>
      </c>
      <c r="JR13" s="20" t="n">
        <v>0</v>
      </c>
      <c r="JS13" s="20" t="n">
        <v>0</v>
      </c>
      <c r="JT13" s="20" t="n">
        <v>0</v>
      </c>
      <c r="JU13" s="20" t="n">
        <v>0</v>
      </c>
      <c r="JV13" s="20" t="n">
        <v>0</v>
      </c>
      <c r="JW13" s="20" t="n">
        <v>0</v>
      </c>
      <c r="JX13" s="20" t="n">
        <v>0</v>
      </c>
      <c r="JY13" s="20" t="n">
        <v>0</v>
      </c>
      <c r="JZ13" s="20" t="n">
        <v>0</v>
      </c>
      <c r="KA13" s="20" t="n">
        <v>0</v>
      </c>
      <c r="KB13" s="20" t="n">
        <v>0</v>
      </c>
      <c r="KC13" s="20" t="n">
        <v>0</v>
      </c>
      <c r="KD13" s="20" t="n">
        <v>0</v>
      </c>
      <c r="KE13" s="20" t="n">
        <v>0</v>
      </c>
      <c r="KF13" s="20" t="n">
        <v>0</v>
      </c>
      <c r="KG13" s="20" t="n">
        <v>0</v>
      </c>
      <c r="KH13" s="20" t="n">
        <v>0</v>
      </c>
      <c r="KI13" s="20" t="n">
        <v>0</v>
      </c>
      <c r="KJ13" s="20" t="n">
        <v>0</v>
      </c>
      <c r="KK13" s="20" t="n">
        <v>0</v>
      </c>
      <c r="KL13" s="20" t="n">
        <v>0</v>
      </c>
      <c r="KM13" s="20" t="n">
        <v>0</v>
      </c>
      <c r="KN13" s="20" t="n">
        <v>0</v>
      </c>
      <c r="KO13" s="20" t="n">
        <v>0</v>
      </c>
      <c r="KP13" s="20" t="n">
        <v>0</v>
      </c>
      <c r="KQ13" s="20" t="n">
        <v>0</v>
      </c>
      <c r="KR13" s="20" t="n">
        <v>0</v>
      </c>
      <c r="KS13" s="20" t="n">
        <v>0</v>
      </c>
      <c r="KT13" s="20" t="n">
        <v>0</v>
      </c>
      <c r="KU13" s="20" t="n">
        <v>0</v>
      </c>
      <c r="KV13" s="20" t="n">
        <v>0</v>
      </c>
      <c r="KW13" s="20" t="n">
        <v>0</v>
      </c>
      <c r="KX13" s="20" t="n">
        <v>0</v>
      </c>
      <c r="KY13" s="20" t="n">
        <v>0</v>
      </c>
      <c r="KZ13" s="20" t="n">
        <v>0</v>
      </c>
      <c r="LA13" s="20" t="n">
        <v>0</v>
      </c>
      <c r="LB13" s="20" t="n">
        <v>0</v>
      </c>
      <c r="LC13" s="20" t="n">
        <v>0</v>
      </c>
      <c r="LD13" s="20" t="n">
        <v>0</v>
      </c>
      <c r="LE13" s="20" t="n">
        <v>0</v>
      </c>
      <c r="LF13" s="20" t="n">
        <v>0</v>
      </c>
      <c r="LG13" s="20" t="n">
        <v>0</v>
      </c>
      <c r="LH13" s="20" t="n">
        <v>0</v>
      </c>
      <c r="LI13" s="20" t="n">
        <v>0</v>
      </c>
    </row>
    <row r="14">
      <c r="B14" s="18" t="inlineStr">
        <is>
          <t>Interes de la deuda del periodo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276.0244575561164</v>
      </c>
      <c r="AA14" s="20" t="n">
        <v>318.5076302855105</v>
      </c>
      <c r="AB14" s="20" t="n">
        <v>361.3990810732169</v>
      </c>
      <c r="AC14" s="20" t="n">
        <v>404.7022043804886</v>
      </c>
      <c r="AD14" s="20" t="n">
        <v>448.4204221587317</v>
      </c>
      <c r="AE14" s="20" t="n">
        <v>492.5571840709649</v>
      </c>
      <c r="AF14" s="20" t="n">
        <v>598.1487532639594</v>
      </c>
      <c r="AG14" s="20" t="n">
        <v>704.75766519392</v>
      </c>
      <c r="AH14" s="20" t="n">
        <v>812.3923816964432</v>
      </c>
      <c r="AI14" s="20" t="n">
        <v>921.0614331412511</v>
      </c>
      <c r="AJ14" s="20" t="n">
        <v>1029.14976220711</v>
      </c>
      <c r="AK14" s="20" t="n">
        <v>1138.045798016365</v>
      </c>
      <c r="AL14" s="20" t="n">
        <v>1235.20232025753</v>
      </c>
      <c r="AM14" s="20" t="n">
        <v>1333.129061079729</v>
      </c>
      <c r="AN14" s="20" t="n">
        <v>1428.1147056954</v>
      </c>
      <c r="AO14" s="20" t="n">
        <v>1524.00368202788</v>
      </c>
      <c r="AP14" s="20" t="n">
        <v>1631.791853777257</v>
      </c>
      <c r="AQ14" s="20" t="n">
        <v>1740.374540137017</v>
      </c>
      <c r="AR14" s="20" t="n">
        <v>1770.1525894633</v>
      </c>
      <c r="AS14" s="20" t="n">
        <v>1800.196262350867</v>
      </c>
      <c r="AT14" s="20" t="n">
        <v>1824.977169185949</v>
      </c>
      <c r="AU14" s="20" t="n">
        <v>1849.974449043383</v>
      </c>
      <c r="AV14" s="20" t="n">
        <v>1866.073917205879</v>
      </c>
      <c r="AW14" s="20" t="n">
        <v>1882.304915869139</v>
      </c>
      <c r="AX14" s="20" t="n">
        <v>1898.668506526293</v>
      </c>
      <c r="AY14" s="20" t="n">
        <v>1915.165759215762</v>
      </c>
      <c r="AZ14" s="20" t="n">
        <v>1931.797752590021</v>
      </c>
      <c r="BA14" s="20" t="n">
        <v>1924.637100372639</v>
      </c>
      <c r="BB14" s="20" t="n">
        <v>1917.418840018277</v>
      </c>
      <c r="BC14" s="20" t="n">
        <v>1910.142508063925</v>
      </c>
      <c r="BD14" s="20" t="n">
        <v>1902.807637317966</v>
      </c>
      <c r="BE14" s="20" t="n">
        <v>1895.413756830181</v>
      </c>
      <c r="BF14" s="20" t="n">
        <v>1887.960391861512</v>
      </c>
      <c r="BG14" s="20" t="n">
        <v>1880.447063853579</v>
      </c>
      <c r="BH14" s="20" t="n">
        <v>1872.873290397955</v>
      </c>
      <c r="BI14" s="20" t="n">
        <v>1865.238585205188</v>
      </c>
      <c r="BJ14" s="20" t="n">
        <v>1857.542458073584</v>
      </c>
      <c r="BK14" s="20" t="n">
        <v>1849.784414857726</v>
      </c>
      <c r="BL14" s="20" t="n">
        <v>1841.963957436752</v>
      </c>
      <c r="BM14" s="20" t="n">
        <v>1834.080583682367</v>
      </c>
      <c r="BN14" s="20" t="n">
        <v>1826.133787426609</v>
      </c>
      <c r="BO14" s="20" t="n">
        <v>1818.123058429344</v>
      </c>
      <c r="BP14" s="20" t="n">
        <v>1810.047882345505</v>
      </c>
      <c r="BQ14" s="20" t="n">
        <v>1801.907740692073</v>
      </c>
      <c r="BR14" s="20" t="n">
        <v>1793.702110814781</v>
      </c>
      <c r="BS14" s="20" t="n">
        <v>1785.430465854559</v>
      </c>
      <c r="BT14" s="20" t="n">
        <v>1777.092274713704</v>
      </c>
      <c r="BU14" s="20" t="n">
        <v>1768.687002021783</v>
      </c>
      <c r="BV14" s="20" t="n">
        <v>1760.214108101252</v>
      </c>
      <c r="BW14" s="20" t="n">
        <v>1751.673048932815</v>
      </c>
      <c r="BX14" s="20" t="n">
        <v>1743.063276120483</v>
      </c>
      <c r="BY14" s="20" t="n">
        <v>1734.384236856371</v>
      </c>
      <c r="BZ14" s="20" t="n">
        <v>1725.635373885202</v>
      </c>
      <c r="CA14" s="20" t="n">
        <v>1716.816125468525</v>
      </c>
      <c r="CB14" s="20" t="n">
        <v>1707.925925348649</v>
      </c>
      <c r="CC14" s="20" t="n">
        <v>1698.964202712287</v>
      </c>
      <c r="CD14" s="20" t="n">
        <v>1689.930382153902</v>
      </c>
      <c r="CE14" s="20" t="n">
        <v>1680.823883638767</v>
      </c>
      <c r="CF14" s="20" t="n">
        <v>1671.644122465716</v>
      </c>
      <c r="CG14" s="20" t="n">
        <v>1662.390509229607</v>
      </c>
      <c r="CH14" s="20" t="n">
        <v>1653.06244978348</v>
      </c>
      <c r="CI14" s="20" t="n">
        <v>1643.659345200402</v>
      </c>
      <c r="CJ14" s="20" t="n">
        <v>1634.180591735014</v>
      </c>
      <c r="CK14" s="20" t="n">
        <v>1624.625580784772</v>
      </c>
      <c r="CL14" s="20" t="n">
        <v>1614.993698850863</v>
      </c>
      <c r="CM14" s="20" t="n">
        <v>1605.284327498816</v>
      </c>
      <c r="CN14" s="20" t="n">
        <v>1595.496843318797</v>
      </c>
      <c r="CO14" s="20" t="n">
        <v>1585.630617885579</v>
      </c>
      <c r="CP14" s="20" t="n">
        <v>1575.685017718195</v>
      </c>
      <c r="CQ14" s="20" t="n">
        <v>1565.65940423926</v>
      </c>
      <c r="CR14" s="20" t="n">
        <v>1555.553133733974</v>
      </c>
      <c r="CS14" s="20" t="n">
        <v>1545.365557308789</v>
      </c>
      <c r="CT14" s="20" t="n">
        <v>1535.096020849747</v>
      </c>
      <c r="CU14" s="20" t="n">
        <v>1524.743864980478</v>
      </c>
      <c r="CV14" s="20" t="n">
        <v>1514.308425019867</v>
      </c>
      <c r="CW14" s="20" t="n">
        <v>1503.789030939376</v>
      </c>
      <c r="CX14" s="20" t="n">
        <v>1493.185007320021</v>
      </c>
      <c r="CY14" s="20" t="n">
        <v>1482.495673309009</v>
      </c>
      <c r="CZ14" s="20" t="n">
        <v>1471.72034257602</v>
      </c>
      <c r="DA14" s="20" t="n">
        <v>1460.85832326914</v>
      </c>
      <c r="DB14" s="20" t="n">
        <v>1449.90891797044</v>
      </c>
      <c r="DC14" s="20" t="n">
        <v>1438.871423651197</v>
      </c>
      <c r="DD14" s="20" t="n">
        <v>1427.745131626754</v>
      </c>
      <c r="DE14" s="20" t="n">
        <v>1416.529327511017</v>
      </c>
      <c r="DF14" s="20" t="n">
        <v>1405.223291170587</v>
      </c>
      <c r="DG14" s="20" t="n">
        <v>1393.826296678524</v>
      </c>
      <c r="DH14" s="20" t="n">
        <v>1382.337612267735</v>
      </c>
      <c r="DI14" s="20" t="n">
        <v>1370.756500283989</v>
      </c>
      <c r="DJ14" s="20" t="n">
        <v>1359.082217138557</v>
      </c>
      <c r="DK14" s="20" t="n">
        <v>1347.314013260468</v>
      </c>
      <c r="DL14" s="20" t="n">
        <v>1335.451133048377</v>
      </c>
      <c r="DM14" s="20" t="n">
        <v>1323.492814822056</v>
      </c>
      <c r="DN14" s="20" t="n">
        <v>1311.438290773486</v>
      </c>
      <c r="DO14" s="20" t="n">
        <v>1299.286786917558</v>
      </c>
      <c r="DP14" s="20" t="n">
        <v>1287.037523042378</v>
      </c>
      <c r="DQ14" s="20" t="n">
        <v>1274.689712659174</v>
      </c>
      <c r="DR14" s="20" t="n">
        <v>1262.242562951792</v>
      </c>
      <c r="DS14" s="20" t="n">
        <v>1249.6952747258</v>
      </c>
      <c r="DT14" s="20" t="n">
        <v>1237.047042357168</v>
      </c>
      <c r="DU14" s="20" t="n">
        <v>1224.297053740542</v>
      </c>
      <c r="DV14" s="20" t="n">
        <v>1211.444490237104</v>
      </c>
      <c r="DW14" s="20" t="n">
        <v>1198.488526622007</v>
      </c>
      <c r="DX14" s="20" t="n">
        <v>1185.42833103139</v>
      </c>
      <c r="DY14" s="20" t="n">
        <v>1172.263064908969</v>
      </c>
      <c r="DZ14" s="20" t="n">
        <v>1158.991882952191</v>
      </c>
      <c r="EA14" s="20" t="n">
        <v>1145.613933057966</v>
      </c>
      <c r="EB14" s="20" t="n">
        <v>1132.128356267949</v>
      </c>
      <c r="EC14" s="20" t="n">
        <v>1118.534286713396</v>
      </c>
      <c r="ED14" s="20" t="n">
        <v>1104.830851559562</v>
      </c>
      <c r="EE14" s="20" t="n">
        <v>1091.017170949665</v>
      </c>
      <c r="EF14" s="20" t="n">
        <v>1077.092357948388</v>
      </c>
      <c r="EG14" s="20" t="n">
        <v>1063.055518484937</v>
      </c>
      <c r="EH14" s="20" t="n">
        <v>1048.905751295631</v>
      </c>
      <c r="EI14" s="20" t="n">
        <v>1034.642147866033</v>
      </c>
      <c r="EJ14" s="20" t="n">
        <v>1020.263792372625</v>
      </c>
      <c r="EK14" s="20" t="n">
        <v>1005.769761623996</v>
      </c>
      <c r="EL14" s="20" t="n">
        <v>991.1591250015749</v>
      </c>
      <c r="EM14" s="20" t="n">
        <v>976.4309443998714</v>
      </c>
      <c r="EN14" s="20" t="n">
        <v>961.5842741662476</v>
      </c>
      <c r="EO14" s="20" t="n">
        <v>946.6181610401992</v>
      </c>
      <c r="EP14" s="20" t="n">
        <v>931.5316440921488</v>
      </c>
      <c r="EQ14" s="20" t="n">
        <v>916.3237546617481</v>
      </c>
      <c r="ER14" s="20" t="n">
        <v>900.9935162956832</v>
      </c>
      <c r="ES14" s="20" t="n">
        <v>885.5399446849789</v>
      </c>
      <c r="ET14" s="20" t="n">
        <v>869.9620476017997</v>
      </c>
      <c r="EU14" s="20" t="n">
        <v>854.2588248357414</v>
      </c>
      <c r="EV14" s="20" t="n">
        <v>838.4292681296106</v>
      </c>
      <c r="EW14" s="20" t="n">
        <v>822.4723611146882</v>
      </c>
      <c r="EX14" s="20" t="n">
        <v>806.3870792454702</v>
      </c>
      <c r="EY14" s="20" t="n">
        <v>790.1723897338858</v>
      </c>
      <c r="EZ14" s="20" t="n">
        <v>773.8272514829841</v>
      </c>
      <c r="FA14" s="20" t="n">
        <v>757.3506150200897</v>
      </c>
      <c r="FB14" s="20" t="n">
        <v>740.7414224294176</v>
      </c>
      <c r="FC14" s="20" t="n">
        <v>723.9986072841491</v>
      </c>
      <c r="FD14" s="20" t="n">
        <v>707.1210945779584</v>
      </c>
      <c r="FE14" s="20" t="n">
        <v>690.1078006559907</v>
      </c>
      <c r="FF14" s="20" t="n">
        <v>672.9576331452831</v>
      </c>
      <c r="FG14" s="20" t="n">
        <v>655.6694908846275</v>
      </c>
      <c r="FH14" s="20" t="n">
        <v>638.2422638538671</v>
      </c>
      <c r="FI14" s="20" t="n">
        <v>620.6748331026266</v>
      </c>
      <c r="FJ14" s="20" t="n">
        <v>602.9660706784667</v>
      </c>
      <c r="FK14" s="20" t="n">
        <v>585.1148395544624</v>
      </c>
      <c r="FL14" s="20" t="n">
        <v>567.1199935561972</v>
      </c>
      <c r="FM14" s="20" t="n">
        <v>548.9803772881713</v>
      </c>
      <c r="FN14" s="20" t="n">
        <v>530.6948260596166</v>
      </c>
      <c r="FO14" s="20" t="n">
        <v>512.2621658097156</v>
      </c>
      <c r="FP14" s="20" t="n">
        <v>493.6812130322185</v>
      </c>
      <c r="FQ14" s="20" t="n">
        <v>474.9507746994536</v>
      </c>
      <c r="FR14" s="20" t="n">
        <v>456.0696481857265</v>
      </c>
      <c r="FS14" s="20" t="n">
        <v>437.0366211901036</v>
      </c>
      <c r="FT14" s="20" t="n">
        <v>417.850471658573</v>
      </c>
      <c r="FU14" s="20" t="n">
        <v>398.5099677055811</v>
      </c>
      <c r="FV14" s="20" t="n">
        <v>379.013867534936</v>
      </c>
      <c r="FW14" s="20" t="n">
        <v>359.3609193600756</v>
      </c>
      <c r="FX14" s="20" t="n">
        <v>339.5498613236948</v>
      </c>
      <c r="FY14" s="20" t="n">
        <v>319.5794214167245</v>
      </c>
      <c r="FZ14" s="20" t="n">
        <v>299.4483173966603</v>
      </c>
      <c r="GA14" s="20" t="n">
        <v>279.1552567052333</v>
      </c>
      <c r="GB14" s="20" t="n">
        <v>258.6989363854187</v>
      </c>
      <c r="GC14" s="20" t="n">
        <v>238.0780429977769</v>
      </c>
      <c r="GD14" s="20" t="n">
        <v>217.2912525361215</v>
      </c>
      <c r="GE14" s="20" t="n">
        <v>196.3372303425089</v>
      </c>
      <c r="GF14" s="20" t="n">
        <v>175.2146310215436</v>
      </c>
      <c r="GG14" s="20" t="n">
        <v>153.9220983539946</v>
      </c>
      <c r="GH14" s="20" t="n">
        <v>132.4582652097164</v>
      </c>
      <c r="GI14" s="20" t="n">
        <v>110.8217534598699</v>
      </c>
      <c r="GJ14" s="20" t="n">
        <v>89.01117388843663</v>
      </c>
      <c r="GK14" s="20" t="n">
        <v>67.02512610302152</v>
      </c>
      <c r="GL14" s="20" t="n">
        <v>44.86219844493764</v>
      </c>
      <c r="GM14" s="20" t="n">
        <v>22.52096789856797</v>
      </c>
      <c r="GN14" s="20" t="n">
        <v>-2.246310557680713e-12</v>
      </c>
      <c r="GO14" s="20" t="n">
        <v>-2.264382342536954e-12</v>
      </c>
      <c r="GP14" s="20" t="n">
        <v>-2.282599516643481e-12</v>
      </c>
      <c r="GQ14" s="20" t="n">
        <v>-2.30096324967082e-12</v>
      </c>
      <c r="GR14" s="20" t="n">
        <v>-2.319474720699609e-12</v>
      </c>
      <c r="GS14" s="20" t="n">
        <v>-2.338135118296303e-12</v>
      </c>
      <c r="GT14" s="20" t="n">
        <v>-2.35694564058949e-12</v>
      </c>
      <c r="GU14" s="20" t="n">
        <v>-2.375907495346815e-12</v>
      </c>
      <c r="GV14" s="20" t="n">
        <v>-2.395021900052534e-12</v>
      </c>
      <c r="GW14" s="20" t="n">
        <v>-2.414290081985679e-12</v>
      </c>
      <c r="GX14" s="20" t="n">
        <v>-2.433713278298859e-12</v>
      </c>
      <c r="GY14" s="20" t="n">
        <v>-2.453292736097698e-12</v>
      </c>
      <c r="GZ14" s="20" t="n">
        <v>-2.473029712520901e-12</v>
      </c>
      <c r="HA14" s="20" t="n">
        <v>-2.492925474820979e-12</v>
      </c>
      <c r="HB14" s="20" t="n">
        <v>-2.512981300445608e-12</v>
      </c>
      <c r="HC14" s="20" t="n">
        <v>-2.533198477119656e-12</v>
      </c>
      <c r="HD14" s="20" t="n">
        <v>-2.553578302927861e-12</v>
      </c>
      <c r="HE14" s="20" t="n">
        <v>-2.574122086398177e-12</v>
      </c>
      <c r="HF14" s="20" t="n">
        <v>-2.594831146585793e-12</v>
      </c>
      <c r="HG14" s="20" t="n">
        <v>-2.615706813157823e-12</v>
      </c>
      <c r="HH14" s="20" t="n">
        <v>-2.636750426478681e-12</v>
      </c>
      <c r="HI14" s="20" t="n">
        <v>-2.657963337696141e-12</v>
      </c>
      <c r="HJ14" s="20" t="n">
        <v>-2.679346908828093e-12</v>
      </c>
      <c r="HK14" s="20" t="n">
        <v>-2.700902512849992e-12</v>
      </c>
      <c r="HL14" s="20" t="n">
        <v>-2.722631533783012e-12</v>
      </c>
      <c r="HM14" s="20" t="n">
        <v>-2.744535366782909e-12</v>
      </c>
      <c r="HN14" s="20" t="n">
        <v>-2.766615418229605e-12</v>
      </c>
      <c r="HO14" s="20" t="n">
        <v>-2.788873105817481e-12</v>
      </c>
      <c r="HP14" s="20" t="n">
        <v>-2.811309858646408e-12</v>
      </c>
      <c r="HQ14" s="20" t="n">
        <v>-2.833927117313502e-12</v>
      </c>
      <c r="HR14" s="20" t="n">
        <v>-2.856726334005622e-12</v>
      </c>
      <c r="HS14" s="20" t="n">
        <v>-2.879708972592608e-12</v>
      </c>
      <c r="HT14" s="20" t="n">
        <v>-2.902876508721278e-12</v>
      </c>
      <c r="HU14" s="20" t="n">
        <v>-2.926230429910169e-12</v>
      </c>
      <c r="HV14" s="20" t="n">
        <v>-2.949772235645046e-12</v>
      </c>
      <c r="HW14" s="20" t="n">
        <v>-2.973503437475185e-12</v>
      </c>
      <c r="HX14" s="20" t="n">
        <v>-2.997425559110417e-12</v>
      </c>
      <c r="HY14" s="20" t="n">
        <v>-3.021540136518971e-12</v>
      </c>
      <c r="HZ14" s="20" t="n">
        <v>-3.045848718026083e-12</v>
      </c>
      <c r="IA14" s="20" t="n">
        <v>-3.070352864413419e-12</v>
      </c>
      <c r="IB14" s="20" t="n">
        <v>-3.095054149019281e-12</v>
      </c>
      <c r="IC14" s="20" t="n">
        <v>-3.11995415783963e-12</v>
      </c>
      <c r="ID14" s="20" t="n">
        <v>-3.145054489629919e-12</v>
      </c>
      <c r="IE14" s="20" t="n">
        <v>-3.170356756007739e-12</v>
      </c>
      <c r="IF14" s="20" t="n">
        <v>-3.195862581556304e-12</v>
      </c>
      <c r="IG14" s="20" t="n">
        <v>-3.221573603928753e-12</v>
      </c>
      <c r="IH14" s="20" t="n">
        <v>-3.247491473953304e-12</v>
      </c>
      <c r="II14" s="20" t="n">
        <v>-3.273617855739248e-12</v>
      </c>
      <c r="IJ14" s="20" t="n">
        <v>-3.299954426783792e-12</v>
      </c>
      <c r="IK14" s="20" t="n">
        <v>-3.326502878079775e-12</v>
      </c>
      <c r="IL14" s="20" t="n">
        <v>-3.353264914224231e-12</v>
      </c>
      <c r="IM14" s="20" t="n">
        <v>-3.380242253527845e-12</v>
      </c>
      <c r="IN14" s="20" t="n">
        <v>-3.407436628125275e-12</v>
      </c>
      <c r="IO14" s="20" t="n">
        <v>-3.434849784086371e-12</v>
      </c>
      <c r="IP14" s="20" t="n">
        <v>-3.46248348152828e-12</v>
      </c>
      <c r="IQ14" s="20" t="n">
        <v>-3.490339494728465e-12</v>
      </c>
      <c r="IR14" s="20" t="n">
        <v>-3.518419612238619e-12</v>
      </c>
      <c r="IS14" s="20" t="n">
        <v>-3.546725636999508e-12</v>
      </c>
      <c r="IT14" s="20" t="n">
        <v>-3.575259386456728e-12</v>
      </c>
      <c r="IU14" s="20" t="n">
        <v>-3.604022692677403e-12</v>
      </c>
      <c r="IV14" s="20" t="n">
        <v>-3.633017402467809e-12</v>
      </c>
      <c r="IW14" s="20" t="n">
        <v>-3.66224537749196e-12</v>
      </c>
      <c r="IX14" s="20" t="n">
        <v>-3.691708494391136e-12</v>
      </c>
      <c r="IY14" s="20" t="n">
        <v>-3.721408644904374e-12</v>
      </c>
      <c r="IZ14" s="20" t="n">
        <v>-3.751347735989939e-12</v>
      </c>
      <c r="JA14" s="20" t="n">
        <v>-3.781527689947755e-12</v>
      </c>
      <c r="JB14" s="20" t="n">
        <v>-3.811950444542833e-12</v>
      </c>
      <c r="JC14" s="20" t="n">
        <v>-3.842617953129695e-12</v>
      </c>
      <c r="JD14" s="20" t="n">
        <v>-3.873532184777784e-12</v>
      </c>
      <c r="JE14" s="20" t="n">
        <v>-3.904695124397899e-12</v>
      </c>
      <c r="JF14" s="20" t="n">
        <v>-3.936108772869636e-12</v>
      </c>
      <c r="JG14" s="20" t="n">
        <v>-3.967775147169861e-12</v>
      </c>
      <c r="JH14" s="20" t="n">
        <v>-3.999696280502212e-12</v>
      </c>
      <c r="JI14" s="20" t="n">
        <v>-4.031874222427649e-12</v>
      </c>
      <c r="JJ14" s="20" t="n">
        <v>-4.064311038996044e-12</v>
      </c>
      <c r="JK14" s="20" t="n">
        <v>-4.097008812878841e-12</v>
      </c>
      <c r="JL14" s="20" t="n">
        <v>-4.129969643502776e-12</v>
      </c>
      <c r="JM14" s="20" t="n">
        <v>-4.163195647184676e-12</v>
      </c>
      <c r="JN14" s="20" t="n">
        <v>-4.19668895726734e-12</v>
      </c>
      <c r="JO14" s="20" t="n">
        <v>-4.230451724256515e-12</v>
      </c>
      <c r="JP14" s="20" t="n">
        <v>-4.264486115958976e-12</v>
      </c>
      <c r="JQ14" s="20" t="n">
        <v>-4.29879431762171e-12</v>
      </c>
      <c r="JR14" s="20" t="n">
        <v>-4.333378532072228e-12</v>
      </c>
      <c r="JS14" s="20" t="n">
        <v>-4.368240979859999e-12</v>
      </c>
      <c r="JT14" s="20" t="n">
        <v>-4.403383899399029e-12</v>
      </c>
      <c r="JU14" s="20" t="n">
        <v>-4.438809547111579e-12</v>
      </c>
      <c r="JV14" s="20" t="n">
        <v>-4.474520197573042e-12</v>
      </c>
      <c r="JW14" s="20" t="n">
        <v>-4.510518143657993e-12</v>
      </c>
      <c r="JX14" s="20" t="n">
        <v>-4.546805696687402e-12</v>
      </c>
      <c r="JY14" s="20" t="n">
        <v>-4.583385186577039e-12</v>
      </c>
      <c r="JZ14" s="20" t="n">
        <v>-4.620258961987072e-12</v>
      </c>
      <c r="KA14" s="20" t="n">
        <v>-4.657429390472864e-12</v>
      </c>
      <c r="KB14" s="20" t="n">
        <v>-4.694898858636991e-12</v>
      </c>
      <c r="KC14" s="20" t="n">
        <v>-4.732669772282477e-12</v>
      </c>
      <c r="KD14" s="20" t="n">
        <v>-4.77074455656726e-12</v>
      </c>
      <c r="KE14" s="20" t="n">
        <v>-4.809125656159912e-12</v>
      </c>
      <c r="KF14" s="20" t="n">
        <v>-4.847815535396594e-12</v>
      </c>
      <c r="KG14" s="20" t="n">
        <v>-4.886816678439295e-12</v>
      </c>
      <c r="KH14" s="20" t="n">
        <v>-4.926131589435319e-12</v>
      </c>
      <c r="KI14" s="20" t="n">
        <v>-4.965762792678082e-12</v>
      </c>
      <c r="KJ14" s="20" t="n">
        <v>-5.005712832769182e-12</v>
      </c>
      <c r="KK14" s="20" t="n">
        <v>-5.045984274781783e-12</v>
      </c>
      <c r="KL14" s="20" t="n">
        <v>-5.086579704425307e-12</v>
      </c>
      <c r="KM14" s="20" t="n">
        <v>-5.12750172821146e-12</v>
      </c>
      <c r="KN14" s="20" t="n">
        <v>-5.168752973621586e-12</v>
      </c>
      <c r="KO14" s="20" t="n">
        <v>-5.210336089275367e-12</v>
      </c>
      <c r="KP14" s="20" t="n">
        <v>-5.252253745100888e-12</v>
      </c>
      <c r="KQ14" s="20" t="n">
        <v>-5.294508632506062e-12</v>
      </c>
      <c r="KR14" s="20" t="n">
        <v>-5.337103464551436e-12</v>
      </c>
      <c r="KS14" s="20" t="n">
        <v>-5.380040976124394e-12</v>
      </c>
      <c r="KT14" s="20" t="n">
        <v>-5.423323924114751e-12</v>
      </c>
      <c r="KU14" s="20" t="n">
        <v>-5.466955087591763e-12</v>
      </c>
      <c r="KV14" s="20" t="n">
        <v>-5.510937267982572e-12</v>
      </c>
      <c r="KW14" s="20" t="n">
        <v>-5.555273289252067e-12</v>
      </c>
      <c r="KX14" s="20" t="n">
        <v>-5.599965998084208e-12</v>
      </c>
      <c r="KY14" s="20" t="n">
        <v>-5.6450182640648e-12</v>
      </c>
      <c r="KZ14" s="20" t="n">
        <v>-5.690432979865745e-12</v>
      </c>
      <c r="LA14" s="20" t="n">
        <v>-5.736213061430768e-12</v>
      </c>
      <c r="LB14" s="20" t="n">
        <v>-5.782361448162641e-12</v>
      </c>
      <c r="LC14" s="20" t="n">
        <v>-5.828881103111915e-12</v>
      </c>
      <c r="LD14" s="20" t="n">
        <v>-5.87577501316717e-12</v>
      </c>
      <c r="LE14" s="20" t="n">
        <v>-5.92304618924679e-12</v>
      </c>
      <c r="LF14" s="20" t="n">
        <v>-5.97069766649229e-12</v>
      </c>
      <c r="LG14" s="20" t="n">
        <v>-6.018732504463188e-12</v>
      </c>
      <c r="LH14" s="20" t="n">
        <v>-6.067153787333455e-12</v>
      </c>
      <c r="LI14" s="20" t="n">
        <v>-6.115964624089539e-12</v>
      </c>
    </row>
    <row r="15">
      <c r="B15" s="18" t="inlineStr">
        <is>
          <t>Interes capitalizado (solo obra, p.22)</t>
        </is>
      </c>
      <c r="D15" s="20">
        <f>D14*D11</f>
        <v/>
      </c>
      <c r="E15" s="20">
        <f>E14*E11</f>
        <v/>
      </c>
      <c r="F15" s="20">
        <f>F14*F11</f>
        <v/>
      </c>
      <c r="G15" s="20">
        <f>G14*G11</f>
        <v/>
      </c>
      <c r="H15" s="20">
        <f>H14*H11</f>
        <v/>
      </c>
      <c r="I15" s="20">
        <f>I14*I11</f>
        <v/>
      </c>
      <c r="J15" s="20">
        <f>J14*J11</f>
        <v/>
      </c>
      <c r="K15" s="20">
        <f>K14*K11</f>
        <v/>
      </c>
      <c r="L15" s="20">
        <f>L14*L11</f>
        <v/>
      </c>
      <c r="M15" s="20">
        <f>M14*M11</f>
        <v/>
      </c>
      <c r="N15" s="20">
        <f>N14*N11</f>
        <v/>
      </c>
      <c r="O15" s="20">
        <f>O14*O11</f>
        <v/>
      </c>
      <c r="P15" s="20">
        <f>P14*P11</f>
        <v/>
      </c>
      <c r="Q15" s="20">
        <f>Q14*Q11</f>
        <v/>
      </c>
      <c r="R15" s="20">
        <f>R14*R11</f>
        <v/>
      </c>
      <c r="S15" s="20">
        <f>S14*S11</f>
        <v/>
      </c>
      <c r="T15" s="20">
        <f>T14*T11</f>
        <v/>
      </c>
      <c r="U15" s="20">
        <f>U14*U11</f>
        <v/>
      </c>
      <c r="V15" s="20">
        <f>V14*V11</f>
        <v/>
      </c>
      <c r="W15" s="20">
        <f>W14*W11</f>
        <v/>
      </c>
      <c r="X15" s="20">
        <f>X14*X11</f>
        <v/>
      </c>
      <c r="Y15" s="20">
        <f>Y14*Y11</f>
        <v/>
      </c>
      <c r="Z15" s="20">
        <f>Z14*Z11</f>
        <v/>
      </c>
      <c r="AA15" s="20">
        <f>AA14*AA11</f>
        <v/>
      </c>
      <c r="AB15" s="20">
        <f>AB14*AB11</f>
        <v/>
      </c>
      <c r="AC15" s="20">
        <f>AC14*AC11</f>
        <v/>
      </c>
      <c r="AD15" s="20">
        <f>AD14*AD11</f>
        <v/>
      </c>
      <c r="AE15" s="20">
        <f>AE14*AE11</f>
        <v/>
      </c>
      <c r="AF15" s="20">
        <f>AF14*AF11</f>
        <v/>
      </c>
      <c r="AG15" s="20">
        <f>AG14*AG11</f>
        <v/>
      </c>
      <c r="AH15" s="20">
        <f>AH14*AH11</f>
        <v/>
      </c>
      <c r="AI15" s="20">
        <f>AI14*AI11</f>
        <v/>
      </c>
      <c r="AJ15" s="20">
        <f>AJ14*AJ11</f>
        <v/>
      </c>
      <c r="AK15" s="20">
        <f>AK14*AK11</f>
        <v/>
      </c>
      <c r="AL15" s="20">
        <f>AL14*AL11</f>
        <v/>
      </c>
      <c r="AM15" s="20">
        <f>AM14*AM11</f>
        <v/>
      </c>
      <c r="AN15" s="20">
        <f>AN14*AN11</f>
        <v/>
      </c>
      <c r="AO15" s="20">
        <f>AO14*AO11</f>
        <v/>
      </c>
      <c r="AP15" s="20">
        <f>AP14*AP11</f>
        <v/>
      </c>
      <c r="AQ15" s="20">
        <f>AQ14*AQ11</f>
        <v/>
      </c>
      <c r="AR15" s="20">
        <f>AR14*AR11</f>
        <v/>
      </c>
      <c r="AS15" s="20">
        <f>AS14*AS11</f>
        <v/>
      </c>
      <c r="AT15" s="20">
        <f>AT14*AT11</f>
        <v/>
      </c>
      <c r="AU15" s="20">
        <f>AU14*AU11</f>
        <v/>
      </c>
      <c r="AV15" s="20">
        <f>AV14*AV11</f>
        <v/>
      </c>
      <c r="AW15" s="20">
        <f>AW14*AW11</f>
        <v/>
      </c>
      <c r="AX15" s="20">
        <f>AX14*AX11</f>
        <v/>
      </c>
      <c r="AY15" s="20">
        <f>AY14*AY11</f>
        <v/>
      </c>
      <c r="AZ15" s="20">
        <f>AZ14*AZ11</f>
        <v/>
      </c>
      <c r="BA15" s="20">
        <f>BA14*BA11</f>
        <v/>
      </c>
      <c r="BB15" s="20">
        <f>BB14*BB11</f>
        <v/>
      </c>
      <c r="BC15" s="20">
        <f>BC14*BC11</f>
        <v/>
      </c>
      <c r="BD15" s="20">
        <f>BD14*BD11</f>
        <v/>
      </c>
      <c r="BE15" s="20">
        <f>BE14*BE11</f>
        <v/>
      </c>
      <c r="BF15" s="20">
        <f>BF14*BF11</f>
        <v/>
      </c>
      <c r="BG15" s="20">
        <f>BG14*BG11</f>
        <v/>
      </c>
      <c r="BH15" s="20">
        <f>BH14*BH11</f>
        <v/>
      </c>
      <c r="BI15" s="20">
        <f>BI14*BI11</f>
        <v/>
      </c>
      <c r="BJ15" s="20">
        <f>BJ14*BJ11</f>
        <v/>
      </c>
      <c r="BK15" s="20">
        <f>BK14*BK11</f>
        <v/>
      </c>
      <c r="BL15" s="20">
        <f>BL14*BL11</f>
        <v/>
      </c>
      <c r="BM15" s="20">
        <f>BM14*BM11</f>
        <v/>
      </c>
      <c r="BN15" s="20">
        <f>BN14*BN11</f>
        <v/>
      </c>
      <c r="BO15" s="20">
        <f>BO14*BO11</f>
        <v/>
      </c>
      <c r="BP15" s="20">
        <f>BP14*BP11</f>
        <v/>
      </c>
      <c r="BQ15" s="20">
        <f>BQ14*BQ11</f>
        <v/>
      </c>
      <c r="BR15" s="20">
        <f>BR14*BR11</f>
        <v/>
      </c>
      <c r="BS15" s="20">
        <f>BS14*BS11</f>
        <v/>
      </c>
      <c r="BT15" s="20">
        <f>BT14*BT11</f>
        <v/>
      </c>
      <c r="BU15" s="20">
        <f>BU14*BU11</f>
        <v/>
      </c>
      <c r="BV15" s="20">
        <f>BV14*BV11</f>
        <v/>
      </c>
      <c r="BW15" s="20">
        <f>BW14*BW11</f>
        <v/>
      </c>
      <c r="BX15" s="20">
        <f>BX14*BX11</f>
        <v/>
      </c>
      <c r="BY15" s="20">
        <f>BY14*BY11</f>
        <v/>
      </c>
      <c r="BZ15" s="20">
        <f>BZ14*BZ11</f>
        <v/>
      </c>
      <c r="CA15" s="20">
        <f>CA14*CA11</f>
        <v/>
      </c>
      <c r="CB15" s="20">
        <f>CB14*CB11</f>
        <v/>
      </c>
      <c r="CC15" s="20">
        <f>CC14*CC11</f>
        <v/>
      </c>
      <c r="CD15" s="20">
        <f>CD14*CD11</f>
        <v/>
      </c>
      <c r="CE15" s="20">
        <f>CE14*CE11</f>
        <v/>
      </c>
      <c r="CF15" s="20">
        <f>CF14*CF11</f>
        <v/>
      </c>
      <c r="CG15" s="20">
        <f>CG14*CG11</f>
        <v/>
      </c>
      <c r="CH15" s="20">
        <f>CH14*CH11</f>
        <v/>
      </c>
      <c r="CI15" s="20">
        <f>CI14*CI11</f>
        <v/>
      </c>
      <c r="CJ15" s="20">
        <f>CJ14*CJ11</f>
        <v/>
      </c>
      <c r="CK15" s="20">
        <f>CK14*CK11</f>
        <v/>
      </c>
      <c r="CL15" s="20">
        <f>CL14*CL11</f>
        <v/>
      </c>
      <c r="CM15" s="20">
        <f>CM14*CM11</f>
        <v/>
      </c>
      <c r="CN15" s="20">
        <f>CN14*CN11</f>
        <v/>
      </c>
      <c r="CO15" s="20">
        <f>CO14*CO11</f>
        <v/>
      </c>
      <c r="CP15" s="20">
        <f>CP14*CP11</f>
        <v/>
      </c>
      <c r="CQ15" s="20">
        <f>CQ14*CQ11</f>
        <v/>
      </c>
      <c r="CR15" s="20">
        <f>CR14*CR11</f>
        <v/>
      </c>
      <c r="CS15" s="20">
        <f>CS14*CS11</f>
        <v/>
      </c>
      <c r="CT15" s="20">
        <f>CT14*CT11</f>
        <v/>
      </c>
      <c r="CU15" s="20">
        <f>CU14*CU11</f>
        <v/>
      </c>
      <c r="CV15" s="20">
        <f>CV14*CV11</f>
        <v/>
      </c>
      <c r="CW15" s="20">
        <f>CW14*CW11</f>
        <v/>
      </c>
      <c r="CX15" s="20">
        <f>CX14*CX11</f>
        <v/>
      </c>
      <c r="CY15" s="20">
        <f>CY14*CY11</f>
        <v/>
      </c>
      <c r="CZ15" s="20">
        <f>CZ14*CZ11</f>
        <v/>
      </c>
      <c r="DA15" s="20">
        <f>DA14*DA11</f>
        <v/>
      </c>
      <c r="DB15" s="20">
        <f>DB14*DB11</f>
        <v/>
      </c>
      <c r="DC15" s="20">
        <f>DC14*DC11</f>
        <v/>
      </c>
      <c r="DD15" s="20">
        <f>DD14*DD11</f>
        <v/>
      </c>
      <c r="DE15" s="20">
        <f>DE14*DE11</f>
        <v/>
      </c>
      <c r="DF15" s="20">
        <f>DF14*DF11</f>
        <v/>
      </c>
      <c r="DG15" s="20">
        <f>DG14*DG11</f>
        <v/>
      </c>
      <c r="DH15" s="20">
        <f>DH14*DH11</f>
        <v/>
      </c>
      <c r="DI15" s="20">
        <f>DI14*DI11</f>
        <v/>
      </c>
      <c r="DJ15" s="20">
        <f>DJ14*DJ11</f>
        <v/>
      </c>
      <c r="DK15" s="20">
        <f>DK14*DK11</f>
        <v/>
      </c>
      <c r="DL15" s="20">
        <f>DL14*DL11</f>
        <v/>
      </c>
      <c r="DM15" s="20">
        <f>DM14*DM11</f>
        <v/>
      </c>
      <c r="DN15" s="20">
        <f>DN14*DN11</f>
        <v/>
      </c>
      <c r="DO15" s="20">
        <f>DO14*DO11</f>
        <v/>
      </c>
      <c r="DP15" s="20">
        <f>DP14*DP11</f>
        <v/>
      </c>
      <c r="DQ15" s="20">
        <f>DQ14*DQ11</f>
        <v/>
      </c>
      <c r="DR15" s="20">
        <f>DR14*DR11</f>
        <v/>
      </c>
      <c r="DS15" s="20">
        <f>DS14*DS11</f>
        <v/>
      </c>
      <c r="DT15" s="20">
        <f>DT14*DT11</f>
        <v/>
      </c>
      <c r="DU15" s="20">
        <f>DU14*DU11</f>
        <v/>
      </c>
      <c r="DV15" s="20">
        <f>DV14*DV11</f>
        <v/>
      </c>
      <c r="DW15" s="20">
        <f>DW14*DW11</f>
        <v/>
      </c>
      <c r="DX15" s="20">
        <f>DX14*DX11</f>
        <v/>
      </c>
      <c r="DY15" s="20">
        <f>DY14*DY11</f>
        <v/>
      </c>
      <c r="DZ15" s="20">
        <f>DZ14*DZ11</f>
        <v/>
      </c>
      <c r="EA15" s="20">
        <f>EA14*EA11</f>
        <v/>
      </c>
      <c r="EB15" s="20">
        <f>EB14*EB11</f>
        <v/>
      </c>
      <c r="EC15" s="20">
        <f>EC14*EC11</f>
        <v/>
      </c>
      <c r="ED15" s="20">
        <f>ED14*ED11</f>
        <v/>
      </c>
      <c r="EE15" s="20">
        <f>EE14*EE11</f>
        <v/>
      </c>
      <c r="EF15" s="20">
        <f>EF14*EF11</f>
        <v/>
      </c>
      <c r="EG15" s="20">
        <f>EG14*EG11</f>
        <v/>
      </c>
      <c r="EH15" s="20">
        <f>EH14*EH11</f>
        <v/>
      </c>
      <c r="EI15" s="20">
        <f>EI14*EI11</f>
        <v/>
      </c>
      <c r="EJ15" s="20">
        <f>EJ14*EJ11</f>
        <v/>
      </c>
      <c r="EK15" s="20">
        <f>EK14*EK11</f>
        <v/>
      </c>
      <c r="EL15" s="20">
        <f>EL14*EL11</f>
        <v/>
      </c>
      <c r="EM15" s="20">
        <f>EM14*EM11</f>
        <v/>
      </c>
      <c r="EN15" s="20">
        <f>EN14*EN11</f>
        <v/>
      </c>
      <c r="EO15" s="20">
        <f>EO14*EO11</f>
        <v/>
      </c>
      <c r="EP15" s="20">
        <f>EP14*EP11</f>
        <v/>
      </c>
      <c r="EQ15" s="20">
        <f>EQ14*EQ11</f>
        <v/>
      </c>
      <c r="ER15" s="20">
        <f>ER14*ER11</f>
        <v/>
      </c>
      <c r="ES15" s="20">
        <f>ES14*ES11</f>
        <v/>
      </c>
      <c r="ET15" s="20">
        <f>ET14*ET11</f>
        <v/>
      </c>
      <c r="EU15" s="20">
        <f>EU14*EU11</f>
        <v/>
      </c>
      <c r="EV15" s="20">
        <f>EV14*EV11</f>
        <v/>
      </c>
      <c r="EW15" s="20">
        <f>EW14*EW11</f>
        <v/>
      </c>
      <c r="EX15" s="20">
        <f>EX14*EX11</f>
        <v/>
      </c>
      <c r="EY15" s="20">
        <f>EY14*EY11</f>
        <v/>
      </c>
      <c r="EZ15" s="20">
        <f>EZ14*EZ11</f>
        <v/>
      </c>
      <c r="FA15" s="20">
        <f>FA14*FA11</f>
        <v/>
      </c>
      <c r="FB15" s="20">
        <f>FB14*FB11</f>
        <v/>
      </c>
      <c r="FC15" s="20">
        <f>FC14*FC11</f>
        <v/>
      </c>
      <c r="FD15" s="20">
        <f>FD14*FD11</f>
        <v/>
      </c>
      <c r="FE15" s="20">
        <f>FE14*FE11</f>
        <v/>
      </c>
      <c r="FF15" s="20">
        <f>FF14*FF11</f>
        <v/>
      </c>
      <c r="FG15" s="20">
        <f>FG14*FG11</f>
        <v/>
      </c>
      <c r="FH15" s="20">
        <f>FH14*FH11</f>
        <v/>
      </c>
      <c r="FI15" s="20">
        <f>FI14*FI11</f>
        <v/>
      </c>
      <c r="FJ15" s="20">
        <f>FJ14*FJ11</f>
        <v/>
      </c>
      <c r="FK15" s="20">
        <f>FK14*FK11</f>
        <v/>
      </c>
      <c r="FL15" s="20">
        <f>FL14*FL11</f>
        <v/>
      </c>
      <c r="FM15" s="20">
        <f>FM14*FM11</f>
        <v/>
      </c>
      <c r="FN15" s="20">
        <f>FN14*FN11</f>
        <v/>
      </c>
      <c r="FO15" s="20">
        <f>FO14*FO11</f>
        <v/>
      </c>
      <c r="FP15" s="20">
        <f>FP14*FP11</f>
        <v/>
      </c>
      <c r="FQ15" s="20">
        <f>FQ14*FQ11</f>
        <v/>
      </c>
      <c r="FR15" s="20">
        <f>FR14*FR11</f>
        <v/>
      </c>
      <c r="FS15" s="20">
        <f>FS14*FS11</f>
        <v/>
      </c>
      <c r="FT15" s="20">
        <f>FT14*FT11</f>
        <v/>
      </c>
      <c r="FU15" s="20">
        <f>FU14*FU11</f>
        <v/>
      </c>
      <c r="FV15" s="20">
        <f>FV14*FV11</f>
        <v/>
      </c>
      <c r="FW15" s="20">
        <f>FW14*FW11</f>
        <v/>
      </c>
      <c r="FX15" s="20">
        <f>FX14*FX11</f>
        <v/>
      </c>
      <c r="FY15" s="20">
        <f>FY14*FY11</f>
        <v/>
      </c>
      <c r="FZ15" s="20">
        <f>FZ14*FZ11</f>
        <v/>
      </c>
      <c r="GA15" s="20">
        <f>GA14*GA11</f>
        <v/>
      </c>
      <c r="GB15" s="20">
        <f>GB14*GB11</f>
        <v/>
      </c>
      <c r="GC15" s="20">
        <f>GC14*GC11</f>
        <v/>
      </c>
      <c r="GD15" s="20">
        <f>GD14*GD11</f>
        <v/>
      </c>
      <c r="GE15" s="20">
        <f>GE14*GE11</f>
        <v/>
      </c>
      <c r="GF15" s="20">
        <f>GF14*GF11</f>
        <v/>
      </c>
      <c r="GG15" s="20">
        <f>GG14*GG11</f>
        <v/>
      </c>
      <c r="GH15" s="20">
        <f>GH14*GH11</f>
        <v/>
      </c>
      <c r="GI15" s="20">
        <f>GI14*GI11</f>
        <v/>
      </c>
      <c r="GJ15" s="20">
        <f>GJ14*GJ11</f>
        <v/>
      </c>
      <c r="GK15" s="20">
        <f>GK14*GK11</f>
        <v/>
      </c>
      <c r="GL15" s="20">
        <f>GL14*GL11</f>
        <v/>
      </c>
      <c r="GM15" s="20">
        <f>GM14*GM11</f>
        <v/>
      </c>
      <c r="GN15" s="20">
        <f>GN14*GN11</f>
        <v/>
      </c>
      <c r="GO15" s="20">
        <f>GO14*GO11</f>
        <v/>
      </c>
      <c r="GP15" s="20">
        <f>GP14*GP11</f>
        <v/>
      </c>
      <c r="GQ15" s="20">
        <f>GQ14*GQ11</f>
        <v/>
      </c>
      <c r="GR15" s="20">
        <f>GR14*GR11</f>
        <v/>
      </c>
      <c r="GS15" s="20">
        <f>GS14*GS11</f>
        <v/>
      </c>
      <c r="GT15" s="20">
        <f>GT14*GT11</f>
        <v/>
      </c>
      <c r="GU15" s="20">
        <f>GU14*GU11</f>
        <v/>
      </c>
      <c r="GV15" s="20">
        <f>GV14*GV11</f>
        <v/>
      </c>
      <c r="GW15" s="20">
        <f>GW14*GW11</f>
        <v/>
      </c>
      <c r="GX15" s="20">
        <f>GX14*GX11</f>
        <v/>
      </c>
      <c r="GY15" s="20">
        <f>GY14*GY11</f>
        <v/>
      </c>
      <c r="GZ15" s="20">
        <f>GZ14*GZ11</f>
        <v/>
      </c>
      <c r="HA15" s="20">
        <f>HA14*HA11</f>
        <v/>
      </c>
      <c r="HB15" s="20">
        <f>HB14*HB11</f>
        <v/>
      </c>
      <c r="HC15" s="20">
        <f>HC14*HC11</f>
        <v/>
      </c>
      <c r="HD15" s="20">
        <f>HD14*HD11</f>
        <v/>
      </c>
      <c r="HE15" s="20">
        <f>HE14*HE11</f>
        <v/>
      </c>
      <c r="HF15" s="20">
        <f>HF14*HF11</f>
        <v/>
      </c>
      <c r="HG15" s="20">
        <f>HG14*HG11</f>
        <v/>
      </c>
      <c r="HH15" s="20">
        <f>HH14*HH11</f>
        <v/>
      </c>
      <c r="HI15" s="20">
        <f>HI14*HI11</f>
        <v/>
      </c>
      <c r="HJ15" s="20">
        <f>HJ14*HJ11</f>
        <v/>
      </c>
      <c r="HK15" s="20">
        <f>HK14*HK11</f>
        <v/>
      </c>
      <c r="HL15" s="20">
        <f>HL14*HL11</f>
        <v/>
      </c>
      <c r="HM15" s="20">
        <f>HM14*HM11</f>
        <v/>
      </c>
      <c r="HN15" s="20">
        <f>HN14*HN11</f>
        <v/>
      </c>
      <c r="HO15" s="20">
        <f>HO14*HO11</f>
        <v/>
      </c>
      <c r="HP15" s="20">
        <f>HP14*HP11</f>
        <v/>
      </c>
      <c r="HQ15" s="20">
        <f>HQ14*HQ11</f>
        <v/>
      </c>
      <c r="HR15" s="20">
        <f>HR14*HR11</f>
        <v/>
      </c>
      <c r="HS15" s="20">
        <f>HS14*HS11</f>
        <v/>
      </c>
      <c r="HT15" s="20">
        <f>HT14*HT11</f>
        <v/>
      </c>
      <c r="HU15" s="20">
        <f>HU14*HU11</f>
        <v/>
      </c>
      <c r="HV15" s="20">
        <f>HV14*HV11</f>
        <v/>
      </c>
      <c r="HW15" s="20">
        <f>HW14*HW11</f>
        <v/>
      </c>
      <c r="HX15" s="20">
        <f>HX14*HX11</f>
        <v/>
      </c>
      <c r="HY15" s="20">
        <f>HY14*HY11</f>
        <v/>
      </c>
      <c r="HZ15" s="20">
        <f>HZ14*HZ11</f>
        <v/>
      </c>
      <c r="IA15" s="20">
        <f>IA14*IA11</f>
        <v/>
      </c>
      <c r="IB15" s="20">
        <f>IB14*IB11</f>
        <v/>
      </c>
      <c r="IC15" s="20">
        <f>IC14*IC11</f>
        <v/>
      </c>
      <c r="ID15" s="20">
        <f>ID14*ID11</f>
        <v/>
      </c>
      <c r="IE15" s="20">
        <f>IE14*IE11</f>
        <v/>
      </c>
      <c r="IF15" s="20">
        <f>IF14*IF11</f>
        <v/>
      </c>
      <c r="IG15" s="20">
        <f>IG14*IG11</f>
        <v/>
      </c>
      <c r="IH15" s="20">
        <f>IH14*IH11</f>
        <v/>
      </c>
      <c r="II15" s="20">
        <f>II14*II11</f>
        <v/>
      </c>
      <c r="IJ15" s="20">
        <f>IJ14*IJ11</f>
        <v/>
      </c>
      <c r="IK15" s="20">
        <f>IK14*IK11</f>
        <v/>
      </c>
      <c r="IL15" s="20">
        <f>IL14*IL11</f>
        <v/>
      </c>
      <c r="IM15" s="20">
        <f>IM14*IM11</f>
        <v/>
      </c>
      <c r="IN15" s="20">
        <f>IN14*IN11</f>
        <v/>
      </c>
      <c r="IO15" s="20">
        <f>IO14*IO11</f>
        <v/>
      </c>
      <c r="IP15" s="20">
        <f>IP14*IP11</f>
        <v/>
      </c>
      <c r="IQ15" s="20">
        <f>IQ14*IQ11</f>
        <v/>
      </c>
      <c r="IR15" s="20">
        <f>IR14*IR11</f>
        <v/>
      </c>
      <c r="IS15" s="20">
        <f>IS14*IS11</f>
        <v/>
      </c>
      <c r="IT15" s="20">
        <f>IT14*IT11</f>
        <v/>
      </c>
      <c r="IU15" s="20">
        <f>IU14*IU11</f>
        <v/>
      </c>
      <c r="IV15" s="20">
        <f>IV14*IV11</f>
        <v/>
      </c>
      <c r="IW15" s="20">
        <f>IW14*IW11</f>
        <v/>
      </c>
      <c r="IX15" s="20">
        <f>IX14*IX11</f>
        <v/>
      </c>
      <c r="IY15" s="20">
        <f>IY14*IY11</f>
        <v/>
      </c>
      <c r="IZ15" s="20">
        <f>IZ14*IZ11</f>
        <v/>
      </c>
      <c r="JA15" s="20">
        <f>JA14*JA11</f>
        <v/>
      </c>
      <c r="JB15" s="20">
        <f>JB14*JB11</f>
        <v/>
      </c>
      <c r="JC15" s="20">
        <f>JC14*JC11</f>
        <v/>
      </c>
      <c r="JD15" s="20">
        <f>JD14*JD11</f>
        <v/>
      </c>
      <c r="JE15" s="20">
        <f>JE14*JE11</f>
        <v/>
      </c>
      <c r="JF15" s="20">
        <f>JF14*JF11</f>
        <v/>
      </c>
      <c r="JG15" s="20">
        <f>JG14*JG11</f>
        <v/>
      </c>
      <c r="JH15" s="20">
        <f>JH14*JH11</f>
        <v/>
      </c>
      <c r="JI15" s="20">
        <f>JI14*JI11</f>
        <v/>
      </c>
      <c r="JJ15" s="20">
        <f>JJ14*JJ11</f>
        <v/>
      </c>
      <c r="JK15" s="20">
        <f>JK14*JK11</f>
        <v/>
      </c>
      <c r="JL15" s="20">
        <f>JL14*JL11</f>
        <v/>
      </c>
      <c r="JM15" s="20">
        <f>JM14*JM11</f>
        <v/>
      </c>
      <c r="JN15" s="20">
        <f>JN14*JN11</f>
        <v/>
      </c>
      <c r="JO15" s="20">
        <f>JO14*JO11</f>
        <v/>
      </c>
      <c r="JP15" s="20">
        <f>JP14*JP11</f>
        <v/>
      </c>
      <c r="JQ15" s="20">
        <f>JQ14*JQ11</f>
        <v/>
      </c>
      <c r="JR15" s="20">
        <f>JR14*JR11</f>
        <v/>
      </c>
      <c r="JS15" s="20">
        <f>JS14*JS11</f>
        <v/>
      </c>
      <c r="JT15" s="20">
        <f>JT14*JT11</f>
        <v/>
      </c>
      <c r="JU15" s="20">
        <f>JU14*JU11</f>
        <v/>
      </c>
      <c r="JV15" s="20">
        <f>JV14*JV11</f>
        <v/>
      </c>
      <c r="JW15" s="20">
        <f>JW14*JW11</f>
        <v/>
      </c>
      <c r="JX15" s="20">
        <f>JX14*JX11</f>
        <v/>
      </c>
      <c r="JY15" s="20">
        <f>JY14*JY11</f>
        <v/>
      </c>
      <c r="JZ15" s="20">
        <f>JZ14*JZ11</f>
        <v/>
      </c>
      <c r="KA15" s="20">
        <f>KA14*KA11</f>
        <v/>
      </c>
      <c r="KB15" s="20">
        <f>KB14*KB11</f>
        <v/>
      </c>
      <c r="KC15" s="20">
        <f>KC14*KC11</f>
        <v/>
      </c>
      <c r="KD15" s="20">
        <f>KD14*KD11</f>
        <v/>
      </c>
      <c r="KE15" s="20">
        <f>KE14*KE11</f>
        <v/>
      </c>
      <c r="KF15" s="20">
        <f>KF14*KF11</f>
        <v/>
      </c>
      <c r="KG15" s="20">
        <f>KG14*KG11</f>
        <v/>
      </c>
      <c r="KH15" s="20">
        <f>KH14*KH11</f>
        <v/>
      </c>
      <c r="KI15" s="20">
        <f>KI14*KI11</f>
        <v/>
      </c>
      <c r="KJ15" s="20">
        <f>KJ14*KJ11</f>
        <v/>
      </c>
      <c r="KK15" s="20">
        <f>KK14*KK11</f>
        <v/>
      </c>
      <c r="KL15" s="20">
        <f>KL14*KL11</f>
        <v/>
      </c>
      <c r="KM15" s="20">
        <f>KM14*KM11</f>
        <v/>
      </c>
      <c r="KN15" s="20">
        <f>KN14*KN11</f>
        <v/>
      </c>
      <c r="KO15" s="20">
        <f>KO14*KO11</f>
        <v/>
      </c>
      <c r="KP15" s="20">
        <f>KP14*KP11</f>
        <v/>
      </c>
      <c r="KQ15" s="20">
        <f>KQ14*KQ11</f>
        <v/>
      </c>
      <c r="KR15" s="20">
        <f>KR14*KR11</f>
        <v/>
      </c>
      <c r="KS15" s="20">
        <f>KS14*KS11</f>
        <v/>
      </c>
      <c r="KT15" s="20">
        <f>KT14*KT11</f>
        <v/>
      </c>
      <c r="KU15" s="20">
        <f>KU14*KU11</f>
        <v/>
      </c>
      <c r="KV15" s="20">
        <f>KV14*KV11</f>
        <v/>
      </c>
      <c r="KW15" s="20">
        <f>KW14*KW11</f>
        <v/>
      </c>
      <c r="KX15" s="20">
        <f>KX14*KX11</f>
        <v/>
      </c>
      <c r="KY15" s="20">
        <f>KY14*KY11</f>
        <v/>
      </c>
      <c r="KZ15" s="20">
        <f>KZ14*KZ11</f>
        <v/>
      </c>
      <c r="LA15" s="20">
        <f>LA14*LA11</f>
        <v/>
      </c>
      <c r="LB15" s="20">
        <f>LB14*LB11</f>
        <v/>
      </c>
      <c r="LC15" s="20">
        <f>LC14*LC11</f>
        <v/>
      </c>
      <c r="LD15" s="20">
        <f>LD14*LD11</f>
        <v/>
      </c>
      <c r="LE15" s="20">
        <f>LE14*LE11</f>
        <v/>
      </c>
      <c r="LF15" s="20">
        <f>LF14*LF11</f>
        <v/>
      </c>
      <c r="LG15" s="20">
        <f>LG14*LG11</f>
        <v/>
      </c>
      <c r="LH15" s="20">
        <f>LH14*LH11</f>
        <v/>
      </c>
      <c r="LI15" s="20">
        <f>LI14*LI11</f>
        <v/>
      </c>
    </row>
    <row r="16">
      <c r="B16" s="18" t="inlineStr">
        <is>
          <t>Adicion al intangible</t>
        </is>
      </c>
      <c r="D16" s="20">
        <f>D13*D11+D15</f>
        <v/>
      </c>
      <c r="E16" s="20">
        <f>E13*E11+E15</f>
        <v/>
      </c>
      <c r="F16" s="20">
        <f>F13*F11+F15</f>
        <v/>
      </c>
      <c r="G16" s="20">
        <f>G13*G11+G15</f>
        <v/>
      </c>
      <c r="H16" s="20">
        <f>H13*H11+H15</f>
        <v/>
      </c>
      <c r="I16" s="20">
        <f>I13*I11+I15</f>
        <v/>
      </c>
      <c r="J16" s="20">
        <f>J13*J11+J15</f>
        <v/>
      </c>
      <c r="K16" s="20">
        <f>K13*K11+K15</f>
        <v/>
      </c>
      <c r="L16" s="20">
        <f>L13*L11+L15</f>
        <v/>
      </c>
      <c r="M16" s="20">
        <f>M13*M11+M15</f>
        <v/>
      </c>
      <c r="N16" s="20">
        <f>N13*N11+N15</f>
        <v/>
      </c>
      <c r="O16" s="20">
        <f>O13*O11+O15</f>
        <v/>
      </c>
      <c r="P16" s="20">
        <f>P13*P11+P15</f>
        <v/>
      </c>
      <c r="Q16" s="20">
        <f>Q13*Q11+Q15</f>
        <v/>
      </c>
      <c r="R16" s="20">
        <f>R13*R11+R15</f>
        <v/>
      </c>
      <c r="S16" s="20">
        <f>S13*S11+S15</f>
        <v/>
      </c>
      <c r="T16" s="20">
        <f>T13*T11+T15</f>
        <v/>
      </c>
      <c r="U16" s="20">
        <f>U13*U11+U15</f>
        <v/>
      </c>
      <c r="V16" s="20">
        <f>V13*V11+V15</f>
        <v/>
      </c>
      <c r="W16" s="20">
        <f>W13*W11+W15</f>
        <v/>
      </c>
      <c r="X16" s="20">
        <f>X13*X11+X15</f>
        <v/>
      </c>
      <c r="Y16" s="20">
        <f>Y13*Y11+Y15</f>
        <v/>
      </c>
      <c r="Z16" s="20">
        <f>Z13*Z11+Z15</f>
        <v/>
      </c>
      <c r="AA16" s="20">
        <f>AA13*AA11+AA15</f>
        <v/>
      </c>
      <c r="AB16" s="20">
        <f>AB13*AB11+AB15</f>
        <v/>
      </c>
      <c r="AC16" s="20">
        <f>AC13*AC11+AC15</f>
        <v/>
      </c>
      <c r="AD16" s="20">
        <f>AD13*AD11+AD15</f>
        <v/>
      </c>
      <c r="AE16" s="20">
        <f>AE13*AE11+AE15</f>
        <v/>
      </c>
      <c r="AF16" s="20">
        <f>AF13*AF11+AF15</f>
        <v/>
      </c>
      <c r="AG16" s="20">
        <f>AG13*AG11+AG15</f>
        <v/>
      </c>
      <c r="AH16" s="20">
        <f>AH13*AH11+AH15</f>
        <v/>
      </c>
      <c r="AI16" s="20">
        <f>AI13*AI11+AI15</f>
        <v/>
      </c>
      <c r="AJ16" s="20">
        <f>AJ13*AJ11+AJ15</f>
        <v/>
      </c>
      <c r="AK16" s="20">
        <f>AK13*AK11+AK15</f>
        <v/>
      </c>
      <c r="AL16" s="20">
        <f>AL13*AL11+AL15</f>
        <v/>
      </c>
      <c r="AM16" s="20">
        <f>AM13*AM11+AM15</f>
        <v/>
      </c>
      <c r="AN16" s="20">
        <f>AN13*AN11+AN15</f>
        <v/>
      </c>
      <c r="AO16" s="20">
        <f>AO13*AO11+AO15</f>
        <v/>
      </c>
      <c r="AP16" s="20">
        <f>AP13*AP11+AP15</f>
        <v/>
      </c>
      <c r="AQ16" s="20">
        <f>AQ13*AQ11+AQ15</f>
        <v/>
      </c>
      <c r="AR16" s="20">
        <f>AR13*AR11+AR15</f>
        <v/>
      </c>
      <c r="AS16" s="20">
        <f>AS13*AS11+AS15</f>
        <v/>
      </c>
      <c r="AT16" s="20">
        <f>AT13*AT11+AT15</f>
        <v/>
      </c>
      <c r="AU16" s="20">
        <f>AU13*AU11+AU15</f>
        <v/>
      </c>
      <c r="AV16" s="20">
        <f>AV13*AV11+AV15</f>
        <v/>
      </c>
      <c r="AW16" s="20">
        <f>AW13*AW11+AW15</f>
        <v/>
      </c>
      <c r="AX16" s="20">
        <f>AX13*AX11+AX15</f>
        <v/>
      </c>
      <c r="AY16" s="20">
        <f>AY13*AY11+AY15</f>
        <v/>
      </c>
      <c r="AZ16" s="20">
        <f>AZ13*AZ11+AZ15</f>
        <v/>
      </c>
      <c r="BA16" s="20">
        <f>BA13*BA11+BA15</f>
        <v/>
      </c>
      <c r="BB16" s="20">
        <f>BB13*BB11+BB15</f>
        <v/>
      </c>
      <c r="BC16" s="20">
        <f>BC13*BC11+BC15</f>
        <v/>
      </c>
      <c r="BD16" s="20">
        <f>BD13*BD11+BD15</f>
        <v/>
      </c>
      <c r="BE16" s="20">
        <f>BE13*BE11+BE15</f>
        <v/>
      </c>
      <c r="BF16" s="20">
        <f>BF13*BF11+BF15</f>
        <v/>
      </c>
      <c r="BG16" s="20">
        <f>BG13*BG11+BG15</f>
        <v/>
      </c>
      <c r="BH16" s="20">
        <f>BH13*BH11+BH15</f>
        <v/>
      </c>
      <c r="BI16" s="20">
        <f>BI13*BI11+BI15</f>
        <v/>
      </c>
      <c r="BJ16" s="20">
        <f>BJ13*BJ11+BJ15</f>
        <v/>
      </c>
      <c r="BK16" s="20">
        <f>BK13*BK11+BK15</f>
        <v/>
      </c>
      <c r="BL16" s="20">
        <f>BL13*BL11+BL15</f>
        <v/>
      </c>
      <c r="BM16" s="20">
        <f>BM13*BM11+BM15</f>
        <v/>
      </c>
      <c r="BN16" s="20">
        <f>BN13*BN11+BN15</f>
        <v/>
      </c>
      <c r="BO16" s="20">
        <f>BO13*BO11+BO15</f>
        <v/>
      </c>
      <c r="BP16" s="20">
        <f>BP13*BP11+BP15</f>
        <v/>
      </c>
      <c r="BQ16" s="20">
        <f>BQ13*BQ11+BQ15</f>
        <v/>
      </c>
      <c r="BR16" s="20">
        <f>BR13*BR11+BR15</f>
        <v/>
      </c>
      <c r="BS16" s="20">
        <f>BS13*BS11+BS15</f>
        <v/>
      </c>
      <c r="BT16" s="20">
        <f>BT13*BT11+BT15</f>
        <v/>
      </c>
      <c r="BU16" s="20">
        <f>BU13*BU11+BU15</f>
        <v/>
      </c>
      <c r="BV16" s="20">
        <f>BV13*BV11+BV15</f>
        <v/>
      </c>
      <c r="BW16" s="20">
        <f>BW13*BW11+BW15</f>
        <v/>
      </c>
      <c r="BX16" s="20">
        <f>BX13*BX11+BX15</f>
        <v/>
      </c>
      <c r="BY16" s="20">
        <f>BY13*BY11+BY15</f>
        <v/>
      </c>
      <c r="BZ16" s="20">
        <f>BZ13*BZ11+BZ15</f>
        <v/>
      </c>
      <c r="CA16" s="20">
        <f>CA13*CA11+CA15</f>
        <v/>
      </c>
      <c r="CB16" s="20">
        <f>CB13*CB11+CB15</f>
        <v/>
      </c>
      <c r="CC16" s="20">
        <f>CC13*CC11+CC15</f>
        <v/>
      </c>
      <c r="CD16" s="20">
        <f>CD13*CD11+CD15</f>
        <v/>
      </c>
      <c r="CE16" s="20">
        <f>CE13*CE11+CE15</f>
        <v/>
      </c>
      <c r="CF16" s="20">
        <f>CF13*CF11+CF15</f>
        <v/>
      </c>
      <c r="CG16" s="20">
        <f>CG13*CG11+CG15</f>
        <v/>
      </c>
      <c r="CH16" s="20">
        <f>CH13*CH11+CH15</f>
        <v/>
      </c>
      <c r="CI16" s="20">
        <f>CI13*CI11+CI15</f>
        <v/>
      </c>
      <c r="CJ16" s="20">
        <f>CJ13*CJ11+CJ15</f>
        <v/>
      </c>
      <c r="CK16" s="20">
        <f>CK13*CK11+CK15</f>
        <v/>
      </c>
      <c r="CL16" s="20">
        <f>CL13*CL11+CL15</f>
        <v/>
      </c>
      <c r="CM16" s="20">
        <f>CM13*CM11+CM15</f>
        <v/>
      </c>
      <c r="CN16" s="20">
        <f>CN13*CN11+CN15</f>
        <v/>
      </c>
      <c r="CO16" s="20">
        <f>CO13*CO11+CO15</f>
        <v/>
      </c>
      <c r="CP16" s="20">
        <f>CP13*CP11+CP15</f>
        <v/>
      </c>
      <c r="CQ16" s="20">
        <f>CQ13*CQ11+CQ15</f>
        <v/>
      </c>
      <c r="CR16" s="20">
        <f>CR13*CR11+CR15</f>
        <v/>
      </c>
      <c r="CS16" s="20">
        <f>CS13*CS11+CS15</f>
        <v/>
      </c>
      <c r="CT16" s="20">
        <f>CT13*CT11+CT15</f>
        <v/>
      </c>
      <c r="CU16" s="20">
        <f>CU13*CU11+CU15</f>
        <v/>
      </c>
      <c r="CV16" s="20">
        <f>CV13*CV11+CV15</f>
        <v/>
      </c>
      <c r="CW16" s="20">
        <f>CW13*CW11+CW15</f>
        <v/>
      </c>
      <c r="CX16" s="20">
        <f>CX13*CX11+CX15</f>
        <v/>
      </c>
      <c r="CY16" s="20">
        <f>CY13*CY11+CY15</f>
        <v/>
      </c>
      <c r="CZ16" s="20">
        <f>CZ13*CZ11+CZ15</f>
        <v/>
      </c>
      <c r="DA16" s="20">
        <f>DA13*DA11+DA15</f>
        <v/>
      </c>
      <c r="DB16" s="20">
        <f>DB13*DB11+DB15</f>
        <v/>
      </c>
      <c r="DC16" s="20">
        <f>DC13*DC11+DC15</f>
        <v/>
      </c>
      <c r="DD16" s="20">
        <f>DD13*DD11+DD15</f>
        <v/>
      </c>
      <c r="DE16" s="20">
        <f>DE13*DE11+DE15</f>
        <v/>
      </c>
      <c r="DF16" s="20">
        <f>DF13*DF11+DF15</f>
        <v/>
      </c>
      <c r="DG16" s="20">
        <f>DG13*DG11+DG15</f>
        <v/>
      </c>
      <c r="DH16" s="20">
        <f>DH13*DH11+DH15</f>
        <v/>
      </c>
      <c r="DI16" s="20">
        <f>DI13*DI11+DI15</f>
        <v/>
      </c>
      <c r="DJ16" s="20">
        <f>DJ13*DJ11+DJ15</f>
        <v/>
      </c>
      <c r="DK16" s="20">
        <f>DK13*DK11+DK15</f>
        <v/>
      </c>
      <c r="DL16" s="20">
        <f>DL13*DL11+DL15</f>
        <v/>
      </c>
      <c r="DM16" s="20">
        <f>DM13*DM11+DM15</f>
        <v/>
      </c>
      <c r="DN16" s="20">
        <f>DN13*DN11+DN15</f>
        <v/>
      </c>
      <c r="DO16" s="20">
        <f>DO13*DO11+DO15</f>
        <v/>
      </c>
      <c r="DP16" s="20">
        <f>DP13*DP11+DP15</f>
        <v/>
      </c>
      <c r="DQ16" s="20">
        <f>DQ13*DQ11+DQ15</f>
        <v/>
      </c>
      <c r="DR16" s="20">
        <f>DR13*DR11+DR15</f>
        <v/>
      </c>
      <c r="DS16" s="20">
        <f>DS13*DS11+DS15</f>
        <v/>
      </c>
      <c r="DT16" s="20">
        <f>DT13*DT11+DT15</f>
        <v/>
      </c>
      <c r="DU16" s="20">
        <f>DU13*DU11+DU15</f>
        <v/>
      </c>
      <c r="DV16" s="20">
        <f>DV13*DV11+DV15</f>
        <v/>
      </c>
      <c r="DW16" s="20">
        <f>DW13*DW11+DW15</f>
        <v/>
      </c>
      <c r="DX16" s="20">
        <f>DX13*DX11+DX15</f>
        <v/>
      </c>
      <c r="DY16" s="20">
        <f>DY13*DY11+DY15</f>
        <v/>
      </c>
      <c r="DZ16" s="20">
        <f>DZ13*DZ11+DZ15</f>
        <v/>
      </c>
      <c r="EA16" s="20">
        <f>EA13*EA11+EA15</f>
        <v/>
      </c>
      <c r="EB16" s="20">
        <f>EB13*EB11+EB15</f>
        <v/>
      </c>
      <c r="EC16" s="20">
        <f>EC13*EC11+EC15</f>
        <v/>
      </c>
      <c r="ED16" s="20">
        <f>ED13*ED11+ED15</f>
        <v/>
      </c>
      <c r="EE16" s="20">
        <f>EE13*EE11+EE15</f>
        <v/>
      </c>
      <c r="EF16" s="20">
        <f>EF13*EF11+EF15</f>
        <v/>
      </c>
      <c r="EG16" s="20">
        <f>EG13*EG11+EG15</f>
        <v/>
      </c>
      <c r="EH16" s="20">
        <f>EH13*EH11+EH15</f>
        <v/>
      </c>
      <c r="EI16" s="20">
        <f>EI13*EI11+EI15</f>
        <v/>
      </c>
      <c r="EJ16" s="20">
        <f>EJ13*EJ11+EJ15</f>
        <v/>
      </c>
      <c r="EK16" s="20">
        <f>EK13*EK11+EK15</f>
        <v/>
      </c>
      <c r="EL16" s="20">
        <f>EL13*EL11+EL15</f>
        <v/>
      </c>
      <c r="EM16" s="20">
        <f>EM13*EM11+EM15</f>
        <v/>
      </c>
      <c r="EN16" s="20">
        <f>EN13*EN11+EN15</f>
        <v/>
      </c>
      <c r="EO16" s="20">
        <f>EO13*EO11+EO15</f>
        <v/>
      </c>
      <c r="EP16" s="20">
        <f>EP13*EP11+EP15</f>
        <v/>
      </c>
      <c r="EQ16" s="20">
        <f>EQ13*EQ11+EQ15</f>
        <v/>
      </c>
      <c r="ER16" s="20">
        <f>ER13*ER11+ER15</f>
        <v/>
      </c>
      <c r="ES16" s="20">
        <f>ES13*ES11+ES15</f>
        <v/>
      </c>
      <c r="ET16" s="20">
        <f>ET13*ET11+ET15</f>
        <v/>
      </c>
      <c r="EU16" s="20">
        <f>EU13*EU11+EU15</f>
        <v/>
      </c>
      <c r="EV16" s="20">
        <f>EV13*EV11+EV15</f>
        <v/>
      </c>
      <c r="EW16" s="20">
        <f>EW13*EW11+EW15</f>
        <v/>
      </c>
      <c r="EX16" s="20">
        <f>EX13*EX11+EX15</f>
        <v/>
      </c>
      <c r="EY16" s="20">
        <f>EY13*EY11+EY15</f>
        <v/>
      </c>
      <c r="EZ16" s="20">
        <f>EZ13*EZ11+EZ15</f>
        <v/>
      </c>
      <c r="FA16" s="20">
        <f>FA13*FA11+FA15</f>
        <v/>
      </c>
      <c r="FB16" s="20">
        <f>FB13*FB11+FB15</f>
        <v/>
      </c>
      <c r="FC16" s="20">
        <f>FC13*FC11+FC15</f>
        <v/>
      </c>
      <c r="FD16" s="20">
        <f>FD13*FD11+FD15</f>
        <v/>
      </c>
      <c r="FE16" s="20">
        <f>FE13*FE11+FE15</f>
        <v/>
      </c>
      <c r="FF16" s="20">
        <f>FF13*FF11+FF15</f>
        <v/>
      </c>
      <c r="FG16" s="20">
        <f>FG13*FG11+FG15</f>
        <v/>
      </c>
      <c r="FH16" s="20">
        <f>FH13*FH11+FH15</f>
        <v/>
      </c>
      <c r="FI16" s="20">
        <f>FI13*FI11+FI15</f>
        <v/>
      </c>
      <c r="FJ16" s="20">
        <f>FJ13*FJ11+FJ15</f>
        <v/>
      </c>
      <c r="FK16" s="20">
        <f>FK13*FK11+FK15</f>
        <v/>
      </c>
      <c r="FL16" s="20">
        <f>FL13*FL11+FL15</f>
        <v/>
      </c>
      <c r="FM16" s="20">
        <f>FM13*FM11+FM15</f>
        <v/>
      </c>
      <c r="FN16" s="20">
        <f>FN13*FN11+FN15</f>
        <v/>
      </c>
      <c r="FO16" s="20">
        <f>FO13*FO11+FO15</f>
        <v/>
      </c>
      <c r="FP16" s="20">
        <f>FP13*FP11+FP15</f>
        <v/>
      </c>
      <c r="FQ16" s="20">
        <f>FQ13*FQ11+FQ15</f>
        <v/>
      </c>
      <c r="FR16" s="20">
        <f>FR13*FR11+FR15</f>
        <v/>
      </c>
      <c r="FS16" s="20">
        <f>FS13*FS11+FS15</f>
        <v/>
      </c>
      <c r="FT16" s="20">
        <f>FT13*FT11+FT15</f>
        <v/>
      </c>
      <c r="FU16" s="20">
        <f>FU13*FU11+FU15</f>
        <v/>
      </c>
      <c r="FV16" s="20">
        <f>FV13*FV11+FV15</f>
        <v/>
      </c>
      <c r="FW16" s="20">
        <f>FW13*FW11+FW15</f>
        <v/>
      </c>
      <c r="FX16" s="20">
        <f>FX13*FX11+FX15</f>
        <v/>
      </c>
      <c r="FY16" s="20">
        <f>FY13*FY11+FY15</f>
        <v/>
      </c>
      <c r="FZ16" s="20">
        <f>FZ13*FZ11+FZ15</f>
        <v/>
      </c>
      <c r="GA16" s="20">
        <f>GA13*GA11+GA15</f>
        <v/>
      </c>
      <c r="GB16" s="20">
        <f>GB13*GB11+GB15</f>
        <v/>
      </c>
      <c r="GC16" s="20">
        <f>GC13*GC11+GC15</f>
        <v/>
      </c>
      <c r="GD16" s="20">
        <f>GD13*GD11+GD15</f>
        <v/>
      </c>
      <c r="GE16" s="20">
        <f>GE13*GE11+GE15</f>
        <v/>
      </c>
      <c r="GF16" s="20">
        <f>GF13*GF11+GF15</f>
        <v/>
      </c>
      <c r="GG16" s="20">
        <f>GG13*GG11+GG15</f>
        <v/>
      </c>
      <c r="GH16" s="20">
        <f>GH13*GH11+GH15</f>
        <v/>
      </c>
      <c r="GI16" s="20">
        <f>GI13*GI11+GI15</f>
        <v/>
      </c>
      <c r="GJ16" s="20">
        <f>GJ13*GJ11+GJ15</f>
        <v/>
      </c>
      <c r="GK16" s="20">
        <f>GK13*GK11+GK15</f>
        <v/>
      </c>
      <c r="GL16" s="20">
        <f>GL13*GL11+GL15</f>
        <v/>
      </c>
      <c r="GM16" s="20">
        <f>GM13*GM11+GM15</f>
        <v/>
      </c>
      <c r="GN16" s="20">
        <f>GN13*GN11+GN15</f>
        <v/>
      </c>
      <c r="GO16" s="20">
        <f>GO13*GO11+GO15</f>
        <v/>
      </c>
      <c r="GP16" s="20">
        <f>GP13*GP11+GP15</f>
        <v/>
      </c>
      <c r="GQ16" s="20">
        <f>GQ13*GQ11+GQ15</f>
        <v/>
      </c>
      <c r="GR16" s="20">
        <f>GR13*GR11+GR15</f>
        <v/>
      </c>
      <c r="GS16" s="20">
        <f>GS13*GS11+GS15</f>
        <v/>
      </c>
      <c r="GT16" s="20">
        <f>GT13*GT11+GT15</f>
        <v/>
      </c>
      <c r="GU16" s="20">
        <f>GU13*GU11+GU15</f>
        <v/>
      </c>
      <c r="GV16" s="20">
        <f>GV13*GV11+GV15</f>
        <v/>
      </c>
      <c r="GW16" s="20">
        <f>GW13*GW11+GW15</f>
        <v/>
      </c>
      <c r="GX16" s="20">
        <f>GX13*GX11+GX15</f>
        <v/>
      </c>
      <c r="GY16" s="20">
        <f>GY13*GY11+GY15</f>
        <v/>
      </c>
      <c r="GZ16" s="20">
        <f>GZ13*GZ11+GZ15</f>
        <v/>
      </c>
      <c r="HA16" s="20">
        <f>HA13*HA11+HA15</f>
        <v/>
      </c>
      <c r="HB16" s="20">
        <f>HB13*HB11+HB15</f>
        <v/>
      </c>
      <c r="HC16" s="20">
        <f>HC13*HC11+HC15</f>
        <v/>
      </c>
      <c r="HD16" s="20">
        <f>HD13*HD11+HD15</f>
        <v/>
      </c>
      <c r="HE16" s="20">
        <f>HE13*HE11+HE15</f>
        <v/>
      </c>
      <c r="HF16" s="20">
        <f>HF13*HF11+HF15</f>
        <v/>
      </c>
      <c r="HG16" s="20">
        <f>HG13*HG11+HG15</f>
        <v/>
      </c>
      <c r="HH16" s="20">
        <f>HH13*HH11+HH15</f>
        <v/>
      </c>
      <c r="HI16" s="20">
        <f>HI13*HI11+HI15</f>
        <v/>
      </c>
      <c r="HJ16" s="20">
        <f>HJ13*HJ11+HJ15</f>
        <v/>
      </c>
      <c r="HK16" s="20">
        <f>HK13*HK11+HK15</f>
        <v/>
      </c>
      <c r="HL16" s="20">
        <f>HL13*HL11+HL15</f>
        <v/>
      </c>
      <c r="HM16" s="20">
        <f>HM13*HM11+HM15</f>
        <v/>
      </c>
      <c r="HN16" s="20">
        <f>HN13*HN11+HN15</f>
        <v/>
      </c>
      <c r="HO16" s="20">
        <f>HO13*HO11+HO15</f>
        <v/>
      </c>
      <c r="HP16" s="20">
        <f>HP13*HP11+HP15</f>
        <v/>
      </c>
      <c r="HQ16" s="20">
        <f>HQ13*HQ11+HQ15</f>
        <v/>
      </c>
      <c r="HR16" s="20">
        <f>HR13*HR11+HR15</f>
        <v/>
      </c>
      <c r="HS16" s="20">
        <f>HS13*HS11+HS15</f>
        <v/>
      </c>
      <c r="HT16" s="20">
        <f>HT13*HT11+HT15</f>
        <v/>
      </c>
      <c r="HU16" s="20">
        <f>HU13*HU11+HU15</f>
        <v/>
      </c>
      <c r="HV16" s="20">
        <f>HV13*HV11+HV15</f>
        <v/>
      </c>
      <c r="HW16" s="20">
        <f>HW13*HW11+HW15</f>
        <v/>
      </c>
      <c r="HX16" s="20">
        <f>HX13*HX11+HX15</f>
        <v/>
      </c>
      <c r="HY16" s="20">
        <f>HY13*HY11+HY15</f>
        <v/>
      </c>
      <c r="HZ16" s="20">
        <f>HZ13*HZ11+HZ15</f>
        <v/>
      </c>
      <c r="IA16" s="20">
        <f>IA13*IA11+IA15</f>
        <v/>
      </c>
      <c r="IB16" s="20">
        <f>IB13*IB11+IB15</f>
        <v/>
      </c>
      <c r="IC16" s="20">
        <f>IC13*IC11+IC15</f>
        <v/>
      </c>
      <c r="ID16" s="20">
        <f>ID13*ID11+ID15</f>
        <v/>
      </c>
      <c r="IE16" s="20">
        <f>IE13*IE11+IE15</f>
        <v/>
      </c>
      <c r="IF16" s="20">
        <f>IF13*IF11+IF15</f>
        <v/>
      </c>
      <c r="IG16" s="20">
        <f>IG13*IG11+IG15</f>
        <v/>
      </c>
      <c r="IH16" s="20">
        <f>IH13*IH11+IH15</f>
        <v/>
      </c>
      <c r="II16" s="20">
        <f>II13*II11+II15</f>
        <v/>
      </c>
      <c r="IJ16" s="20">
        <f>IJ13*IJ11+IJ15</f>
        <v/>
      </c>
      <c r="IK16" s="20">
        <f>IK13*IK11+IK15</f>
        <v/>
      </c>
      <c r="IL16" s="20">
        <f>IL13*IL11+IL15</f>
        <v/>
      </c>
      <c r="IM16" s="20">
        <f>IM13*IM11+IM15</f>
        <v/>
      </c>
      <c r="IN16" s="20">
        <f>IN13*IN11+IN15</f>
        <v/>
      </c>
      <c r="IO16" s="20">
        <f>IO13*IO11+IO15</f>
        <v/>
      </c>
      <c r="IP16" s="20">
        <f>IP13*IP11+IP15</f>
        <v/>
      </c>
      <c r="IQ16" s="20">
        <f>IQ13*IQ11+IQ15</f>
        <v/>
      </c>
      <c r="IR16" s="20">
        <f>IR13*IR11+IR15</f>
        <v/>
      </c>
      <c r="IS16" s="20">
        <f>IS13*IS11+IS15</f>
        <v/>
      </c>
      <c r="IT16" s="20">
        <f>IT13*IT11+IT15</f>
        <v/>
      </c>
      <c r="IU16" s="20">
        <f>IU13*IU11+IU15</f>
        <v/>
      </c>
      <c r="IV16" s="20">
        <f>IV13*IV11+IV15</f>
        <v/>
      </c>
      <c r="IW16" s="20">
        <f>IW13*IW11+IW15</f>
        <v/>
      </c>
      <c r="IX16" s="20">
        <f>IX13*IX11+IX15</f>
        <v/>
      </c>
      <c r="IY16" s="20">
        <f>IY13*IY11+IY15</f>
        <v/>
      </c>
      <c r="IZ16" s="20">
        <f>IZ13*IZ11+IZ15</f>
        <v/>
      </c>
      <c r="JA16" s="20">
        <f>JA13*JA11+JA15</f>
        <v/>
      </c>
      <c r="JB16" s="20">
        <f>JB13*JB11+JB15</f>
        <v/>
      </c>
      <c r="JC16" s="20">
        <f>JC13*JC11+JC15</f>
        <v/>
      </c>
      <c r="JD16" s="20">
        <f>JD13*JD11+JD15</f>
        <v/>
      </c>
      <c r="JE16" s="20">
        <f>JE13*JE11+JE15</f>
        <v/>
      </c>
      <c r="JF16" s="20">
        <f>JF13*JF11+JF15</f>
        <v/>
      </c>
      <c r="JG16" s="20">
        <f>JG13*JG11+JG15</f>
        <v/>
      </c>
      <c r="JH16" s="20">
        <f>JH13*JH11+JH15</f>
        <v/>
      </c>
      <c r="JI16" s="20">
        <f>JI13*JI11+JI15</f>
        <v/>
      </c>
      <c r="JJ16" s="20">
        <f>JJ13*JJ11+JJ15</f>
        <v/>
      </c>
      <c r="JK16" s="20">
        <f>JK13*JK11+JK15</f>
        <v/>
      </c>
      <c r="JL16" s="20">
        <f>JL13*JL11+JL15</f>
        <v/>
      </c>
      <c r="JM16" s="20">
        <f>JM13*JM11+JM15</f>
        <v/>
      </c>
      <c r="JN16" s="20">
        <f>JN13*JN11+JN15</f>
        <v/>
      </c>
      <c r="JO16" s="20">
        <f>JO13*JO11+JO15</f>
        <v/>
      </c>
      <c r="JP16" s="20">
        <f>JP13*JP11+JP15</f>
        <v/>
      </c>
      <c r="JQ16" s="20">
        <f>JQ13*JQ11+JQ15</f>
        <v/>
      </c>
      <c r="JR16" s="20">
        <f>JR13*JR11+JR15</f>
        <v/>
      </c>
      <c r="JS16" s="20">
        <f>JS13*JS11+JS15</f>
        <v/>
      </c>
      <c r="JT16" s="20">
        <f>JT13*JT11+JT15</f>
        <v/>
      </c>
      <c r="JU16" s="20">
        <f>JU13*JU11+JU15</f>
        <v/>
      </c>
      <c r="JV16" s="20">
        <f>JV13*JV11+JV15</f>
        <v/>
      </c>
      <c r="JW16" s="20">
        <f>JW13*JW11+JW15</f>
        <v/>
      </c>
      <c r="JX16" s="20">
        <f>JX13*JX11+JX15</f>
        <v/>
      </c>
      <c r="JY16" s="20">
        <f>JY13*JY11+JY15</f>
        <v/>
      </c>
      <c r="JZ16" s="20">
        <f>JZ13*JZ11+JZ15</f>
        <v/>
      </c>
      <c r="KA16" s="20">
        <f>KA13*KA11+KA15</f>
        <v/>
      </c>
      <c r="KB16" s="20">
        <f>KB13*KB11+KB15</f>
        <v/>
      </c>
      <c r="KC16" s="20">
        <f>KC13*KC11+KC15</f>
        <v/>
      </c>
      <c r="KD16" s="20">
        <f>KD13*KD11+KD15</f>
        <v/>
      </c>
      <c r="KE16" s="20">
        <f>KE13*KE11+KE15</f>
        <v/>
      </c>
      <c r="KF16" s="20">
        <f>KF13*KF11+KF15</f>
        <v/>
      </c>
      <c r="KG16" s="20">
        <f>KG13*KG11+KG15</f>
        <v/>
      </c>
      <c r="KH16" s="20">
        <f>KH13*KH11+KH15</f>
        <v/>
      </c>
      <c r="KI16" s="20">
        <f>KI13*KI11+KI15</f>
        <v/>
      </c>
      <c r="KJ16" s="20">
        <f>KJ13*KJ11+KJ15</f>
        <v/>
      </c>
      <c r="KK16" s="20">
        <f>KK13*KK11+KK15</f>
        <v/>
      </c>
      <c r="KL16" s="20">
        <f>KL13*KL11+KL15</f>
        <v/>
      </c>
      <c r="KM16" s="20">
        <f>KM13*KM11+KM15</f>
        <v/>
      </c>
      <c r="KN16" s="20">
        <f>KN13*KN11+KN15</f>
        <v/>
      </c>
      <c r="KO16" s="20">
        <f>KO13*KO11+KO15</f>
        <v/>
      </c>
      <c r="KP16" s="20">
        <f>KP13*KP11+KP15</f>
        <v/>
      </c>
      <c r="KQ16" s="20">
        <f>KQ13*KQ11+KQ15</f>
        <v/>
      </c>
      <c r="KR16" s="20">
        <f>KR13*KR11+KR15</f>
        <v/>
      </c>
      <c r="KS16" s="20">
        <f>KS13*KS11+KS15</f>
        <v/>
      </c>
      <c r="KT16" s="20">
        <f>KT13*KT11+KT15</f>
        <v/>
      </c>
      <c r="KU16" s="20">
        <f>KU13*KU11+KU15</f>
        <v/>
      </c>
      <c r="KV16" s="20">
        <f>KV13*KV11+KV15</f>
        <v/>
      </c>
      <c r="KW16" s="20">
        <f>KW13*KW11+KW15</f>
        <v/>
      </c>
      <c r="KX16" s="20">
        <f>KX13*KX11+KX15</f>
        <v/>
      </c>
      <c r="KY16" s="20">
        <f>KY13*KY11+KY15</f>
        <v/>
      </c>
      <c r="KZ16" s="20">
        <f>KZ13*KZ11+KZ15</f>
        <v/>
      </c>
      <c r="LA16" s="20">
        <f>LA13*LA11+LA15</f>
        <v/>
      </c>
      <c r="LB16" s="20">
        <f>LB13*LB11+LB15</f>
        <v/>
      </c>
      <c r="LC16" s="20">
        <f>LC13*LC11+LC15</f>
        <v/>
      </c>
      <c r="LD16" s="20">
        <f>LD13*LD11+LD15</f>
        <v/>
      </c>
      <c r="LE16" s="20">
        <f>LE13*LE11+LE15</f>
        <v/>
      </c>
      <c r="LF16" s="20">
        <f>LF13*LF11+LF15</f>
        <v/>
      </c>
      <c r="LG16" s="20">
        <f>LG13*LG11+LG15</f>
        <v/>
      </c>
      <c r="LH16" s="20">
        <f>LH13*LH11+LH15</f>
        <v/>
      </c>
      <c r="LI16" s="20">
        <f>LI13*LI11+LI15</f>
        <v/>
      </c>
    </row>
    <row r="17">
      <c r="B17" s="22" t="inlineStr">
        <is>
          <t>Amortizacion del intangible</t>
        </is>
      </c>
      <c r="D17" s="20">
        <f>$D$9*D12</f>
        <v/>
      </c>
      <c r="E17" s="20">
        <f>$D$9*E12</f>
        <v/>
      </c>
      <c r="F17" s="20">
        <f>$D$9*F12</f>
        <v/>
      </c>
      <c r="G17" s="20">
        <f>$D$9*G12</f>
        <v/>
      </c>
      <c r="H17" s="20">
        <f>$D$9*H12</f>
        <v/>
      </c>
      <c r="I17" s="20">
        <f>$D$9*I12</f>
        <v/>
      </c>
      <c r="J17" s="20">
        <f>$D$9*J12</f>
        <v/>
      </c>
      <c r="K17" s="20">
        <f>$D$9*K12</f>
        <v/>
      </c>
      <c r="L17" s="20">
        <f>$D$9*L12</f>
        <v/>
      </c>
      <c r="M17" s="20">
        <f>$D$9*M12</f>
        <v/>
      </c>
      <c r="N17" s="20">
        <f>$D$9*N12</f>
        <v/>
      </c>
      <c r="O17" s="20">
        <f>$D$9*O12</f>
        <v/>
      </c>
      <c r="P17" s="20">
        <f>$D$9*P12</f>
        <v/>
      </c>
      <c r="Q17" s="20">
        <f>$D$9*Q12</f>
        <v/>
      </c>
      <c r="R17" s="20">
        <f>$D$9*R12</f>
        <v/>
      </c>
      <c r="S17" s="20">
        <f>$D$9*S12</f>
        <v/>
      </c>
      <c r="T17" s="20">
        <f>$D$9*T12</f>
        <v/>
      </c>
      <c r="U17" s="20">
        <f>$D$9*U12</f>
        <v/>
      </c>
      <c r="V17" s="20">
        <f>$D$9*V12</f>
        <v/>
      </c>
      <c r="W17" s="20">
        <f>$D$9*W12</f>
        <v/>
      </c>
      <c r="X17" s="20">
        <f>$D$9*X12</f>
        <v/>
      </c>
      <c r="Y17" s="20">
        <f>$D$9*Y12</f>
        <v/>
      </c>
      <c r="Z17" s="20">
        <f>$D$9*Z12</f>
        <v/>
      </c>
      <c r="AA17" s="20">
        <f>$D$9*AA12</f>
        <v/>
      </c>
      <c r="AB17" s="20">
        <f>$D$9*AB12</f>
        <v/>
      </c>
      <c r="AC17" s="20">
        <f>$D$9*AC12</f>
        <v/>
      </c>
      <c r="AD17" s="20">
        <f>$D$9*AD12</f>
        <v/>
      </c>
      <c r="AE17" s="20">
        <f>$D$9*AE12</f>
        <v/>
      </c>
      <c r="AF17" s="20">
        <f>$D$9*AF12</f>
        <v/>
      </c>
      <c r="AG17" s="20">
        <f>$D$9*AG12</f>
        <v/>
      </c>
      <c r="AH17" s="20">
        <f>$D$9*AH12</f>
        <v/>
      </c>
      <c r="AI17" s="20">
        <f>$D$9*AI12</f>
        <v/>
      </c>
      <c r="AJ17" s="20">
        <f>$D$9*AJ12</f>
        <v/>
      </c>
      <c r="AK17" s="20">
        <f>$D$9*AK12</f>
        <v/>
      </c>
      <c r="AL17" s="20">
        <f>$D$9*AL12</f>
        <v/>
      </c>
      <c r="AM17" s="20">
        <f>$D$9*AM12</f>
        <v/>
      </c>
      <c r="AN17" s="20">
        <f>$D$9*AN12</f>
        <v/>
      </c>
      <c r="AO17" s="20">
        <f>$D$9*AO12</f>
        <v/>
      </c>
      <c r="AP17" s="20">
        <f>$D$9*AP12</f>
        <v/>
      </c>
      <c r="AQ17" s="20">
        <f>$D$9*AQ12</f>
        <v/>
      </c>
      <c r="AR17" s="20">
        <f>$D$9*AR12</f>
        <v/>
      </c>
      <c r="AS17" s="20">
        <f>$D$9*AS12</f>
        <v/>
      </c>
      <c r="AT17" s="20">
        <f>$D$9*AT12</f>
        <v/>
      </c>
      <c r="AU17" s="20">
        <f>$D$9*AU12</f>
        <v/>
      </c>
      <c r="AV17" s="20">
        <f>$D$9*AV12</f>
        <v/>
      </c>
      <c r="AW17" s="20">
        <f>$D$9*AW12</f>
        <v/>
      </c>
      <c r="AX17" s="20">
        <f>$D$9*AX12</f>
        <v/>
      </c>
      <c r="AY17" s="20">
        <f>$D$9*AY12</f>
        <v/>
      </c>
      <c r="AZ17" s="20">
        <f>$D$9*AZ12</f>
        <v/>
      </c>
      <c r="BA17" s="20">
        <f>$D$9*BA12</f>
        <v/>
      </c>
      <c r="BB17" s="20">
        <f>$D$9*BB12</f>
        <v/>
      </c>
      <c r="BC17" s="20">
        <f>$D$9*BC12</f>
        <v/>
      </c>
      <c r="BD17" s="20">
        <f>$D$9*BD12</f>
        <v/>
      </c>
      <c r="BE17" s="20">
        <f>$D$9*BE12</f>
        <v/>
      </c>
      <c r="BF17" s="20">
        <f>$D$9*BF12</f>
        <v/>
      </c>
      <c r="BG17" s="20">
        <f>$D$9*BG12</f>
        <v/>
      </c>
      <c r="BH17" s="20">
        <f>$D$9*BH12</f>
        <v/>
      </c>
      <c r="BI17" s="20">
        <f>$D$9*BI12</f>
        <v/>
      </c>
      <c r="BJ17" s="20">
        <f>$D$9*BJ12</f>
        <v/>
      </c>
      <c r="BK17" s="20">
        <f>$D$9*BK12</f>
        <v/>
      </c>
      <c r="BL17" s="20">
        <f>$D$9*BL12</f>
        <v/>
      </c>
      <c r="BM17" s="20">
        <f>$D$9*BM12</f>
        <v/>
      </c>
      <c r="BN17" s="20">
        <f>$D$9*BN12</f>
        <v/>
      </c>
      <c r="BO17" s="20">
        <f>$D$9*BO12</f>
        <v/>
      </c>
      <c r="BP17" s="20">
        <f>$D$9*BP12</f>
        <v/>
      </c>
      <c r="BQ17" s="20">
        <f>$D$9*BQ12</f>
        <v/>
      </c>
      <c r="BR17" s="20">
        <f>$D$9*BR12</f>
        <v/>
      </c>
      <c r="BS17" s="20">
        <f>$D$9*BS12</f>
        <v/>
      </c>
      <c r="BT17" s="20">
        <f>$D$9*BT12</f>
        <v/>
      </c>
      <c r="BU17" s="20">
        <f>$D$9*BU12</f>
        <v/>
      </c>
      <c r="BV17" s="20">
        <f>$D$9*BV12</f>
        <v/>
      </c>
      <c r="BW17" s="20">
        <f>$D$9*BW12</f>
        <v/>
      </c>
      <c r="BX17" s="20">
        <f>$D$9*BX12</f>
        <v/>
      </c>
      <c r="BY17" s="20">
        <f>$D$9*BY12</f>
        <v/>
      </c>
      <c r="BZ17" s="20">
        <f>$D$9*BZ12</f>
        <v/>
      </c>
      <c r="CA17" s="20">
        <f>$D$9*CA12</f>
        <v/>
      </c>
      <c r="CB17" s="20">
        <f>$D$9*CB12</f>
        <v/>
      </c>
      <c r="CC17" s="20">
        <f>$D$9*CC12</f>
        <v/>
      </c>
      <c r="CD17" s="20">
        <f>$D$9*CD12</f>
        <v/>
      </c>
      <c r="CE17" s="20">
        <f>$D$9*CE12</f>
        <v/>
      </c>
      <c r="CF17" s="20">
        <f>$D$9*CF12</f>
        <v/>
      </c>
      <c r="CG17" s="20">
        <f>$D$9*CG12</f>
        <v/>
      </c>
      <c r="CH17" s="20">
        <f>$D$9*CH12</f>
        <v/>
      </c>
      <c r="CI17" s="20">
        <f>$D$9*CI12</f>
        <v/>
      </c>
      <c r="CJ17" s="20">
        <f>$D$9*CJ12</f>
        <v/>
      </c>
      <c r="CK17" s="20">
        <f>$D$9*CK12</f>
        <v/>
      </c>
      <c r="CL17" s="20">
        <f>$D$9*CL12</f>
        <v/>
      </c>
      <c r="CM17" s="20">
        <f>$D$9*CM12</f>
        <v/>
      </c>
      <c r="CN17" s="20">
        <f>$D$9*CN12</f>
        <v/>
      </c>
      <c r="CO17" s="20">
        <f>$D$9*CO12</f>
        <v/>
      </c>
      <c r="CP17" s="20">
        <f>$D$9*CP12</f>
        <v/>
      </c>
      <c r="CQ17" s="20">
        <f>$D$9*CQ12</f>
        <v/>
      </c>
      <c r="CR17" s="20">
        <f>$D$9*CR12</f>
        <v/>
      </c>
      <c r="CS17" s="20">
        <f>$D$9*CS12</f>
        <v/>
      </c>
      <c r="CT17" s="20">
        <f>$D$9*CT12</f>
        <v/>
      </c>
      <c r="CU17" s="20">
        <f>$D$9*CU12</f>
        <v/>
      </c>
      <c r="CV17" s="20">
        <f>$D$9*CV12</f>
        <v/>
      </c>
      <c r="CW17" s="20">
        <f>$D$9*CW12</f>
        <v/>
      </c>
      <c r="CX17" s="20">
        <f>$D$9*CX12</f>
        <v/>
      </c>
      <c r="CY17" s="20">
        <f>$D$9*CY12</f>
        <v/>
      </c>
      <c r="CZ17" s="20">
        <f>$D$9*CZ12</f>
        <v/>
      </c>
      <c r="DA17" s="20">
        <f>$D$9*DA12</f>
        <v/>
      </c>
      <c r="DB17" s="20">
        <f>$D$9*DB12</f>
        <v/>
      </c>
      <c r="DC17" s="20">
        <f>$D$9*DC12</f>
        <v/>
      </c>
      <c r="DD17" s="20">
        <f>$D$9*DD12</f>
        <v/>
      </c>
      <c r="DE17" s="20">
        <f>$D$9*DE12</f>
        <v/>
      </c>
      <c r="DF17" s="20">
        <f>$D$9*DF12</f>
        <v/>
      </c>
      <c r="DG17" s="20">
        <f>$D$9*DG12</f>
        <v/>
      </c>
      <c r="DH17" s="20">
        <f>$D$9*DH12</f>
        <v/>
      </c>
      <c r="DI17" s="20">
        <f>$D$9*DI12</f>
        <v/>
      </c>
      <c r="DJ17" s="20">
        <f>$D$9*DJ12</f>
        <v/>
      </c>
      <c r="DK17" s="20">
        <f>$D$9*DK12</f>
        <v/>
      </c>
      <c r="DL17" s="20">
        <f>$D$9*DL12</f>
        <v/>
      </c>
      <c r="DM17" s="20">
        <f>$D$9*DM12</f>
        <v/>
      </c>
      <c r="DN17" s="20">
        <f>$D$9*DN12</f>
        <v/>
      </c>
      <c r="DO17" s="20">
        <f>$D$9*DO12</f>
        <v/>
      </c>
      <c r="DP17" s="20">
        <f>$D$9*DP12</f>
        <v/>
      </c>
      <c r="DQ17" s="20">
        <f>$D$9*DQ12</f>
        <v/>
      </c>
      <c r="DR17" s="20">
        <f>$D$9*DR12</f>
        <v/>
      </c>
      <c r="DS17" s="20">
        <f>$D$9*DS12</f>
        <v/>
      </c>
      <c r="DT17" s="20">
        <f>$D$9*DT12</f>
        <v/>
      </c>
      <c r="DU17" s="20">
        <f>$D$9*DU12</f>
        <v/>
      </c>
      <c r="DV17" s="20">
        <f>$D$9*DV12</f>
        <v/>
      </c>
      <c r="DW17" s="20">
        <f>$D$9*DW12</f>
        <v/>
      </c>
      <c r="DX17" s="20">
        <f>$D$9*DX12</f>
        <v/>
      </c>
      <c r="DY17" s="20">
        <f>$D$9*DY12</f>
        <v/>
      </c>
      <c r="DZ17" s="20">
        <f>$D$9*DZ12</f>
        <v/>
      </c>
      <c r="EA17" s="20">
        <f>$D$9*EA12</f>
        <v/>
      </c>
      <c r="EB17" s="20">
        <f>$D$9*EB12</f>
        <v/>
      </c>
      <c r="EC17" s="20">
        <f>$D$9*EC12</f>
        <v/>
      </c>
      <c r="ED17" s="20">
        <f>$D$9*ED12</f>
        <v/>
      </c>
      <c r="EE17" s="20">
        <f>$D$9*EE12</f>
        <v/>
      </c>
      <c r="EF17" s="20">
        <f>$D$9*EF12</f>
        <v/>
      </c>
      <c r="EG17" s="20">
        <f>$D$9*EG12</f>
        <v/>
      </c>
      <c r="EH17" s="20">
        <f>$D$9*EH12</f>
        <v/>
      </c>
      <c r="EI17" s="20">
        <f>$D$9*EI12</f>
        <v/>
      </c>
      <c r="EJ17" s="20">
        <f>$D$9*EJ12</f>
        <v/>
      </c>
      <c r="EK17" s="20">
        <f>$D$9*EK12</f>
        <v/>
      </c>
      <c r="EL17" s="20">
        <f>$D$9*EL12</f>
        <v/>
      </c>
      <c r="EM17" s="20">
        <f>$D$9*EM12</f>
        <v/>
      </c>
      <c r="EN17" s="20">
        <f>$D$9*EN12</f>
        <v/>
      </c>
      <c r="EO17" s="20">
        <f>$D$9*EO12</f>
        <v/>
      </c>
      <c r="EP17" s="20">
        <f>$D$9*EP12</f>
        <v/>
      </c>
      <c r="EQ17" s="20">
        <f>$D$9*EQ12</f>
        <v/>
      </c>
      <c r="ER17" s="20">
        <f>$D$9*ER12</f>
        <v/>
      </c>
      <c r="ES17" s="20">
        <f>$D$9*ES12</f>
        <v/>
      </c>
      <c r="ET17" s="20">
        <f>$D$9*ET12</f>
        <v/>
      </c>
      <c r="EU17" s="20">
        <f>$D$9*EU12</f>
        <v/>
      </c>
      <c r="EV17" s="20">
        <f>$D$9*EV12</f>
        <v/>
      </c>
      <c r="EW17" s="20">
        <f>$D$9*EW12</f>
        <v/>
      </c>
      <c r="EX17" s="20">
        <f>$D$9*EX12</f>
        <v/>
      </c>
      <c r="EY17" s="20">
        <f>$D$9*EY12</f>
        <v/>
      </c>
      <c r="EZ17" s="20">
        <f>$D$9*EZ12</f>
        <v/>
      </c>
      <c r="FA17" s="20">
        <f>$D$9*FA12</f>
        <v/>
      </c>
      <c r="FB17" s="20">
        <f>$D$9*FB12</f>
        <v/>
      </c>
      <c r="FC17" s="20">
        <f>$D$9*FC12</f>
        <v/>
      </c>
      <c r="FD17" s="20">
        <f>$D$9*FD12</f>
        <v/>
      </c>
      <c r="FE17" s="20">
        <f>$D$9*FE12</f>
        <v/>
      </c>
      <c r="FF17" s="20">
        <f>$D$9*FF12</f>
        <v/>
      </c>
      <c r="FG17" s="20">
        <f>$D$9*FG12</f>
        <v/>
      </c>
      <c r="FH17" s="20">
        <f>$D$9*FH12</f>
        <v/>
      </c>
      <c r="FI17" s="20">
        <f>$D$9*FI12</f>
        <v/>
      </c>
      <c r="FJ17" s="20">
        <f>$D$9*FJ12</f>
        <v/>
      </c>
      <c r="FK17" s="20">
        <f>$D$9*FK12</f>
        <v/>
      </c>
      <c r="FL17" s="20">
        <f>$D$9*FL12</f>
        <v/>
      </c>
      <c r="FM17" s="20">
        <f>$D$9*FM12</f>
        <v/>
      </c>
      <c r="FN17" s="20">
        <f>$D$9*FN12</f>
        <v/>
      </c>
      <c r="FO17" s="20">
        <f>$D$9*FO12</f>
        <v/>
      </c>
      <c r="FP17" s="20">
        <f>$D$9*FP12</f>
        <v/>
      </c>
      <c r="FQ17" s="20">
        <f>$D$9*FQ12</f>
        <v/>
      </c>
      <c r="FR17" s="20">
        <f>$D$9*FR12</f>
        <v/>
      </c>
      <c r="FS17" s="20">
        <f>$D$9*FS12</f>
        <v/>
      </c>
      <c r="FT17" s="20">
        <f>$D$9*FT12</f>
        <v/>
      </c>
      <c r="FU17" s="20">
        <f>$D$9*FU12</f>
        <v/>
      </c>
      <c r="FV17" s="20">
        <f>$D$9*FV12</f>
        <v/>
      </c>
      <c r="FW17" s="20">
        <f>$D$9*FW12</f>
        <v/>
      </c>
      <c r="FX17" s="20">
        <f>$D$9*FX12</f>
        <v/>
      </c>
      <c r="FY17" s="20">
        <f>$D$9*FY12</f>
        <v/>
      </c>
      <c r="FZ17" s="20">
        <f>$D$9*FZ12</f>
        <v/>
      </c>
      <c r="GA17" s="20">
        <f>$D$9*GA12</f>
        <v/>
      </c>
      <c r="GB17" s="20">
        <f>$D$9*GB12</f>
        <v/>
      </c>
      <c r="GC17" s="20">
        <f>$D$9*GC12</f>
        <v/>
      </c>
      <c r="GD17" s="20">
        <f>$D$9*GD12</f>
        <v/>
      </c>
      <c r="GE17" s="20">
        <f>$D$9*GE12</f>
        <v/>
      </c>
      <c r="GF17" s="20">
        <f>$D$9*GF12</f>
        <v/>
      </c>
      <c r="GG17" s="20">
        <f>$D$9*GG12</f>
        <v/>
      </c>
      <c r="GH17" s="20">
        <f>$D$9*GH12</f>
        <v/>
      </c>
      <c r="GI17" s="20">
        <f>$D$9*GI12</f>
        <v/>
      </c>
      <c r="GJ17" s="20">
        <f>$D$9*GJ12</f>
        <v/>
      </c>
      <c r="GK17" s="20">
        <f>$D$9*GK12</f>
        <v/>
      </c>
      <c r="GL17" s="20">
        <f>$D$9*GL12</f>
        <v/>
      </c>
      <c r="GM17" s="20">
        <f>$D$9*GM12</f>
        <v/>
      </c>
      <c r="GN17" s="20">
        <f>$D$9*GN12</f>
        <v/>
      </c>
      <c r="GO17" s="20">
        <f>$D$9*GO12</f>
        <v/>
      </c>
      <c r="GP17" s="20">
        <f>$D$9*GP12</f>
        <v/>
      </c>
      <c r="GQ17" s="20">
        <f>$D$9*GQ12</f>
        <v/>
      </c>
      <c r="GR17" s="20">
        <f>$D$9*GR12</f>
        <v/>
      </c>
      <c r="GS17" s="20">
        <f>$D$9*GS12</f>
        <v/>
      </c>
      <c r="GT17" s="20">
        <f>$D$9*GT12</f>
        <v/>
      </c>
      <c r="GU17" s="20">
        <f>$D$9*GU12</f>
        <v/>
      </c>
      <c r="GV17" s="20">
        <f>$D$9*GV12</f>
        <v/>
      </c>
      <c r="GW17" s="20">
        <f>$D$9*GW12</f>
        <v/>
      </c>
      <c r="GX17" s="20">
        <f>$D$9*GX12</f>
        <v/>
      </c>
      <c r="GY17" s="20">
        <f>$D$9*GY12</f>
        <v/>
      </c>
      <c r="GZ17" s="20">
        <f>$D$9*GZ12</f>
        <v/>
      </c>
      <c r="HA17" s="20">
        <f>$D$9*HA12</f>
        <v/>
      </c>
      <c r="HB17" s="20">
        <f>$D$9*HB12</f>
        <v/>
      </c>
      <c r="HC17" s="20">
        <f>$D$9*HC12</f>
        <v/>
      </c>
      <c r="HD17" s="20">
        <f>$D$9*HD12</f>
        <v/>
      </c>
      <c r="HE17" s="20">
        <f>$D$9*HE12</f>
        <v/>
      </c>
      <c r="HF17" s="20">
        <f>$D$9*HF12</f>
        <v/>
      </c>
      <c r="HG17" s="20">
        <f>$D$9*HG12</f>
        <v/>
      </c>
      <c r="HH17" s="20">
        <f>$D$9*HH12</f>
        <v/>
      </c>
      <c r="HI17" s="20">
        <f>$D$9*HI12</f>
        <v/>
      </c>
      <c r="HJ17" s="20">
        <f>$D$9*HJ12</f>
        <v/>
      </c>
      <c r="HK17" s="20">
        <f>$D$9*HK12</f>
        <v/>
      </c>
      <c r="HL17" s="20">
        <f>$D$9*HL12</f>
        <v/>
      </c>
      <c r="HM17" s="20">
        <f>$D$9*HM12</f>
        <v/>
      </c>
      <c r="HN17" s="20">
        <f>$D$9*HN12</f>
        <v/>
      </c>
      <c r="HO17" s="20">
        <f>$D$9*HO12</f>
        <v/>
      </c>
      <c r="HP17" s="20">
        <f>$D$9*HP12</f>
        <v/>
      </c>
      <c r="HQ17" s="20">
        <f>$D$9*HQ12</f>
        <v/>
      </c>
      <c r="HR17" s="20">
        <f>$D$9*HR12</f>
        <v/>
      </c>
      <c r="HS17" s="20">
        <f>$D$9*HS12</f>
        <v/>
      </c>
      <c r="HT17" s="20">
        <f>$D$9*HT12</f>
        <v/>
      </c>
      <c r="HU17" s="20">
        <f>$D$9*HU12</f>
        <v/>
      </c>
      <c r="HV17" s="20">
        <f>$D$9*HV12</f>
        <v/>
      </c>
      <c r="HW17" s="20">
        <f>$D$9*HW12</f>
        <v/>
      </c>
      <c r="HX17" s="20">
        <f>$D$9*HX12</f>
        <v/>
      </c>
      <c r="HY17" s="20">
        <f>$D$9*HY12</f>
        <v/>
      </c>
      <c r="HZ17" s="20">
        <f>$D$9*HZ12</f>
        <v/>
      </c>
      <c r="IA17" s="20">
        <f>$D$9*IA12</f>
        <v/>
      </c>
      <c r="IB17" s="20">
        <f>$D$9*IB12</f>
        <v/>
      </c>
      <c r="IC17" s="20">
        <f>$D$9*IC12</f>
        <v/>
      </c>
      <c r="ID17" s="20">
        <f>$D$9*ID12</f>
        <v/>
      </c>
      <c r="IE17" s="20">
        <f>$D$9*IE12</f>
        <v/>
      </c>
      <c r="IF17" s="20">
        <f>$D$9*IF12</f>
        <v/>
      </c>
      <c r="IG17" s="20">
        <f>$D$9*IG12</f>
        <v/>
      </c>
      <c r="IH17" s="20">
        <f>$D$9*IH12</f>
        <v/>
      </c>
      <c r="II17" s="20">
        <f>$D$9*II12</f>
        <v/>
      </c>
      <c r="IJ17" s="20">
        <f>$D$9*IJ12</f>
        <v/>
      </c>
      <c r="IK17" s="20">
        <f>$D$9*IK12</f>
        <v/>
      </c>
      <c r="IL17" s="20">
        <f>$D$9*IL12</f>
        <v/>
      </c>
      <c r="IM17" s="20">
        <f>$D$9*IM12</f>
        <v/>
      </c>
      <c r="IN17" s="20">
        <f>$D$9*IN12</f>
        <v/>
      </c>
      <c r="IO17" s="20">
        <f>$D$9*IO12</f>
        <v/>
      </c>
      <c r="IP17" s="20">
        <f>$D$9*IP12</f>
        <v/>
      </c>
      <c r="IQ17" s="20">
        <f>$D$9*IQ12</f>
        <v/>
      </c>
      <c r="IR17" s="20">
        <f>$D$9*IR12</f>
        <v/>
      </c>
      <c r="IS17" s="20">
        <f>$D$9*IS12</f>
        <v/>
      </c>
      <c r="IT17" s="20">
        <f>$D$9*IT12</f>
        <v/>
      </c>
      <c r="IU17" s="20">
        <f>$D$9*IU12</f>
        <v/>
      </c>
      <c r="IV17" s="20">
        <f>$D$9*IV12</f>
        <v/>
      </c>
      <c r="IW17" s="20">
        <f>$D$9*IW12</f>
        <v/>
      </c>
      <c r="IX17" s="20">
        <f>$D$9*IX12</f>
        <v/>
      </c>
      <c r="IY17" s="20">
        <f>$D$9*IY12</f>
        <v/>
      </c>
      <c r="IZ17" s="20">
        <f>$D$9*IZ12</f>
        <v/>
      </c>
      <c r="JA17" s="20">
        <f>$D$9*JA12</f>
        <v/>
      </c>
      <c r="JB17" s="20">
        <f>$D$9*JB12</f>
        <v/>
      </c>
      <c r="JC17" s="20">
        <f>$D$9*JC12</f>
        <v/>
      </c>
      <c r="JD17" s="20">
        <f>$D$9*JD12</f>
        <v/>
      </c>
      <c r="JE17" s="20">
        <f>$D$9*JE12</f>
        <v/>
      </c>
      <c r="JF17" s="20">
        <f>$D$9*JF12</f>
        <v/>
      </c>
      <c r="JG17" s="20">
        <f>$D$9*JG12</f>
        <v/>
      </c>
      <c r="JH17" s="20">
        <f>$D$9*JH12</f>
        <v/>
      </c>
      <c r="JI17" s="20">
        <f>$D$9*JI12</f>
        <v/>
      </c>
      <c r="JJ17" s="20">
        <f>$D$9*JJ12</f>
        <v/>
      </c>
      <c r="JK17" s="20">
        <f>$D$9*JK12</f>
        <v/>
      </c>
      <c r="JL17" s="20">
        <f>$D$9*JL12</f>
        <v/>
      </c>
      <c r="JM17" s="20">
        <f>$D$9*JM12</f>
        <v/>
      </c>
      <c r="JN17" s="20">
        <f>$D$9*JN12</f>
        <v/>
      </c>
      <c r="JO17" s="20">
        <f>$D$9*JO12</f>
        <v/>
      </c>
      <c r="JP17" s="20">
        <f>$D$9*JP12</f>
        <v/>
      </c>
      <c r="JQ17" s="20">
        <f>$D$9*JQ12</f>
        <v/>
      </c>
      <c r="JR17" s="20">
        <f>$D$9*JR12</f>
        <v/>
      </c>
      <c r="JS17" s="20">
        <f>$D$9*JS12</f>
        <v/>
      </c>
      <c r="JT17" s="20">
        <f>$D$9*JT12</f>
        <v/>
      </c>
      <c r="JU17" s="20">
        <f>$D$9*JU12</f>
        <v/>
      </c>
      <c r="JV17" s="20">
        <f>$D$9*JV12</f>
        <v/>
      </c>
      <c r="JW17" s="20">
        <f>$D$9*JW12</f>
        <v/>
      </c>
      <c r="JX17" s="20">
        <f>$D$9*JX12</f>
        <v/>
      </c>
      <c r="JY17" s="20">
        <f>$D$9*JY12</f>
        <v/>
      </c>
      <c r="JZ17" s="20">
        <f>$D$9*JZ12</f>
        <v/>
      </c>
      <c r="KA17" s="20">
        <f>$D$9*KA12</f>
        <v/>
      </c>
      <c r="KB17" s="20">
        <f>$D$9*KB12</f>
        <v/>
      </c>
      <c r="KC17" s="20">
        <f>$D$9*KC12</f>
        <v/>
      </c>
      <c r="KD17" s="20">
        <f>$D$9*KD12</f>
        <v/>
      </c>
      <c r="KE17" s="20">
        <f>$D$9*KE12</f>
        <v/>
      </c>
      <c r="KF17" s="20">
        <f>$D$9*KF12</f>
        <v/>
      </c>
      <c r="KG17" s="20">
        <f>$D$9*KG12</f>
        <v/>
      </c>
      <c r="KH17" s="20">
        <f>$D$9*KH12</f>
        <v/>
      </c>
      <c r="KI17" s="20">
        <f>$D$9*KI12</f>
        <v/>
      </c>
      <c r="KJ17" s="20">
        <f>$D$9*KJ12</f>
        <v/>
      </c>
      <c r="KK17" s="20">
        <f>$D$9*KK12</f>
        <v/>
      </c>
      <c r="KL17" s="20">
        <f>$D$9*KL12</f>
        <v/>
      </c>
      <c r="KM17" s="20">
        <f>$D$9*KM12</f>
        <v/>
      </c>
      <c r="KN17" s="20">
        <f>$D$9*KN12</f>
        <v/>
      </c>
      <c r="KO17" s="20">
        <f>$D$9*KO12</f>
        <v/>
      </c>
      <c r="KP17" s="20">
        <f>$D$9*KP12</f>
        <v/>
      </c>
      <c r="KQ17" s="20">
        <f>$D$9*KQ12</f>
        <v/>
      </c>
      <c r="KR17" s="20">
        <f>$D$9*KR12</f>
        <v/>
      </c>
      <c r="KS17" s="20">
        <f>$D$9*KS12</f>
        <v/>
      </c>
      <c r="KT17" s="20">
        <f>$D$9*KT12</f>
        <v/>
      </c>
      <c r="KU17" s="20">
        <f>$D$9*KU12</f>
        <v/>
      </c>
      <c r="KV17" s="20">
        <f>$D$9*KV12</f>
        <v/>
      </c>
      <c r="KW17" s="20">
        <f>$D$9*KW12</f>
        <v/>
      </c>
      <c r="KX17" s="20">
        <f>$D$9*KX12</f>
        <v/>
      </c>
      <c r="KY17" s="20">
        <f>$D$9*KY12</f>
        <v/>
      </c>
      <c r="KZ17" s="20">
        <f>$D$9*KZ12</f>
        <v/>
      </c>
      <c r="LA17" s="20">
        <f>$D$9*LA12</f>
        <v/>
      </c>
      <c r="LB17" s="20">
        <f>$D$9*LB12</f>
        <v/>
      </c>
      <c r="LC17" s="20">
        <f>$D$9*LC12</f>
        <v/>
      </c>
      <c r="LD17" s="20">
        <f>$D$9*LD12</f>
        <v/>
      </c>
      <c r="LE17" s="20">
        <f>$D$9*LE12</f>
        <v/>
      </c>
      <c r="LF17" s="20">
        <f>$D$9*LF12</f>
        <v/>
      </c>
      <c r="LG17" s="20">
        <f>$D$9*LG12</f>
        <v/>
      </c>
      <c r="LH17" s="20">
        <f>$D$9*LH12</f>
        <v/>
      </c>
      <c r="LI17" s="20">
        <f>$D$9*LI12</f>
        <v/>
      </c>
    </row>
    <row r="18">
      <c r="B18" s="22" t="inlineStr">
        <is>
          <t>Saldo del intangible</t>
        </is>
      </c>
      <c r="D18" s="20">
        <f>0+D16-D17</f>
        <v/>
      </c>
      <c r="E18" s="20">
        <f>D18+E16-E17</f>
        <v/>
      </c>
      <c r="F18" s="20">
        <f>E18+F16-F17</f>
        <v/>
      </c>
      <c r="G18" s="20">
        <f>F18+G16-G17</f>
        <v/>
      </c>
      <c r="H18" s="20">
        <f>G18+H16-H17</f>
        <v/>
      </c>
      <c r="I18" s="20">
        <f>H18+I16-I17</f>
        <v/>
      </c>
      <c r="J18" s="20">
        <f>I18+J16-J17</f>
        <v/>
      </c>
      <c r="K18" s="20">
        <f>J18+K16-K17</f>
        <v/>
      </c>
      <c r="L18" s="20">
        <f>K18+L16-L17</f>
        <v/>
      </c>
      <c r="M18" s="20">
        <f>L18+M16-M17</f>
        <v/>
      </c>
      <c r="N18" s="20">
        <f>M18+N16-N17</f>
        <v/>
      </c>
      <c r="O18" s="20">
        <f>N18+O16-O17</f>
        <v/>
      </c>
      <c r="P18" s="20">
        <f>O18+P16-P17</f>
        <v/>
      </c>
      <c r="Q18" s="20">
        <f>P18+Q16-Q17</f>
        <v/>
      </c>
      <c r="R18" s="20">
        <f>Q18+R16-R17</f>
        <v/>
      </c>
      <c r="S18" s="20">
        <f>R18+S16-S17</f>
        <v/>
      </c>
      <c r="T18" s="20">
        <f>S18+T16-T17</f>
        <v/>
      </c>
      <c r="U18" s="20">
        <f>T18+U16-U17</f>
        <v/>
      </c>
      <c r="V18" s="20">
        <f>U18+V16-V17</f>
        <v/>
      </c>
      <c r="W18" s="20">
        <f>V18+W16-W17</f>
        <v/>
      </c>
      <c r="X18" s="20">
        <f>W18+X16-X17</f>
        <v/>
      </c>
      <c r="Y18" s="20">
        <f>X18+Y16-Y17</f>
        <v/>
      </c>
      <c r="Z18" s="20">
        <f>Y18+Z16-Z17</f>
        <v/>
      </c>
      <c r="AA18" s="20">
        <f>Z18+AA16-AA17</f>
        <v/>
      </c>
      <c r="AB18" s="20">
        <f>AA18+AB16-AB17</f>
        <v/>
      </c>
      <c r="AC18" s="20">
        <f>AB18+AC16-AC17</f>
        <v/>
      </c>
      <c r="AD18" s="20">
        <f>AC18+AD16-AD17</f>
        <v/>
      </c>
      <c r="AE18" s="20">
        <f>AD18+AE16-AE17</f>
        <v/>
      </c>
      <c r="AF18" s="20">
        <f>AE18+AF16-AF17</f>
        <v/>
      </c>
      <c r="AG18" s="20">
        <f>AF18+AG16-AG17</f>
        <v/>
      </c>
      <c r="AH18" s="20">
        <f>AG18+AH16-AH17</f>
        <v/>
      </c>
      <c r="AI18" s="20">
        <f>AH18+AI16-AI17</f>
        <v/>
      </c>
      <c r="AJ18" s="20">
        <f>AI18+AJ16-AJ17</f>
        <v/>
      </c>
      <c r="AK18" s="20">
        <f>AJ18+AK16-AK17</f>
        <v/>
      </c>
      <c r="AL18" s="20">
        <f>AK18+AL16-AL17</f>
        <v/>
      </c>
      <c r="AM18" s="20">
        <f>AL18+AM16-AM17</f>
        <v/>
      </c>
      <c r="AN18" s="20">
        <f>AM18+AN16-AN17</f>
        <v/>
      </c>
      <c r="AO18" s="20">
        <f>AN18+AO16-AO17</f>
        <v/>
      </c>
      <c r="AP18" s="20">
        <f>AO18+AP16-AP17</f>
        <v/>
      </c>
      <c r="AQ18" s="20">
        <f>AP18+AQ16-AQ17</f>
        <v/>
      </c>
      <c r="AR18" s="20">
        <f>AQ18+AR16-AR17</f>
        <v/>
      </c>
      <c r="AS18" s="20">
        <f>AR18+AS16-AS17</f>
        <v/>
      </c>
      <c r="AT18" s="20">
        <f>AS18+AT16-AT17</f>
        <v/>
      </c>
      <c r="AU18" s="20">
        <f>AT18+AU16-AU17</f>
        <v/>
      </c>
      <c r="AV18" s="20">
        <f>AU18+AV16-AV17</f>
        <v/>
      </c>
      <c r="AW18" s="20">
        <f>AV18+AW16-AW17</f>
        <v/>
      </c>
      <c r="AX18" s="20">
        <f>AW18+AX16-AX17</f>
        <v/>
      </c>
      <c r="AY18" s="20">
        <f>AX18+AY16-AY17</f>
        <v/>
      </c>
      <c r="AZ18" s="20">
        <f>AY18+AZ16-AZ17</f>
        <v/>
      </c>
      <c r="BA18" s="20">
        <f>AZ18+BA16-BA17</f>
        <v/>
      </c>
      <c r="BB18" s="20">
        <f>BA18+BB16-BB17</f>
        <v/>
      </c>
      <c r="BC18" s="20">
        <f>BB18+BC16-BC17</f>
        <v/>
      </c>
      <c r="BD18" s="20">
        <f>BC18+BD16-BD17</f>
        <v/>
      </c>
      <c r="BE18" s="20">
        <f>BD18+BE16-BE17</f>
        <v/>
      </c>
      <c r="BF18" s="20">
        <f>BE18+BF16-BF17</f>
        <v/>
      </c>
      <c r="BG18" s="20">
        <f>BF18+BG16-BG17</f>
        <v/>
      </c>
      <c r="BH18" s="20">
        <f>BG18+BH16-BH17</f>
        <v/>
      </c>
      <c r="BI18" s="20">
        <f>BH18+BI16-BI17</f>
        <v/>
      </c>
      <c r="BJ18" s="20">
        <f>BI18+BJ16-BJ17</f>
        <v/>
      </c>
      <c r="BK18" s="20">
        <f>BJ18+BK16-BK17</f>
        <v/>
      </c>
      <c r="BL18" s="20">
        <f>BK18+BL16-BL17</f>
        <v/>
      </c>
      <c r="BM18" s="20">
        <f>BL18+BM16-BM17</f>
        <v/>
      </c>
      <c r="BN18" s="20">
        <f>BM18+BN16-BN17</f>
        <v/>
      </c>
      <c r="BO18" s="20">
        <f>BN18+BO16-BO17</f>
        <v/>
      </c>
      <c r="BP18" s="20">
        <f>BO18+BP16-BP17</f>
        <v/>
      </c>
      <c r="BQ18" s="20">
        <f>BP18+BQ16-BQ17</f>
        <v/>
      </c>
      <c r="BR18" s="20">
        <f>BQ18+BR16-BR17</f>
        <v/>
      </c>
      <c r="BS18" s="20">
        <f>BR18+BS16-BS17</f>
        <v/>
      </c>
      <c r="BT18" s="20">
        <f>BS18+BT16-BT17</f>
        <v/>
      </c>
      <c r="BU18" s="20">
        <f>BT18+BU16-BU17</f>
        <v/>
      </c>
      <c r="BV18" s="20">
        <f>BU18+BV16-BV17</f>
        <v/>
      </c>
      <c r="BW18" s="20">
        <f>BV18+BW16-BW17</f>
        <v/>
      </c>
      <c r="BX18" s="20">
        <f>BW18+BX16-BX17</f>
        <v/>
      </c>
      <c r="BY18" s="20">
        <f>BX18+BY16-BY17</f>
        <v/>
      </c>
      <c r="BZ18" s="20">
        <f>BY18+BZ16-BZ17</f>
        <v/>
      </c>
      <c r="CA18" s="20">
        <f>BZ18+CA16-CA17</f>
        <v/>
      </c>
      <c r="CB18" s="20">
        <f>CA18+CB16-CB17</f>
        <v/>
      </c>
      <c r="CC18" s="20">
        <f>CB18+CC16-CC17</f>
        <v/>
      </c>
      <c r="CD18" s="20">
        <f>CC18+CD16-CD17</f>
        <v/>
      </c>
      <c r="CE18" s="20">
        <f>CD18+CE16-CE17</f>
        <v/>
      </c>
      <c r="CF18" s="20">
        <f>CE18+CF16-CF17</f>
        <v/>
      </c>
      <c r="CG18" s="20">
        <f>CF18+CG16-CG17</f>
        <v/>
      </c>
      <c r="CH18" s="20">
        <f>CG18+CH16-CH17</f>
        <v/>
      </c>
      <c r="CI18" s="20">
        <f>CH18+CI16-CI17</f>
        <v/>
      </c>
      <c r="CJ18" s="20">
        <f>CI18+CJ16-CJ17</f>
        <v/>
      </c>
      <c r="CK18" s="20">
        <f>CJ18+CK16-CK17</f>
        <v/>
      </c>
      <c r="CL18" s="20">
        <f>CK18+CL16-CL17</f>
        <v/>
      </c>
      <c r="CM18" s="20">
        <f>CL18+CM16-CM17</f>
        <v/>
      </c>
      <c r="CN18" s="20">
        <f>CM18+CN16-CN17</f>
        <v/>
      </c>
      <c r="CO18" s="20">
        <f>CN18+CO16-CO17</f>
        <v/>
      </c>
      <c r="CP18" s="20">
        <f>CO18+CP16-CP17</f>
        <v/>
      </c>
      <c r="CQ18" s="20">
        <f>CP18+CQ16-CQ17</f>
        <v/>
      </c>
      <c r="CR18" s="20">
        <f>CQ18+CR16-CR17</f>
        <v/>
      </c>
      <c r="CS18" s="20">
        <f>CR18+CS16-CS17</f>
        <v/>
      </c>
      <c r="CT18" s="20">
        <f>CS18+CT16-CT17</f>
        <v/>
      </c>
      <c r="CU18" s="20">
        <f>CT18+CU16-CU17</f>
        <v/>
      </c>
      <c r="CV18" s="20">
        <f>CU18+CV16-CV17</f>
        <v/>
      </c>
      <c r="CW18" s="20">
        <f>CV18+CW16-CW17</f>
        <v/>
      </c>
      <c r="CX18" s="20">
        <f>CW18+CX16-CX17</f>
        <v/>
      </c>
      <c r="CY18" s="20">
        <f>CX18+CY16-CY17</f>
        <v/>
      </c>
      <c r="CZ18" s="20">
        <f>CY18+CZ16-CZ17</f>
        <v/>
      </c>
      <c r="DA18" s="20">
        <f>CZ18+DA16-DA17</f>
        <v/>
      </c>
      <c r="DB18" s="20">
        <f>DA18+DB16-DB17</f>
        <v/>
      </c>
      <c r="DC18" s="20">
        <f>DB18+DC16-DC17</f>
        <v/>
      </c>
      <c r="DD18" s="20">
        <f>DC18+DD16-DD17</f>
        <v/>
      </c>
      <c r="DE18" s="20">
        <f>DD18+DE16-DE17</f>
        <v/>
      </c>
      <c r="DF18" s="20">
        <f>DE18+DF16-DF17</f>
        <v/>
      </c>
      <c r="DG18" s="20">
        <f>DF18+DG16-DG17</f>
        <v/>
      </c>
      <c r="DH18" s="20">
        <f>DG18+DH16-DH17</f>
        <v/>
      </c>
      <c r="DI18" s="20">
        <f>DH18+DI16-DI17</f>
        <v/>
      </c>
      <c r="DJ18" s="20">
        <f>DI18+DJ16-DJ17</f>
        <v/>
      </c>
      <c r="DK18" s="20">
        <f>DJ18+DK16-DK17</f>
        <v/>
      </c>
      <c r="DL18" s="20">
        <f>DK18+DL16-DL17</f>
        <v/>
      </c>
      <c r="DM18" s="20">
        <f>DL18+DM16-DM17</f>
        <v/>
      </c>
      <c r="DN18" s="20">
        <f>DM18+DN16-DN17</f>
        <v/>
      </c>
      <c r="DO18" s="20">
        <f>DN18+DO16-DO17</f>
        <v/>
      </c>
      <c r="DP18" s="20">
        <f>DO18+DP16-DP17</f>
        <v/>
      </c>
      <c r="DQ18" s="20">
        <f>DP18+DQ16-DQ17</f>
        <v/>
      </c>
      <c r="DR18" s="20">
        <f>DQ18+DR16-DR17</f>
        <v/>
      </c>
      <c r="DS18" s="20">
        <f>DR18+DS16-DS17</f>
        <v/>
      </c>
      <c r="DT18" s="20">
        <f>DS18+DT16-DT17</f>
        <v/>
      </c>
      <c r="DU18" s="20">
        <f>DT18+DU16-DU17</f>
        <v/>
      </c>
      <c r="DV18" s="20">
        <f>DU18+DV16-DV17</f>
        <v/>
      </c>
      <c r="DW18" s="20">
        <f>DV18+DW16-DW17</f>
        <v/>
      </c>
      <c r="DX18" s="20">
        <f>DW18+DX16-DX17</f>
        <v/>
      </c>
      <c r="DY18" s="20">
        <f>DX18+DY16-DY17</f>
        <v/>
      </c>
      <c r="DZ18" s="20">
        <f>DY18+DZ16-DZ17</f>
        <v/>
      </c>
      <c r="EA18" s="20">
        <f>DZ18+EA16-EA17</f>
        <v/>
      </c>
      <c r="EB18" s="20">
        <f>EA18+EB16-EB17</f>
        <v/>
      </c>
      <c r="EC18" s="20">
        <f>EB18+EC16-EC17</f>
        <v/>
      </c>
      <c r="ED18" s="20">
        <f>EC18+ED16-ED17</f>
        <v/>
      </c>
      <c r="EE18" s="20">
        <f>ED18+EE16-EE17</f>
        <v/>
      </c>
      <c r="EF18" s="20">
        <f>EE18+EF16-EF17</f>
        <v/>
      </c>
      <c r="EG18" s="20">
        <f>EF18+EG16-EG17</f>
        <v/>
      </c>
      <c r="EH18" s="20">
        <f>EG18+EH16-EH17</f>
        <v/>
      </c>
      <c r="EI18" s="20">
        <f>EH18+EI16-EI17</f>
        <v/>
      </c>
      <c r="EJ18" s="20">
        <f>EI18+EJ16-EJ17</f>
        <v/>
      </c>
      <c r="EK18" s="20">
        <f>EJ18+EK16-EK17</f>
        <v/>
      </c>
      <c r="EL18" s="20">
        <f>EK18+EL16-EL17</f>
        <v/>
      </c>
      <c r="EM18" s="20">
        <f>EL18+EM16-EM17</f>
        <v/>
      </c>
      <c r="EN18" s="20">
        <f>EM18+EN16-EN17</f>
        <v/>
      </c>
      <c r="EO18" s="20">
        <f>EN18+EO16-EO17</f>
        <v/>
      </c>
      <c r="EP18" s="20">
        <f>EO18+EP16-EP17</f>
        <v/>
      </c>
      <c r="EQ18" s="20">
        <f>EP18+EQ16-EQ17</f>
        <v/>
      </c>
      <c r="ER18" s="20">
        <f>EQ18+ER16-ER17</f>
        <v/>
      </c>
      <c r="ES18" s="20">
        <f>ER18+ES16-ES17</f>
        <v/>
      </c>
      <c r="ET18" s="20">
        <f>ES18+ET16-ET17</f>
        <v/>
      </c>
      <c r="EU18" s="20">
        <f>ET18+EU16-EU17</f>
        <v/>
      </c>
      <c r="EV18" s="20">
        <f>EU18+EV16-EV17</f>
        <v/>
      </c>
      <c r="EW18" s="20">
        <f>EV18+EW16-EW17</f>
        <v/>
      </c>
      <c r="EX18" s="20">
        <f>EW18+EX16-EX17</f>
        <v/>
      </c>
      <c r="EY18" s="20">
        <f>EX18+EY16-EY17</f>
        <v/>
      </c>
      <c r="EZ18" s="20">
        <f>EY18+EZ16-EZ17</f>
        <v/>
      </c>
      <c r="FA18" s="20">
        <f>EZ18+FA16-FA17</f>
        <v/>
      </c>
      <c r="FB18" s="20">
        <f>FA18+FB16-FB17</f>
        <v/>
      </c>
      <c r="FC18" s="20">
        <f>FB18+FC16-FC17</f>
        <v/>
      </c>
      <c r="FD18" s="20">
        <f>FC18+FD16-FD17</f>
        <v/>
      </c>
      <c r="FE18" s="20">
        <f>FD18+FE16-FE17</f>
        <v/>
      </c>
      <c r="FF18" s="20">
        <f>FE18+FF16-FF17</f>
        <v/>
      </c>
      <c r="FG18" s="20">
        <f>FF18+FG16-FG17</f>
        <v/>
      </c>
      <c r="FH18" s="20">
        <f>FG18+FH16-FH17</f>
        <v/>
      </c>
      <c r="FI18" s="20">
        <f>FH18+FI16-FI17</f>
        <v/>
      </c>
      <c r="FJ18" s="20">
        <f>FI18+FJ16-FJ17</f>
        <v/>
      </c>
      <c r="FK18" s="20">
        <f>FJ18+FK16-FK17</f>
        <v/>
      </c>
      <c r="FL18" s="20">
        <f>FK18+FL16-FL17</f>
        <v/>
      </c>
      <c r="FM18" s="20">
        <f>FL18+FM16-FM17</f>
        <v/>
      </c>
      <c r="FN18" s="20">
        <f>FM18+FN16-FN17</f>
        <v/>
      </c>
      <c r="FO18" s="20">
        <f>FN18+FO16-FO17</f>
        <v/>
      </c>
      <c r="FP18" s="20">
        <f>FO18+FP16-FP17</f>
        <v/>
      </c>
      <c r="FQ18" s="20">
        <f>FP18+FQ16-FQ17</f>
        <v/>
      </c>
      <c r="FR18" s="20">
        <f>FQ18+FR16-FR17</f>
        <v/>
      </c>
      <c r="FS18" s="20">
        <f>FR18+FS16-FS17</f>
        <v/>
      </c>
      <c r="FT18" s="20">
        <f>FS18+FT16-FT17</f>
        <v/>
      </c>
      <c r="FU18" s="20">
        <f>FT18+FU16-FU17</f>
        <v/>
      </c>
      <c r="FV18" s="20">
        <f>FU18+FV16-FV17</f>
        <v/>
      </c>
      <c r="FW18" s="20">
        <f>FV18+FW16-FW17</f>
        <v/>
      </c>
      <c r="FX18" s="20">
        <f>FW18+FX16-FX17</f>
        <v/>
      </c>
      <c r="FY18" s="20">
        <f>FX18+FY16-FY17</f>
        <v/>
      </c>
      <c r="FZ18" s="20">
        <f>FY18+FZ16-FZ17</f>
        <v/>
      </c>
      <c r="GA18" s="20">
        <f>FZ18+GA16-GA17</f>
        <v/>
      </c>
      <c r="GB18" s="20">
        <f>GA18+GB16-GB17</f>
        <v/>
      </c>
      <c r="GC18" s="20">
        <f>GB18+GC16-GC17</f>
        <v/>
      </c>
      <c r="GD18" s="20">
        <f>GC18+GD16-GD17</f>
        <v/>
      </c>
      <c r="GE18" s="20">
        <f>GD18+GE16-GE17</f>
        <v/>
      </c>
      <c r="GF18" s="20">
        <f>GE18+GF16-GF17</f>
        <v/>
      </c>
      <c r="GG18" s="20">
        <f>GF18+GG16-GG17</f>
        <v/>
      </c>
      <c r="GH18" s="20">
        <f>GG18+GH16-GH17</f>
        <v/>
      </c>
      <c r="GI18" s="20">
        <f>GH18+GI16-GI17</f>
        <v/>
      </c>
      <c r="GJ18" s="20">
        <f>GI18+GJ16-GJ17</f>
        <v/>
      </c>
      <c r="GK18" s="20">
        <f>GJ18+GK16-GK17</f>
        <v/>
      </c>
      <c r="GL18" s="20">
        <f>GK18+GL16-GL17</f>
        <v/>
      </c>
      <c r="GM18" s="20">
        <f>GL18+GM16-GM17</f>
        <v/>
      </c>
      <c r="GN18" s="20">
        <f>GM18+GN16-GN17</f>
        <v/>
      </c>
      <c r="GO18" s="20">
        <f>GN18+GO16-GO17</f>
        <v/>
      </c>
      <c r="GP18" s="20">
        <f>GO18+GP16-GP17</f>
        <v/>
      </c>
      <c r="GQ18" s="20">
        <f>GP18+GQ16-GQ17</f>
        <v/>
      </c>
      <c r="GR18" s="20">
        <f>GQ18+GR16-GR17</f>
        <v/>
      </c>
      <c r="GS18" s="20">
        <f>GR18+GS16-GS17</f>
        <v/>
      </c>
      <c r="GT18" s="20">
        <f>GS18+GT16-GT17</f>
        <v/>
      </c>
      <c r="GU18" s="20">
        <f>GT18+GU16-GU17</f>
        <v/>
      </c>
      <c r="GV18" s="20">
        <f>GU18+GV16-GV17</f>
        <v/>
      </c>
      <c r="GW18" s="20">
        <f>GV18+GW16-GW17</f>
        <v/>
      </c>
      <c r="GX18" s="20">
        <f>GW18+GX16-GX17</f>
        <v/>
      </c>
      <c r="GY18" s="20">
        <f>GX18+GY16-GY17</f>
        <v/>
      </c>
      <c r="GZ18" s="20">
        <f>GY18+GZ16-GZ17</f>
        <v/>
      </c>
      <c r="HA18" s="20">
        <f>GZ18+HA16-HA17</f>
        <v/>
      </c>
      <c r="HB18" s="20">
        <f>HA18+HB16-HB17</f>
        <v/>
      </c>
      <c r="HC18" s="20">
        <f>HB18+HC16-HC17</f>
        <v/>
      </c>
      <c r="HD18" s="20">
        <f>HC18+HD16-HD17</f>
        <v/>
      </c>
      <c r="HE18" s="20">
        <f>HD18+HE16-HE17</f>
        <v/>
      </c>
      <c r="HF18" s="20">
        <f>HE18+HF16-HF17</f>
        <v/>
      </c>
      <c r="HG18" s="20">
        <f>HF18+HG16-HG17</f>
        <v/>
      </c>
      <c r="HH18" s="20">
        <f>HG18+HH16-HH17</f>
        <v/>
      </c>
      <c r="HI18" s="20">
        <f>HH18+HI16-HI17</f>
        <v/>
      </c>
      <c r="HJ18" s="20">
        <f>HI18+HJ16-HJ17</f>
        <v/>
      </c>
      <c r="HK18" s="20">
        <f>HJ18+HK16-HK17</f>
        <v/>
      </c>
      <c r="HL18" s="20">
        <f>HK18+HL16-HL17</f>
        <v/>
      </c>
      <c r="HM18" s="20">
        <f>HL18+HM16-HM17</f>
        <v/>
      </c>
      <c r="HN18" s="20">
        <f>HM18+HN16-HN17</f>
        <v/>
      </c>
      <c r="HO18" s="20">
        <f>HN18+HO16-HO17</f>
        <v/>
      </c>
      <c r="HP18" s="20">
        <f>HO18+HP16-HP17</f>
        <v/>
      </c>
      <c r="HQ18" s="20">
        <f>HP18+HQ16-HQ17</f>
        <v/>
      </c>
      <c r="HR18" s="20">
        <f>HQ18+HR16-HR17</f>
        <v/>
      </c>
      <c r="HS18" s="20">
        <f>HR18+HS16-HS17</f>
        <v/>
      </c>
      <c r="HT18" s="20">
        <f>HS18+HT16-HT17</f>
        <v/>
      </c>
      <c r="HU18" s="20">
        <f>HT18+HU16-HU17</f>
        <v/>
      </c>
      <c r="HV18" s="20">
        <f>HU18+HV16-HV17</f>
        <v/>
      </c>
      <c r="HW18" s="20">
        <f>HV18+HW16-HW17</f>
        <v/>
      </c>
      <c r="HX18" s="20">
        <f>HW18+HX16-HX17</f>
        <v/>
      </c>
      <c r="HY18" s="20">
        <f>HX18+HY16-HY17</f>
        <v/>
      </c>
      <c r="HZ18" s="20">
        <f>HY18+HZ16-HZ17</f>
        <v/>
      </c>
      <c r="IA18" s="20">
        <f>HZ18+IA16-IA17</f>
        <v/>
      </c>
      <c r="IB18" s="20">
        <f>IA18+IB16-IB17</f>
        <v/>
      </c>
      <c r="IC18" s="20">
        <f>IB18+IC16-IC17</f>
        <v/>
      </c>
      <c r="ID18" s="20">
        <f>IC18+ID16-ID17</f>
        <v/>
      </c>
      <c r="IE18" s="20">
        <f>ID18+IE16-IE17</f>
        <v/>
      </c>
      <c r="IF18" s="20">
        <f>IE18+IF16-IF17</f>
        <v/>
      </c>
      <c r="IG18" s="20">
        <f>IF18+IG16-IG17</f>
        <v/>
      </c>
      <c r="IH18" s="20">
        <f>IG18+IH16-IH17</f>
        <v/>
      </c>
      <c r="II18" s="20">
        <f>IH18+II16-II17</f>
        <v/>
      </c>
      <c r="IJ18" s="20">
        <f>II18+IJ16-IJ17</f>
        <v/>
      </c>
      <c r="IK18" s="20">
        <f>IJ18+IK16-IK17</f>
        <v/>
      </c>
      <c r="IL18" s="20">
        <f>IK18+IL16-IL17</f>
        <v/>
      </c>
      <c r="IM18" s="20">
        <f>IL18+IM16-IM17</f>
        <v/>
      </c>
      <c r="IN18" s="20">
        <f>IM18+IN16-IN17</f>
        <v/>
      </c>
      <c r="IO18" s="20">
        <f>IN18+IO16-IO17</f>
        <v/>
      </c>
      <c r="IP18" s="20">
        <f>IO18+IP16-IP17</f>
        <v/>
      </c>
      <c r="IQ18" s="20">
        <f>IP18+IQ16-IQ17</f>
        <v/>
      </c>
      <c r="IR18" s="20">
        <f>IQ18+IR16-IR17</f>
        <v/>
      </c>
      <c r="IS18" s="20">
        <f>IR18+IS16-IS17</f>
        <v/>
      </c>
      <c r="IT18" s="20">
        <f>IS18+IT16-IT17</f>
        <v/>
      </c>
      <c r="IU18" s="20">
        <f>IT18+IU16-IU17</f>
        <v/>
      </c>
      <c r="IV18" s="20">
        <f>IU18+IV16-IV17</f>
        <v/>
      </c>
      <c r="IW18" s="20">
        <f>IV18+IW16-IW17</f>
        <v/>
      </c>
      <c r="IX18" s="20">
        <f>IW18+IX16-IX17</f>
        <v/>
      </c>
      <c r="IY18" s="20">
        <f>IX18+IY16-IY17</f>
        <v/>
      </c>
      <c r="IZ18" s="20">
        <f>IY18+IZ16-IZ17</f>
        <v/>
      </c>
      <c r="JA18" s="20">
        <f>IZ18+JA16-JA17</f>
        <v/>
      </c>
      <c r="JB18" s="20">
        <f>JA18+JB16-JB17</f>
        <v/>
      </c>
      <c r="JC18" s="20">
        <f>JB18+JC16-JC17</f>
        <v/>
      </c>
      <c r="JD18" s="20">
        <f>JC18+JD16-JD17</f>
        <v/>
      </c>
      <c r="JE18" s="20">
        <f>JD18+JE16-JE17</f>
        <v/>
      </c>
      <c r="JF18" s="20">
        <f>JE18+JF16-JF17</f>
        <v/>
      </c>
      <c r="JG18" s="20">
        <f>JF18+JG16-JG17</f>
        <v/>
      </c>
      <c r="JH18" s="20">
        <f>JG18+JH16-JH17</f>
        <v/>
      </c>
      <c r="JI18" s="20">
        <f>JH18+JI16-JI17</f>
        <v/>
      </c>
      <c r="JJ18" s="20">
        <f>JI18+JJ16-JJ17</f>
        <v/>
      </c>
      <c r="JK18" s="20">
        <f>JJ18+JK16-JK17</f>
        <v/>
      </c>
      <c r="JL18" s="20">
        <f>JK18+JL16-JL17</f>
        <v/>
      </c>
      <c r="JM18" s="20">
        <f>JL18+JM16-JM17</f>
        <v/>
      </c>
      <c r="JN18" s="20">
        <f>JM18+JN16-JN17</f>
        <v/>
      </c>
      <c r="JO18" s="20">
        <f>JN18+JO16-JO17</f>
        <v/>
      </c>
      <c r="JP18" s="20">
        <f>JO18+JP16-JP17</f>
        <v/>
      </c>
      <c r="JQ18" s="20">
        <f>JP18+JQ16-JQ17</f>
        <v/>
      </c>
      <c r="JR18" s="20">
        <f>JQ18+JR16-JR17</f>
        <v/>
      </c>
      <c r="JS18" s="20">
        <f>JR18+JS16-JS17</f>
        <v/>
      </c>
      <c r="JT18" s="20">
        <f>JS18+JT16-JT17</f>
        <v/>
      </c>
      <c r="JU18" s="20">
        <f>JT18+JU16-JU17</f>
        <v/>
      </c>
      <c r="JV18" s="20">
        <f>JU18+JV16-JV17</f>
        <v/>
      </c>
      <c r="JW18" s="20">
        <f>JV18+JW16-JW17</f>
        <v/>
      </c>
      <c r="JX18" s="20">
        <f>JW18+JX16-JX17</f>
        <v/>
      </c>
      <c r="JY18" s="20">
        <f>JX18+JY16-JY17</f>
        <v/>
      </c>
      <c r="JZ18" s="20">
        <f>JY18+JZ16-JZ17</f>
        <v/>
      </c>
      <c r="KA18" s="20">
        <f>JZ18+KA16-KA17</f>
        <v/>
      </c>
      <c r="KB18" s="20">
        <f>KA18+KB16-KB17</f>
        <v/>
      </c>
      <c r="KC18" s="20">
        <f>KB18+KC16-KC17</f>
        <v/>
      </c>
      <c r="KD18" s="20">
        <f>KC18+KD16-KD17</f>
        <v/>
      </c>
      <c r="KE18" s="20">
        <f>KD18+KE16-KE17</f>
        <v/>
      </c>
      <c r="KF18" s="20">
        <f>KE18+KF16-KF17</f>
        <v/>
      </c>
      <c r="KG18" s="20">
        <f>KF18+KG16-KG17</f>
        <v/>
      </c>
      <c r="KH18" s="20">
        <f>KG18+KH16-KH17</f>
        <v/>
      </c>
      <c r="KI18" s="20">
        <f>KH18+KI16-KI17</f>
        <v/>
      </c>
      <c r="KJ18" s="20">
        <f>KI18+KJ16-KJ17</f>
        <v/>
      </c>
      <c r="KK18" s="20">
        <f>KJ18+KK16-KK17</f>
        <v/>
      </c>
      <c r="KL18" s="20">
        <f>KK18+KL16-KL17</f>
        <v/>
      </c>
      <c r="KM18" s="20">
        <f>KL18+KM16-KM17</f>
        <v/>
      </c>
      <c r="KN18" s="20">
        <f>KM18+KN16-KN17</f>
        <v/>
      </c>
      <c r="KO18" s="20">
        <f>KN18+KO16-KO17</f>
        <v/>
      </c>
      <c r="KP18" s="20">
        <f>KO18+KP16-KP17</f>
        <v/>
      </c>
      <c r="KQ18" s="20">
        <f>KP18+KQ16-KQ17</f>
        <v/>
      </c>
      <c r="KR18" s="20">
        <f>KQ18+KR16-KR17</f>
        <v/>
      </c>
      <c r="KS18" s="20">
        <f>KR18+KS16-KS17</f>
        <v/>
      </c>
      <c r="KT18" s="20">
        <f>KS18+KT16-KT17</f>
        <v/>
      </c>
      <c r="KU18" s="20">
        <f>KT18+KU16-KU17</f>
        <v/>
      </c>
      <c r="KV18" s="20">
        <f>KU18+KV16-KV17</f>
        <v/>
      </c>
      <c r="KW18" s="20">
        <f>KV18+KW16-KW17</f>
        <v/>
      </c>
      <c r="KX18" s="20">
        <f>KW18+KX16-KX17</f>
        <v/>
      </c>
      <c r="KY18" s="20">
        <f>KX18+KY16-KY17</f>
        <v/>
      </c>
      <c r="KZ18" s="20">
        <f>KY18+KZ16-KZ17</f>
        <v/>
      </c>
      <c r="LA18" s="20">
        <f>KZ18+LA16-LA17</f>
        <v/>
      </c>
      <c r="LB18" s="20">
        <f>LA18+LB16-LB17</f>
        <v/>
      </c>
      <c r="LC18" s="20">
        <f>LB18+LC16-LC17</f>
        <v/>
      </c>
      <c r="LD18" s="20">
        <f>LC18+LD16-LD17</f>
        <v/>
      </c>
      <c r="LE18" s="20">
        <f>LD18+LE16-LE17</f>
        <v/>
      </c>
      <c r="LF18" s="20">
        <f>LE18+LF16-LF17</f>
        <v/>
      </c>
      <c r="LG18" s="20">
        <f>LF18+LG16-LG17</f>
        <v/>
      </c>
      <c r="LH18" s="20">
        <f>LG18+LH16-LH17</f>
        <v/>
      </c>
      <c r="LI18" s="20">
        <f>LH18+LI16-LI17</f>
        <v/>
      </c>
    </row>
    <row r="20">
      <c r="B20" s="22" t="inlineStr">
        <is>
          <t>Inversion capitalizada</t>
        </is>
      </c>
      <c r="D20" s="28">
        <f>SUMPRODUCT($D$11:$LI$11,$D$13:$LI$13)</f>
        <v/>
      </c>
    </row>
    <row r="21">
      <c r="B21" s="22" t="inlineStr">
        <is>
          <t>Intereses capitalizados</t>
        </is>
      </c>
      <c r="D21" s="28">
        <f>SUM($D$15:$LI$15)</f>
        <v/>
      </c>
    </row>
    <row r="22">
      <c r="B22" s="22" t="inlineStr">
        <is>
          <t>Amortizacion acumulada</t>
        </is>
      </c>
      <c r="D22" s="28">
        <f>SUM($D$17:$LI$17)</f>
        <v/>
      </c>
    </row>
    <row r="23">
      <c r="B23" s="22" t="inlineStr">
        <is>
          <t>Saldo final, debe ser cero</t>
        </is>
      </c>
      <c r="D23" s="28">
        <f>$LI$18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E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2">
      <c r="B2" s="1" t="inlineStr">
        <is>
          <t>Flujo de caja financiero</t>
        </is>
      </c>
    </row>
    <row r="3">
      <c r="B3" s="2" t="inlineStr">
        <is>
          <t>El VAN de la ultima fila es la celda que Buscar Objetivo lleva a cero.</t>
        </is>
      </c>
    </row>
    <row r="6">
      <c r="B6" s="16" t="inlineStr">
        <is>
          <t>Ano</t>
        </is>
      </c>
      <c r="D6" s="17" t="n">
        <v>2026</v>
      </c>
      <c r="E6" s="17" t="n">
        <v>2027</v>
      </c>
      <c r="F6" s="17" t="n">
        <v>2027</v>
      </c>
      <c r="G6" s="17" t="n">
        <v>2027</v>
      </c>
      <c r="H6" s="17" t="n">
        <v>2027</v>
      </c>
      <c r="I6" s="17" t="n">
        <v>2028</v>
      </c>
      <c r="J6" s="17" t="n">
        <v>2028</v>
      </c>
      <c r="K6" s="17" t="n">
        <v>2028</v>
      </c>
      <c r="L6" s="17" t="n">
        <v>2028</v>
      </c>
      <c r="M6" s="17" t="n">
        <v>2029</v>
      </c>
      <c r="N6" s="17" t="n">
        <v>2029</v>
      </c>
      <c r="O6" s="17" t="n">
        <v>2029</v>
      </c>
      <c r="P6" s="17" t="n">
        <v>2029</v>
      </c>
      <c r="Q6" s="17" t="n">
        <v>2030</v>
      </c>
      <c r="R6" s="17" t="n">
        <v>2030</v>
      </c>
      <c r="S6" s="17" t="n">
        <v>2030</v>
      </c>
      <c r="T6" s="17" t="n">
        <v>2030</v>
      </c>
      <c r="U6" s="17" t="n">
        <v>2031</v>
      </c>
      <c r="V6" s="17" t="n">
        <v>2031</v>
      </c>
      <c r="W6" s="17" t="n">
        <v>2031</v>
      </c>
      <c r="X6" s="17" t="n">
        <v>2031</v>
      </c>
      <c r="Y6" s="17" t="n">
        <v>2032</v>
      </c>
      <c r="Z6" s="17" t="n">
        <v>2032</v>
      </c>
      <c r="AA6" s="17" t="n">
        <v>2032</v>
      </c>
      <c r="AB6" s="17" t="n">
        <v>2032</v>
      </c>
      <c r="AC6" s="17" t="n">
        <v>2033</v>
      </c>
      <c r="AD6" s="17" t="n">
        <v>2033</v>
      </c>
      <c r="AE6" s="17" t="n">
        <v>2033</v>
      </c>
      <c r="AF6" s="17" t="n">
        <v>2033</v>
      </c>
      <c r="AG6" s="17" t="n">
        <v>2034</v>
      </c>
      <c r="AH6" s="17" t="n">
        <v>2034</v>
      </c>
      <c r="AI6" s="17" t="n">
        <v>2034</v>
      </c>
      <c r="AJ6" s="17" t="n">
        <v>2034</v>
      </c>
      <c r="AK6" s="17" t="n">
        <v>2035</v>
      </c>
      <c r="AL6" s="17" t="n">
        <v>2035</v>
      </c>
      <c r="AM6" s="17" t="n">
        <v>2035</v>
      </c>
      <c r="AN6" s="17" t="n">
        <v>2035</v>
      </c>
      <c r="AO6" s="17" t="n">
        <v>2036</v>
      </c>
      <c r="AP6" s="17" t="n">
        <v>2036</v>
      </c>
      <c r="AQ6" s="17" t="n">
        <v>2036</v>
      </c>
      <c r="AR6" s="17" t="n">
        <v>2036</v>
      </c>
      <c r="AS6" s="17" t="n">
        <v>2037</v>
      </c>
      <c r="AT6" s="17" t="n">
        <v>2037</v>
      </c>
      <c r="AU6" s="17" t="n">
        <v>2037</v>
      </c>
      <c r="AV6" s="17" t="n">
        <v>2037</v>
      </c>
      <c r="AW6" s="17" t="n">
        <v>2038</v>
      </c>
      <c r="AX6" s="17" t="n">
        <v>2038</v>
      </c>
      <c r="AY6" s="17" t="n">
        <v>2038</v>
      </c>
      <c r="AZ6" s="17" t="n">
        <v>2038</v>
      </c>
      <c r="BA6" s="17" t="n">
        <v>2039</v>
      </c>
      <c r="BB6" s="17" t="n">
        <v>2039</v>
      </c>
      <c r="BC6" s="17" t="n">
        <v>2039</v>
      </c>
      <c r="BD6" s="17" t="n">
        <v>2039</v>
      </c>
      <c r="BE6" s="17" t="n">
        <v>2040</v>
      </c>
      <c r="BF6" s="17" t="n">
        <v>2040</v>
      </c>
      <c r="BG6" s="17" t="n">
        <v>2040</v>
      </c>
      <c r="BH6" s="17" t="n">
        <v>2040</v>
      </c>
      <c r="BI6" s="17" t="n">
        <v>2041</v>
      </c>
      <c r="BJ6" s="17" t="n">
        <v>2041</v>
      </c>
      <c r="BK6" s="17" t="n">
        <v>2041</v>
      </c>
      <c r="BL6" s="17" t="n">
        <v>2041</v>
      </c>
      <c r="BM6" s="17" t="n">
        <v>2042</v>
      </c>
      <c r="BN6" s="17" t="n">
        <v>2042</v>
      </c>
      <c r="BO6" s="17" t="n">
        <v>2042</v>
      </c>
      <c r="BP6" s="17" t="n">
        <v>2042</v>
      </c>
      <c r="BQ6" s="17" t="n">
        <v>2043</v>
      </c>
      <c r="BR6" s="17" t="n">
        <v>2043</v>
      </c>
      <c r="BS6" s="17" t="n">
        <v>2043</v>
      </c>
      <c r="BT6" s="17" t="n">
        <v>2043</v>
      </c>
      <c r="BU6" s="17" t="n">
        <v>2044</v>
      </c>
      <c r="BV6" s="17" t="n">
        <v>2044</v>
      </c>
      <c r="BW6" s="17" t="n">
        <v>2044</v>
      </c>
      <c r="BX6" s="17" t="n">
        <v>2044</v>
      </c>
      <c r="BY6" s="17" t="n">
        <v>2045</v>
      </c>
      <c r="BZ6" s="17" t="n">
        <v>2045</v>
      </c>
      <c r="CA6" s="17" t="n">
        <v>2045</v>
      </c>
      <c r="CB6" s="17" t="n">
        <v>2045</v>
      </c>
      <c r="CC6" s="17" t="n">
        <v>2046</v>
      </c>
      <c r="CD6" s="17" t="n">
        <v>2046</v>
      </c>
      <c r="CE6" s="17" t="n">
        <v>2046</v>
      </c>
      <c r="CF6" s="17" t="n">
        <v>2046</v>
      </c>
      <c r="CG6" s="17" t="n">
        <v>2047</v>
      </c>
      <c r="CH6" s="17" t="n">
        <v>2047</v>
      </c>
      <c r="CI6" s="17" t="n">
        <v>2047</v>
      </c>
      <c r="CJ6" s="17" t="n">
        <v>2047</v>
      </c>
      <c r="CK6" s="17" t="n">
        <v>2048</v>
      </c>
      <c r="CL6" s="17" t="n">
        <v>2048</v>
      </c>
      <c r="CM6" s="17" t="n">
        <v>2048</v>
      </c>
      <c r="CN6" s="17" t="n">
        <v>2048</v>
      </c>
      <c r="CO6" s="17" t="n">
        <v>2049</v>
      </c>
      <c r="CP6" s="17" t="n">
        <v>2049</v>
      </c>
      <c r="CQ6" s="17" t="n">
        <v>2049</v>
      </c>
      <c r="CR6" s="17" t="n">
        <v>2049</v>
      </c>
      <c r="CS6" s="17" t="n">
        <v>2050</v>
      </c>
      <c r="CT6" s="17" t="n">
        <v>2050</v>
      </c>
      <c r="CU6" s="17" t="n">
        <v>2050</v>
      </c>
      <c r="CV6" s="17" t="n">
        <v>2050</v>
      </c>
      <c r="CW6" s="17" t="n">
        <v>2051</v>
      </c>
      <c r="CX6" s="17" t="n">
        <v>2051</v>
      </c>
      <c r="CY6" s="17" t="n">
        <v>2051</v>
      </c>
      <c r="CZ6" s="17" t="n">
        <v>2051</v>
      </c>
      <c r="DA6" s="17" t="n">
        <v>2052</v>
      </c>
      <c r="DB6" s="17" t="n">
        <v>2052</v>
      </c>
      <c r="DC6" s="17" t="n">
        <v>2052</v>
      </c>
      <c r="DD6" s="17" t="n">
        <v>2052</v>
      </c>
      <c r="DE6" s="17" t="n">
        <v>2053</v>
      </c>
    </row>
    <row r="7">
      <c r="B7" s="16" t="inlineStr">
        <is>
          <t>Trimestre</t>
        </is>
      </c>
      <c r="D7" s="17" t="n">
        <v>1</v>
      </c>
      <c r="E7" s="17" t="n">
        <v>2</v>
      </c>
      <c r="F7" s="17" t="n">
        <v>3</v>
      </c>
      <c r="G7" s="17" t="n">
        <v>4</v>
      </c>
      <c r="H7" s="17" t="n">
        <v>5</v>
      </c>
      <c r="I7" s="17" t="n">
        <v>6</v>
      </c>
      <c r="J7" s="17" t="n">
        <v>7</v>
      </c>
      <c r="K7" s="17" t="n">
        <v>8</v>
      </c>
      <c r="L7" s="17" t="n">
        <v>9</v>
      </c>
      <c r="M7" s="17" t="n">
        <v>10</v>
      </c>
      <c r="N7" s="17" t="n">
        <v>11</v>
      </c>
      <c r="O7" s="17" t="n">
        <v>12</v>
      </c>
      <c r="P7" s="17" t="n">
        <v>13</v>
      </c>
      <c r="Q7" s="17" t="n">
        <v>14</v>
      </c>
      <c r="R7" s="17" t="n">
        <v>15</v>
      </c>
      <c r="S7" s="17" t="n">
        <v>16</v>
      </c>
      <c r="T7" s="17" t="n">
        <v>17</v>
      </c>
      <c r="U7" s="17" t="n">
        <v>18</v>
      </c>
      <c r="V7" s="17" t="n">
        <v>19</v>
      </c>
      <c r="W7" s="17" t="n">
        <v>20</v>
      </c>
      <c r="X7" s="17" t="n">
        <v>21</v>
      </c>
      <c r="Y7" s="17" t="n">
        <v>22</v>
      </c>
      <c r="Z7" s="17" t="n">
        <v>23</v>
      </c>
      <c r="AA7" s="17" t="n">
        <v>24</v>
      </c>
      <c r="AB7" s="17" t="n">
        <v>25</v>
      </c>
      <c r="AC7" s="17" t="n">
        <v>26</v>
      </c>
      <c r="AD7" s="17" t="n">
        <v>27</v>
      </c>
      <c r="AE7" s="17" t="n">
        <v>28</v>
      </c>
      <c r="AF7" s="17" t="n">
        <v>29</v>
      </c>
      <c r="AG7" s="17" t="n">
        <v>30</v>
      </c>
      <c r="AH7" s="17" t="n">
        <v>31</v>
      </c>
      <c r="AI7" s="17" t="n">
        <v>32</v>
      </c>
      <c r="AJ7" s="17" t="n">
        <v>33</v>
      </c>
      <c r="AK7" s="17" t="n">
        <v>34</v>
      </c>
      <c r="AL7" s="17" t="n">
        <v>35</v>
      </c>
      <c r="AM7" s="17" t="n">
        <v>36</v>
      </c>
      <c r="AN7" s="17" t="n">
        <v>37</v>
      </c>
      <c r="AO7" s="17" t="n">
        <v>38</v>
      </c>
      <c r="AP7" s="17" t="n">
        <v>39</v>
      </c>
      <c r="AQ7" s="17" t="n">
        <v>40</v>
      </c>
      <c r="AR7" s="17" t="n">
        <v>41</v>
      </c>
      <c r="AS7" s="17" t="n">
        <v>42</v>
      </c>
      <c r="AT7" s="17" t="n">
        <v>43</v>
      </c>
      <c r="AU7" s="17" t="n">
        <v>44</v>
      </c>
      <c r="AV7" s="17" t="n">
        <v>45</v>
      </c>
      <c r="AW7" s="17" t="n">
        <v>46</v>
      </c>
      <c r="AX7" s="17" t="n">
        <v>47</v>
      </c>
      <c r="AY7" s="17" t="n">
        <v>48</v>
      </c>
      <c r="AZ7" s="17" t="n">
        <v>49</v>
      </c>
      <c r="BA7" s="17" t="n">
        <v>50</v>
      </c>
      <c r="BB7" s="17" t="n">
        <v>51</v>
      </c>
      <c r="BC7" s="17" t="n">
        <v>52</v>
      </c>
      <c r="BD7" s="17" t="n">
        <v>53</v>
      </c>
      <c r="BE7" s="17" t="n">
        <v>54</v>
      </c>
      <c r="BF7" s="17" t="n">
        <v>55</v>
      </c>
      <c r="BG7" s="17" t="n">
        <v>56</v>
      </c>
      <c r="BH7" s="17" t="n">
        <v>57</v>
      </c>
      <c r="BI7" s="17" t="n">
        <v>58</v>
      </c>
      <c r="BJ7" s="17" t="n">
        <v>59</v>
      </c>
      <c r="BK7" s="17" t="n">
        <v>60</v>
      </c>
      <c r="BL7" s="17" t="n">
        <v>61</v>
      </c>
      <c r="BM7" s="17" t="n">
        <v>62</v>
      </c>
      <c r="BN7" s="17" t="n">
        <v>63</v>
      </c>
      <c r="BO7" s="17" t="n">
        <v>64</v>
      </c>
      <c r="BP7" s="17" t="n">
        <v>65</v>
      </c>
      <c r="BQ7" s="17" t="n">
        <v>66</v>
      </c>
      <c r="BR7" s="17" t="n">
        <v>67</v>
      </c>
      <c r="BS7" s="17" t="n">
        <v>68</v>
      </c>
      <c r="BT7" s="17" t="n">
        <v>69</v>
      </c>
      <c r="BU7" s="17" t="n">
        <v>70</v>
      </c>
      <c r="BV7" s="17" t="n">
        <v>71</v>
      </c>
      <c r="BW7" s="17" t="n">
        <v>72</v>
      </c>
      <c r="BX7" s="17" t="n">
        <v>73</v>
      </c>
      <c r="BY7" s="17" t="n">
        <v>74</v>
      </c>
      <c r="BZ7" s="17" t="n">
        <v>75</v>
      </c>
      <c r="CA7" s="17" t="n">
        <v>76</v>
      </c>
      <c r="CB7" s="17" t="n">
        <v>77</v>
      </c>
      <c r="CC7" s="17" t="n">
        <v>78</v>
      </c>
      <c r="CD7" s="17" t="n">
        <v>79</v>
      </c>
      <c r="CE7" s="17" t="n">
        <v>80</v>
      </c>
      <c r="CF7" s="17" t="n">
        <v>81</v>
      </c>
      <c r="CG7" s="17" t="n">
        <v>82</v>
      </c>
      <c r="CH7" s="17" t="n">
        <v>83</v>
      </c>
      <c r="CI7" s="17" t="n">
        <v>84</v>
      </c>
      <c r="CJ7" s="17" t="n">
        <v>85</v>
      </c>
      <c r="CK7" s="17" t="n">
        <v>86</v>
      </c>
      <c r="CL7" s="17" t="n">
        <v>87</v>
      </c>
      <c r="CM7" s="17" t="n">
        <v>88</v>
      </c>
      <c r="CN7" s="17" t="n">
        <v>89</v>
      </c>
      <c r="CO7" s="17" t="n">
        <v>90</v>
      </c>
      <c r="CP7" s="17" t="n">
        <v>91</v>
      </c>
      <c r="CQ7" s="17" t="n">
        <v>92</v>
      </c>
      <c r="CR7" s="17" t="n">
        <v>93</v>
      </c>
      <c r="CS7" s="17" t="n">
        <v>94</v>
      </c>
      <c r="CT7" s="17" t="n">
        <v>95</v>
      </c>
      <c r="CU7" s="17" t="n">
        <v>96</v>
      </c>
      <c r="CV7" s="17" t="n">
        <v>97</v>
      </c>
      <c r="CW7" s="17" t="n">
        <v>98</v>
      </c>
      <c r="CX7" s="17" t="n">
        <v>99</v>
      </c>
      <c r="CY7" s="17" t="n">
        <v>100</v>
      </c>
      <c r="CZ7" s="17" t="n">
        <v>101</v>
      </c>
      <c r="DA7" s="17" t="n">
        <v>102</v>
      </c>
      <c r="DB7" s="17" t="n">
        <v>103</v>
      </c>
      <c r="DC7" s="17" t="n">
        <v>104</v>
      </c>
      <c r="DD7" s="17" t="n">
        <v>105</v>
      </c>
      <c r="DE7" s="17" t="n">
        <v>106</v>
      </c>
    </row>
    <row r="8">
      <c r="B8" s="16" t="inlineStr">
        <is>
          <t>Meses vivos</t>
        </is>
      </c>
      <c r="D8" s="17" t="n">
        <v>3</v>
      </c>
      <c r="E8" s="17" t="n">
        <v>3</v>
      </c>
      <c r="F8" s="17" t="n">
        <v>3</v>
      </c>
      <c r="G8" s="17" t="n">
        <v>3</v>
      </c>
      <c r="H8" s="17" t="n">
        <v>3</v>
      </c>
      <c r="I8" s="17" t="n">
        <v>3</v>
      </c>
      <c r="J8" s="17" t="n">
        <v>3</v>
      </c>
      <c r="K8" s="17" t="n">
        <v>3</v>
      </c>
      <c r="L8" s="17" t="n">
        <v>3</v>
      </c>
      <c r="M8" s="17" t="n">
        <v>3</v>
      </c>
      <c r="N8" s="17" t="n">
        <v>3</v>
      </c>
      <c r="O8" s="17" t="n">
        <v>3</v>
      </c>
      <c r="P8" s="17" t="n">
        <v>3</v>
      </c>
      <c r="Q8" s="17" t="n">
        <v>3</v>
      </c>
      <c r="R8" s="17" t="n">
        <v>3</v>
      </c>
      <c r="S8" s="17" t="n">
        <v>3</v>
      </c>
      <c r="T8" s="17" t="n">
        <v>3</v>
      </c>
      <c r="U8" s="17" t="n">
        <v>3</v>
      </c>
      <c r="V8" s="17" t="n">
        <v>3</v>
      </c>
      <c r="W8" s="17" t="n">
        <v>3</v>
      </c>
      <c r="X8" s="17" t="n">
        <v>3</v>
      </c>
      <c r="Y8" s="17" t="n">
        <v>3</v>
      </c>
      <c r="Z8" s="17" t="n">
        <v>3</v>
      </c>
      <c r="AA8" s="17" t="n">
        <v>3</v>
      </c>
      <c r="AB8" s="17" t="n">
        <v>3</v>
      </c>
      <c r="AC8" s="17" t="n">
        <v>3</v>
      </c>
      <c r="AD8" s="17" t="n">
        <v>3</v>
      </c>
      <c r="AE8" s="17" t="n">
        <v>3</v>
      </c>
      <c r="AF8" s="17" t="n">
        <v>3</v>
      </c>
      <c r="AG8" s="17" t="n">
        <v>3</v>
      </c>
      <c r="AH8" s="17" t="n">
        <v>3</v>
      </c>
      <c r="AI8" s="17" t="n">
        <v>3</v>
      </c>
      <c r="AJ8" s="17" t="n">
        <v>3</v>
      </c>
      <c r="AK8" s="17" t="n">
        <v>3</v>
      </c>
      <c r="AL8" s="17" t="n">
        <v>3</v>
      </c>
      <c r="AM8" s="17" t="n">
        <v>3</v>
      </c>
      <c r="AN8" s="17" t="n">
        <v>3</v>
      </c>
      <c r="AO8" s="17" t="n">
        <v>3</v>
      </c>
      <c r="AP8" s="17" t="n">
        <v>3</v>
      </c>
      <c r="AQ8" s="17" t="n">
        <v>3</v>
      </c>
      <c r="AR8" s="17" t="n">
        <v>3</v>
      </c>
      <c r="AS8" s="17" t="n">
        <v>3</v>
      </c>
      <c r="AT8" s="17" t="n">
        <v>3</v>
      </c>
      <c r="AU8" s="17" t="n">
        <v>3</v>
      </c>
      <c r="AV8" s="17" t="n">
        <v>3</v>
      </c>
      <c r="AW8" s="17" t="n">
        <v>3</v>
      </c>
      <c r="AX8" s="17" t="n">
        <v>3</v>
      </c>
      <c r="AY8" s="17" t="n">
        <v>3</v>
      </c>
      <c r="AZ8" s="17" t="n">
        <v>3</v>
      </c>
      <c r="BA8" s="17" t="n">
        <v>3</v>
      </c>
      <c r="BB8" s="17" t="n">
        <v>3</v>
      </c>
      <c r="BC8" s="17" t="n">
        <v>3</v>
      </c>
      <c r="BD8" s="17" t="n">
        <v>3</v>
      </c>
      <c r="BE8" s="17" t="n">
        <v>3</v>
      </c>
      <c r="BF8" s="17" t="n">
        <v>3</v>
      </c>
      <c r="BG8" s="17" t="n">
        <v>3</v>
      </c>
      <c r="BH8" s="17" t="n">
        <v>3</v>
      </c>
      <c r="BI8" s="17" t="n">
        <v>3</v>
      </c>
      <c r="BJ8" s="17" t="n">
        <v>3</v>
      </c>
      <c r="BK8" s="17" t="n">
        <v>3</v>
      </c>
      <c r="BL8" s="17" t="n">
        <v>3</v>
      </c>
      <c r="BM8" s="17" t="n">
        <v>3</v>
      </c>
      <c r="BN8" s="17" t="n">
        <v>3</v>
      </c>
      <c r="BO8" s="17" t="n">
        <v>3</v>
      </c>
      <c r="BP8" s="17" t="n">
        <v>3</v>
      </c>
      <c r="BQ8" s="17" t="n">
        <v>3</v>
      </c>
      <c r="BR8" s="17" t="n">
        <v>3</v>
      </c>
      <c r="BS8" s="17" t="n">
        <v>3</v>
      </c>
      <c r="BT8" s="17" t="n">
        <v>3</v>
      </c>
      <c r="BU8" s="17" t="n">
        <v>3</v>
      </c>
      <c r="BV8" s="17" t="n">
        <v>3</v>
      </c>
      <c r="BW8" s="17" t="n">
        <v>3</v>
      </c>
      <c r="BX8" s="17" t="n">
        <v>3</v>
      </c>
      <c r="BY8" s="17" t="n">
        <v>3</v>
      </c>
      <c r="BZ8" s="17" t="n">
        <v>3</v>
      </c>
      <c r="CA8" s="17" t="n">
        <v>3</v>
      </c>
      <c r="CB8" s="17" t="n">
        <v>3</v>
      </c>
      <c r="CC8" s="17" t="n">
        <v>3</v>
      </c>
      <c r="CD8" s="17" t="n">
        <v>3</v>
      </c>
      <c r="CE8" s="17" t="n">
        <v>3</v>
      </c>
      <c r="CF8" s="17" t="n">
        <v>3</v>
      </c>
      <c r="CG8" s="17" t="n">
        <v>3</v>
      </c>
      <c r="CH8" s="17" t="n">
        <v>3</v>
      </c>
      <c r="CI8" s="17" t="n">
        <v>3</v>
      </c>
      <c r="CJ8" s="17" t="n">
        <v>3</v>
      </c>
      <c r="CK8" s="17" t="n">
        <v>3</v>
      </c>
      <c r="CL8" s="17" t="n">
        <v>3</v>
      </c>
      <c r="CM8" s="17" t="n">
        <v>3</v>
      </c>
      <c r="CN8" s="17" t="n">
        <v>3</v>
      </c>
      <c r="CO8" s="17" t="n">
        <v>3</v>
      </c>
      <c r="CP8" s="17" t="n">
        <v>3</v>
      </c>
      <c r="CQ8" s="17" t="n">
        <v>3</v>
      </c>
      <c r="CR8" s="17" t="n">
        <v>3</v>
      </c>
      <c r="CS8" s="17" t="n">
        <v>3</v>
      </c>
      <c r="CT8" s="17" t="n">
        <v>3</v>
      </c>
      <c r="CU8" s="17" t="n">
        <v>3</v>
      </c>
      <c r="CV8" s="17" t="n">
        <v>3</v>
      </c>
      <c r="CW8" s="17" t="n">
        <v>3</v>
      </c>
      <c r="CX8" s="17" t="n">
        <v>3</v>
      </c>
      <c r="CY8" s="17" t="n">
        <v>3</v>
      </c>
      <c r="CZ8" s="17" t="n">
        <v>3</v>
      </c>
      <c r="DA8" s="17" t="n">
        <v>3</v>
      </c>
      <c r="DB8" s="17" t="n">
        <v>3</v>
      </c>
      <c r="DC8" s="17" t="n">
        <v>3</v>
      </c>
      <c r="DD8" s="17" t="n">
        <v>3</v>
      </c>
      <c r="DE8" s="17" t="n">
        <v>0</v>
      </c>
    </row>
    <row r="9">
      <c r="B9" s="22" t="inlineStr">
        <is>
          <t>Ingreso tarifario</t>
        </is>
      </c>
      <c r="D9" s="20">
        <f>SUMPRODUCT((Ingresos!$D$8:$LI$8=D7+0)*Ingresos!$D$14:$LI$14)</f>
        <v/>
      </c>
      <c r="E9" s="20">
        <f>SUMPRODUCT((Ingresos!$D$8:$LI$8=E7+0)*Ingresos!$D$14:$LI$14)</f>
        <v/>
      </c>
      <c r="F9" s="20">
        <f>SUMPRODUCT((Ingresos!$D$8:$LI$8=F7+0)*Ingresos!$D$14:$LI$14)</f>
        <v/>
      </c>
      <c r="G9" s="20">
        <f>SUMPRODUCT((Ingresos!$D$8:$LI$8=G7+0)*Ingresos!$D$14:$LI$14)</f>
        <v/>
      </c>
      <c r="H9" s="20">
        <f>SUMPRODUCT((Ingresos!$D$8:$LI$8=H7+0)*Ingresos!$D$14:$LI$14)</f>
        <v/>
      </c>
      <c r="I9" s="20">
        <f>SUMPRODUCT((Ingresos!$D$8:$LI$8=I7+0)*Ingresos!$D$14:$LI$14)</f>
        <v/>
      </c>
      <c r="J9" s="20">
        <f>SUMPRODUCT((Ingresos!$D$8:$LI$8=J7+0)*Ingresos!$D$14:$LI$14)</f>
        <v/>
      </c>
      <c r="K9" s="20">
        <f>SUMPRODUCT((Ingresos!$D$8:$LI$8=K7+0)*Ingresos!$D$14:$LI$14)</f>
        <v/>
      </c>
      <c r="L9" s="20">
        <f>SUMPRODUCT((Ingresos!$D$8:$LI$8=L7+0)*Ingresos!$D$14:$LI$14)</f>
        <v/>
      </c>
      <c r="M9" s="20">
        <f>SUMPRODUCT((Ingresos!$D$8:$LI$8=M7+0)*Ingresos!$D$14:$LI$14)</f>
        <v/>
      </c>
      <c r="N9" s="20">
        <f>SUMPRODUCT((Ingresos!$D$8:$LI$8=N7+0)*Ingresos!$D$14:$LI$14)</f>
        <v/>
      </c>
      <c r="O9" s="20">
        <f>SUMPRODUCT((Ingresos!$D$8:$LI$8=O7+0)*Ingresos!$D$14:$LI$14)</f>
        <v/>
      </c>
      <c r="P9" s="20">
        <f>SUMPRODUCT((Ingresos!$D$8:$LI$8=P7+0)*Ingresos!$D$14:$LI$14)</f>
        <v/>
      </c>
      <c r="Q9" s="20">
        <f>SUMPRODUCT((Ingresos!$D$8:$LI$8=Q7+0)*Ingresos!$D$14:$LI$14)</f>
        <v/>
      </c>
      <c r="R9" s="20">
        <f>SUMPRODUCT((Ingresos!$D$8:$LI$8=R7+0)*Ingresos!$D$14:$LI$14)</f>
        <v/>
      </c>
      <c r="S9" s="20">
        <f>SUMPRODUCT((Ingresos!$D$8:$LI$8=S7+0)*Ingresos!$D$14:$LI$14)</f>
        <v/>
      </c>
      <c r="T9" s="20">
        <f>SUMPRODUCT((Ingresos!$D$8:$LI$8=T7+0)*Ingresos!$D$14:$LI$14)</f>
        <v/>
      </c>
      <c r="U9" s="20">
        <f>SUMPRODUCT((Ingresos!$D$8:$LI$8=U7+0)*Ingresos!$D$14:$LI$14)</f>
        <v/>
      </c>
      <c r="V9" s="20">
        <f>SUMPRODUCT((Ingresos!$D$8:$LI$8=V7+0)*Ingresos!$D$14:$LI$14)</f>
        <v/>
      </c>
      <c r="W9" s="20">
        <f>SUMPRODUCT((Ingresos!$D$8:$LI$8=W7+0)*Ingresos!$D$14:$LI$14)</f>
        <v/>
      </c>
      <c r="X9" s="20">
        <f>SUMPRODUCT((Ingresos!$D$8:$LI$8=X7+0)*Ingresos!$D$14:$LI$14)</f>
        <v/>
      </c>
      <c r="Y9" s="20">
        <f>SUMPRODUCT((Ingresos!$D$8:$LI$8=Y7+0)*Ingresos!$D$14:$LI$14)</f>
        <v/>
      </c>
      <c r="Z9" s="20">
        <f>SUMPRODUCT((Ingresos!$D$8:$LI$8=Z7+0)*Ingresos!$D$14:$LI$14)</f>
        <v/>
      </c>
      <c r="AA9" s="20">
        <f>SUMPRODUCT((Ingresos!$D$8:$LI$8=AA7+0)*Ingresos!$D$14:$LI$14)</f>
        <v/>
      </c>
      <c r="AB9" s="20">
        <f>SUMPRODUCT((Ingresos!$D$8:$LI$8=AB7+0)*Ingresos!$D$14:$LI$14)</f>
        <v/>
      </c>
      <c r="AC9" s="20">
        <f>SUMPRODUCT((Ingresos!$D$8:$LI$8=AC7+0)*Ingresos!$D$14:$LI$14)</f>
        <v/>
      </c>
      <c r="AD9" s="20">
        <f>SUMPRODUCT((Ingresos!$D$8:$LI$8=AD7+0)*Ingresos!$D$14:$LI$14)</f>
        <v/>
      </c>
      <c r="AE9" s="20">
        <f>SUMPRODUCT((Ingresos!$D$8:$LI$8=AE7+0)*Ingresos!$D$14:$LI$14)</f>
        <v/>
      </c>
      <c r="AF9" s="20">
        <f>SUMPRODUCT((Ingresos!$D$8:$LI$8=AF7+0)*Ingresos!$D$14:$LI$14)</f>
        <v/>
      </c>
      <c r="AG9" s="20">
        <f>SUMPRODUCT((Ingresos!$D$8:$LI$8=AG7+0)*Ingresos!$D$14:$LI$14)</f>
        <v/>
      </c>
      <c r="AH9" s="20">
        <f>SUMPRODUCT((Ingresos!$D$8:$LI$8=AH7+0)*Ingresos!$D$14:$LI$14)</f>
        <v/>
      </c>
      <c r="AI9" s="20">
        <f>SUMPRODUCT((Ingresos!$D$8:$LI$8=AI7+0)*Ingresos!$D$14:$LI$14)</f>
        <v/>
      </c>
      <c r="AJ9" s="20">
        <f>SUMPRODUCT((Ingresos!$D$8:$LI$8=AJ7+0)*Ingresos!$D$14:$LI$14)</f>
        <v/>
      </c>
      <c r="AK9" s="20">
        <f>SUMPRODUCT((Ingresos!$D$8:$LI$8=AK7+0)*Ingresos!$D$14:$LI$14)</f>
        <v/>
      </c>
      <c r="AL9" s="20">
        <f>SUMPRODUCT((Ingresos!$D$8:$LI$8=AL7+0)*Ingresos!$D$14:$LI$14)</f>
        <v/>
      </c>
      <c r="AM9" s="20">
        <f>SUMPRODUCT((Ingresos!$D$8:$LI$8=AM7+0)*Ingresos!$D$14:$LI$14)</f>
        <v/>
      </c>
      <c r="AN9" s="20">
        <f>SUMPRODUCT((Ingresos!$D$8:$LI$8=AN7+0)*Ingresos!$D$14:$LI$14)</f>
        <v/>
      </c>
      <c r="AO9" s="20">
        <f>SUMPRODUCT((Ingresos!$D$8:$LI$8=AO7+0)*Ingresos!$D$14:$LI$14)</f>
        <v/>
      </c>
      <c r="AP9" s="20">
        <f>SUMPRODUCT((Ingresos!$D$8:$LI$8=AP7+0)*Ingresos!$D$14:$LI$14)</f>
        <v/>
      </c>
      <c r="AQ9" s="20">
        <f>SUMPRODUCT((Ingresos!$D$8:$LI$8=AQ7+0)*Ingresos!$D$14:$LI$14)</f>
        <v/>
      </c>
      <c r="AR9" s="20">
        <f>SUMPRODUCT((Ingresos!$D$8:$LI$8=AR7+0)*Ingresos!$D$14:$LI$14)</f>
        <v/>
      </c>
      <c r="AS9" s="20">
        <f>SUMPRODUCT((Ingresos!$D$8:$LI$8=AS7+0)*Ingresos!$D$14:$LI$14)</f>
        <v/>
      </c>
      <c r="AT9" s="20">
        <f>SUMPRODUCT((Ingresos!$D$8:$LI$8=AT7+0)*Ingresos!$D$14:$LI$14)</f>
        <v/>
      </c>
      <c r="AU9" s="20">
        <f>SUMPRODUCT((Ingresos!$D$8:$LI$8=AU7+0)*Ingresos!$D$14:$LI$14)</f>
        <v/>
      </c>
      <c r="AV9" s="20">
        <f>SUMPRODUCT((Ingresos!$D$8:$LI$8=AV7+0)*Ingresos!$D$14:$LI$14)</f>
        <v/>
      </c>
      <c r="AW9" s="20">
        <f>SUMPRODUCT((Ingresos!$D$8:$LI$8=AW7+0)*Ingresos!$D$14:$LI$14)</f>
        <v/>
      </c>
      <c r="AX9" s="20">
        <f>SUMPRODUCT((Ingresos!$D$8:$LI$8=AX7+0)*Ingresos!$D$14:$LI$14)</f>
        <v/>
      </c>
      <c r="AY9" s="20">
        <f>SUMPRODUCT((Ingresos!$D$8:$LI$8=AY7+0)*Ingresos!$D$14:$LI$14)</f>
        <v/>
      </c>
      <c r="AZ9" s="20">
        <f>SUMPRODUCT((Ingresos!$D$8:$LI$8=AZ7+0)*Ingresos!$D$14:$LI$14)</f>
        <v/>
      </c>
      <c r="BA9" s="20">
        <f>SUMPRODUCT((Ingresos!$D$8:$LI$8=BA7+0)*Ingresos!$D$14:$LI$14)</f>
        <v/>
      </c>
      <c r="BB9" s="20">
        <f>SUMPRODUCT((Ingresos!$D$8:$LI$8=BB7+0)*Ingresos!$D$14:$LI$14)</f>
        <v/>
      </c>
      <c r="BC9" s="20">
        <f>SUMPRODUCT((Ingresos!$D$8:$LI$8=BC7+0)*Ingresos!$D$14:$LI$14)</f>
        <v/>
      </c>
      <c r="BD9" s="20">
        <f>SUMPRODUCT((Ingresos!$D$8:$LI$8=BD7+0)*Ingresos!$D$14:$LI$14)</f>
        <v/>
      </c>
      <c r="BE9" s="20">
        <f>SUMPRODUCT((Ingresos!$D$8:$LI$8=BE7+0)*Ingresos!$D$14:$LI$14)</f>
        <v/>
      </c>
      <c r="BF9" s="20">
        <f>SUMPRODUCT((Ingresos!$D$8:$LI$8=BF7+0)*Ingresos!$D$14:$LI$14)</f>
        <v/>
      </c>
      <c r="BG9" s="20">
        <f>SUMPRODUCT((Ingresos!$D$8:$LI$8=BG7+0)*Ingresos!$D$14:$LI$14)</f>
        <v/>
      </c>
      <c r="BH9" s="20">
        <f>SUMPRODUCT((Ingresos!$D$8:$LI$8=BH7+0)*Ingresos!$D$14:$LI$14)</f>
        <v/>
      </c>
      <c r="BI9" s="20">
        <f>SUMPRODUCT((Ingresos!$D$8:$LI$8=BI7+0)*Ingresos!$D$14:$LI$14)</f>
        <v/>
      </c>
      <c r="BJ9" s="20">
        <f>SUMPRODUCT((Ingresos!$D$8:$LI$8=BJ7+0)*Ingresos!$D$14:$LI$14)</f>
        <v/>
      </c>
      <c r="BK9" s="20">
        <f>SUMPRODUCT((Ingresos!$D$8:$LI$8=BK7+0)*Ingresos!$D$14:$LI$14)</f>
        <v/>
      </c>
      <c r="BL9" s="20">
        <f>SUMPRODUCT((Ingresos!$D$8:$LI$8=BL7+0)*Ingresos!$D$14:$LI$14)</f>
        <v/>
      </c>
      <c r="BM9" s="20">
        <f>SUMPRODUCT((Ingresos!$D$8:$LI$8=BM7+0)*Ingresos!$D$14:$LI$14)</f>
        <v/>
      </c>
      <c r="BN9" s="20">
        <f>SUMPRODUCT((Ingresos!$D$8:$LI$8=BN7+0)*Ingresos!$D$14:$LI$14)</f>
        <v/>
      </c>
      <c r="BO9" s="20">
        <f>SUMPRODUCT((Ingresos!$D$8:$LI$8=BO7+0)*Ingresos!$D$14:$LI$14)</f>
        <v/>
      </c>
      <c r="BP9" s="20">
        <f>SUMPRODUCT((Ingresos!$D$8:$LI$8=BP7+0)*Ingresos!$D$14:$LI$14)</f>
        <v/>
      </c>
      <c r="BQ9" s="20">
        <f>SUMPRODUCT((Ingresos!$D$8:$LI$8=BQ7+0)*Ingresos!$D$14:$LI$14)</f>
        <v/>
      </c>
      <c r="BR9" s="20">
        <f>SUMPRODUCT((Ingresos!$D$8:$LI$8=BR7+0)*Ingresos!$D$14:$LI$14)</f>
        <v/>
      </c>
      <c r="BS9" s="20">
        <f>SUMPRODUCT((Ingresos!$D$8:$LI$8=BS7+0)*Ingresos!$D$14:$LI$14)</f>
        <v/>
      </c>
      <c r="BT9" s="20">
        <f>SUMPRODUCT((Ingresos!$D$8:$LI$8=BT7+0)*Ingresos!$D$14:$LI$14)</f>
        <v/>
      </c>
      <c r="BU9" s="20">
        <f>SUMPRODUCT((Ingresos!$D$8:$LI$8=BU7+0)*Ingresos!$D$14:$LI$14)</f>
        <v/>
      </c>
      <c r="BV9" s="20">
        <f>SUMPRODUCT((Ingresos!$D$8:$LI$8=BV7+0)*Ingresos!$D$14:$LI$14)</f>
        <v/>
      </c>
      <c r="BW9" s="20">
        <f>SUMPRODUCT((Ingresos!$D$8:$LI$8=BW7+0)*Ingresos!$D$14:$LI$14)</f>
        <v/>
      </c>
      <c r="BX9" s="20">
        <f>SUMPRODUCT((Ingresos!$D$8:$LI$8=BX7+0)*Ingresos!$D$14:$LI$14)</f>
        <v/>
      </c>
      <c r="BY9" s="20">
        <f>SUMPRODUCT((Ingresos!$D$8:$LI$8=BY7+0)*Ingresos!$D$14:$LI$14)</f>
        <v/>
      </c>
      <c r="BZ9" s="20">
        <f>SUMPRODUCT((Ingresos!$D$8:$LI$8=BZ7+0)*Ingresos!$D$14:$LI$14)</f>
        <v/>
      </c>
      <c r="CA9" s="20">
        <f>SUMPRODUCT((Ingresos!$D$8:$LI$8=CA7+0)*Ingresos!$D$14:$LI$14)</f>
        <v/>
      </c>
      <c r="CB9" s="20">
        <f>SUMPRODUCT((Ingresos!$D$8:$LI$8=CB7+0)*Ingresos!$D$14:$LI$14)</f>
        <v/>
      </c>
      <c r="CC9" s="20">
        <f>SUMPRODUCT((Ingresos!$D$8:$LI$8=CC7+0)*Ingresos!$D$14:$LI$14)</f>
        <v/>
      </c>
      <c r="CD9" s="20">
        <f>SUMPRODUCT((Ingresos!$D$8:$LI$8=CD7+0)*Ingresos!$D$14:$LI$14)</f>
        <v/>
      </c>
      <c r="CE9" s="20">
        <f>SUMPRODUCT((Ingresos!$D$8:$LI$8=CE7+0)*Ingresos!$D$14:$LI$14)</f>
        <v/>
      </c>
      <c r="CF9" s="20">
        <f>SUMPRODUCT((Ingresos!$D$8:$LI$8=CF7+0)*Ingresos!$D$14:$LI$14)</f>
        <v/>
      </c>
      <c r="CG9" s="20">
        <f>SUMPRODUCT((Ingresos!$D$8:$LI$8=CG7+0)*Ingresos!$D$14:$LI$14)</f>
        <v/>
      </c>
      <c r="CH9" s="20">
        <f>SUMPRODUCT((Ingresos!$D$8:$LI$8=CH7+0)*Ingresos!$D$14:$LI$14)</f>
        <v/>
      </c>
      <c r="CI9" s="20">
        <f>SUMPRODUCT((Ingresos!$D$8:$LI$8=CI7+0)*Ingresos!$D$14:$LI$14)</f>
        <v/>
      </c>
      <c r="CJ9" s="20">
        <f>SUMPRODUCT((Ingresos!$D$8:$LI$8=CJ7+0)*Ingresos!$D$14:$LI$14)</f>
        <v/>
      </c>
      <c r="CK9" s="20">
        <f>SUMPRODUCT((Ingresos!$D$8:$LI$8=CK7+0)*Ingresos!$D$14:$LI$14)</f>
        <v/>
      </c>
      <c r="CL9" s="20">
        <f>SUMPRODUCT((Ingresos!$D$8:$LI$8=CL7+0)*Ingresos!$D$14:$LI$14)</f>
        <v/>
      </c>
      <c r="CM9" s="20">
        <f>SUMPRODUCT((Ingresos!$D$8:$LI$8=CM7+0)*Ingresos!$D$14:$LI$14)</f>
        <v/>
      </c>
      <c r="CN9" s="20">
        <f>SUMPRODUCT((Ingresos!$D$8:$LI$8=CN7+0)*Ingresos!$D$14:$LI$14)</f>
        <v/>
      </c>
      <c r="CO9" s="20">
        <f>SUMPRODUCT((Ingresos!$D$8:$LI$8=CO7+0)*Ingresos!$D$14:$LI$14)</f>
        <v/>
      </c>
      <c r="CP9" s="20">
        <f>SUMPRODUCT((Ingresos!$D$8:$LI$8=CP7+0)*Ingresos!$D$14:$LI$14)</f>
        <v/>
      </c>
      <c r="CQ9" s="20">
        <f>SUMPRODUCT((Ingresos!$D$8:$LI$8=CQ7+0)*Ingresos!$D$14:$LI$14)</f>
        <v/>
      </c>
      <c r="CR9" s="20">
        <f>SUMPRODUCT((Ingresos!$D$8:$LI$8=CR7+0)*Ingresos!$D$14:$LI$14)</f>
        <v/>
      </c>
      <c r="CS9" s="20">
        <f>SUMPRODUCT((Ingresos!$D$8:$LI$8=CS7+0)*Ingresos!$D$14:$LI$14)</f>
        <v/>
      </c>
      <c r="CT9" s="20">
        <f>SUMPRODUCT((Ingresos!$D$8:$LI$8=CT7+0)*Ingresos!$D$14:$LI$14)</f>
        <v/>
      </c>
      <c r="CU9" s="20">
        <f>SUMPRODUCT((Ingresos!$D$8:$LI$8=CU7+0)*Ingresos!$D$14:$LI$14)</f>
        <v/>
      </c>
      <c r="CV9" s="20">
        <f>SUMPRODUCT((Ingresos!$D$8:$LI$8=CV7+0)*Ingresos!$D$14:$LI$14)</f>
        <v/>
      </c>
      <c r="CW9" s="20">
        <f>SUMPRODUCT((Ingresos!$D$8:$LI$8=CW7+0)*Ingresos!$D$14:$LI$14)</f>
        <v/>
      </c>
      <c r="CX9" s="20">
        <f>SUMPRODUCT((Ingresos!$D$8:$LI$8=CX7+0)*Ingresos!$D$14:$LI$14)</f>
        <v/>
      </c>
      <c r="CY9" s="20">
        <f>SUMPRODUCT((Ingresos!$D$8:$LI$8=CY7+0)*Ingresos!$D$14:$LI$14)</f>
        <v/>
      </c>
      <c r="CZ9" s="20">
        <f>SUMPRODUCT((Ingresos!$D$8:$LI$8=CZ7+0)*Ingresos!$D$14:$LI$14)</f>
        <v/>
      </c>
      <c r="DA9" s="20">
        <f>SUMPRODUCT((Ingresos!$D$8:$LI$8=DA7+0)*Ingresos!$D$14:$LI$14)</f>
        <v/>
      </c>
      <c r="DB9" s="20">
        <f>SUMPRODUCT((Ingresos!$D$8:$LI$8=DB7+0)*Ingresos!$D$14:$LI$14)</f>
        <v/>
      </c>
      <c r="DC9" s="20">
        <f>SUMPRODUCT((Ingresos!$D$8:$LI$8=DC7+0)*Ingresos!$D$14:$LI$14)</f>
        <v/>
      </c>
      <c r="DD9" s="20">
        <f>SUMPRODUCT((Ingresos!$D$8:$LI$8=DD7+0)*Ingresos!$D$14:$LI$14)</f>
        <v/>
      </c>
      <c r="DE9" s="20">
        <f>SUMPRODUCT((Ingresos!$D$8:$LI$8=DE7+0)*Ingresos!$D$14:$LI$14)</f>
        <v/>
      </c>
    </row>
    <row r="10">
      <c r="B10" s="18" t="inlineStr">
        <is>
          <t>Supervision del regulador</t>
        </is>
      </c>
      <c r="D10" s="20">
        <f>-p_superv*D9</f>
        <v/>
      </c>
      <c r="E10" s="20">
        <f>-p_superv*E9</f>
        <v/>
      </c>
      <c r="F10" s="20">
        <f>-p_superv*F9</f>
        <v/>
      </c>
      <c r="G10" s="20">
        <f>-p_superv*G9</f>
        <v/>
      </c>
      <c r="H10" s="20">
        <f>-p_superv*H9</f>
        <v/>
      </c>
      <c r="I10" s="20">
        <f>-p_superv*I9</f>
        <v/>
      </c>
      <c r="J10" s="20">
        <f>-p_superv*J9</f>
        <v/>
      </c>
      <c r="K10" s="20">
        <f>-p_superv*K9</f>
        <v/>
      </c>
      <c r="L10" s="20">
        <f>-p_superv*L9</f>
        <v/>
      </c>
      <c r="M10" s="20">
        <f>-p_superv*M9</f>
        <v/>
      </c>
      <c r="N10" s="20">
        <f>-p_superv*N9</f>
        <v/>
      </c>
      <c r="O10" s="20">
        <f>-p_superv*O9</f>
        <v/>
      </c>
      <c r="P10" s="20">
        <f>-p_superv*P9</f>
        <v/>
      </c>
      <c r="Q10" s="20">
        <f>-p_superv*Q9</f>
        <v/>
      </c>
      <c r="R10" s="20">
        <f>-p_superv*R9</f>
        <v/>
      </c>
      <c r="S10" s="20">
        <f>-p_superv*S9</f>
        <v/>
      </c>
      <c r="T10" s="20">
        <f>-p_superv*T9</f>
        <v/>
      </c>
      <c r="U10" s="20">
        <f>-p_superv*U9</f>
        <v/>
      </c>
      <c r="V10" s="20">
        <f>-p_superv*V9</f>
        <v/>
      </c>
      <c r="W10" s="20">
        <f>-p_superv*W9</f>
        <v/>
      </c>
      <c r="X10" s="20">
        <f>-p_superv*X9</f>
        <v/>
      </c>
      <c r="Y10" s="20">
        <f>-p_superv*Y9</f>
        <v/>
      </c>
      <c r="Z10" s="20">
        <f>-p_superv*Z9</f>
        <v/>
      </c>
      <c r="AA10" s="20">
        <f>-p_superv*AA9</f>
        <v/>
      </c>
      <c r="AB10" s="20">
        <f>-p_superv*AB9</f>
        <v/>
      </c>
      <c r="AC10" s="20">
        <f>-p_superv*AC9</f>
        <v/>
      </c>
      <c r="AD10" s="20">
        <f>-p_superv*AD9</f>
        <v/>
      </c>
      <c r="AE10" s="20">
        <f>-p_superv*AE9</f>
        <v/>
      </c>
      <c r="AF10" s="20">
        <f>-p_superv*AF9</f>
        <v/>
      </c>
      <c r="AG10" s="20">
        <f>-p_superv*AG9</f>
        <v/>
      </c>
      <c r="AH10" s="20">
        <f>-p_superv*AH9</f>
        <v/>
      </c>
      <c r="AI10" s="20">
        <f>-p_superv*AI9</f>
        <v/>
      </c>
      <c r="AJ10" s="20">
        <f>-p_superv*AJ9</f>
        <v/>
      </c>
      <c r="AK10" s="20">
        <f>-p_superv*AK9</f>
        <v/>
      </c>
      <c r="AL10" s="20">
        <f>-p_superv*AL9</f>
        <v/>
      </c>
      <c r="AM10" s="20">
        <f>-p_superv*AM9</f>
        <v/>
      </c>
      <c r="AN10" s="20">
        <f>-p_superv*AN9</f>
        <v/>
      </c>
      <c r="AO10" s="20">
        <f>-p_superv*AO9</f>
        <v/>
      </c>
      <c r="AP10" s="20">
        <f>-p_superv*AP9</f>
        <v/>
      </c>
      <c r="AQ10" s="20">
        <f>-p_superv*AQ9</f>
        <v/>
      </c>
      <c r="AR10" s="20">
        <f>-p_superv*AR9</f>
        <v/>
      </c>
      <c r="AS10" s="20">
        <f>-p_superv*AS9</f>
        <v/>
      </c>
      <c r="AT10" s="20">
        <f>-p_superv*AT9</f>
        <v/>
      </c>
      <c r="AU10" s="20">
        <f>-p_superv*AU9</f>
        <v/>
      </c>
      <c r="AV10" s="20">
        <f>-p_superv*AV9</f>
        <v/>
      </c>
      <c r="AW10" s="20">
        <f>-p_superv*AW9</f>
        <v/>
      </c>
      <c r="AX10" s="20">
        <f>-p_superv*AX9</f>
        <v/>
      </c>
      <c r="AY10" s="20">
        <f>-p_superv*AY9</f>
        <v/>
      </c>
      <c r="AZ10" s="20">
        <f>-p_superv*AZ9</f>
        <v/>
      </c>
      <c r="BA10" s="20">
        <f>-p_superv*BA9</f>
        <v/>
      </c>
      <c r="BB10" s="20">
        <f>-p_superv*BB9</f>
        <v/>
      </c>
      <c r="BC10" s="20">
        <f>-p_superv*BC9</f>
        <v/>
      </c>
      <c r="BD10" s="20">
        <f>-p_superv*BD9</f>
        <v/>
      </c>
      <c r="BE10" s="20">
        <f>-p_superv*BE9</f>
        <v/>
      </c>
      <c r="BF10" s="20">
        <f>-p_superv*BF9</f>
        <v/>
      </c>
      <c r="BG10" s="20">
        <f>-p_superv*BG9</f>
        <v/>
      </c>
      <c r="BH10" s="20">
        <f>-p_superv*BH9</f>
        <v/>
      </c>
      <c r="BI10" s="20">
        <f>-p_superv*BI9</f>
        <v/>
      </c>
      <c r="BJ10" s="20">
        <f>-p_superv*BJ9</f>
        <v/>
      </c>
      <c r="BK10" s="20">
        <f>-p_superv*BK9</f>
        <v/>
      </c>
      <c r="BL10" s="20">
        <f>-p_superv*BL9</f>
        <v/>
      </c>
      <c r="BM10" s="20">
        <f>-p_superv*BM9</f>
        <v/>
      </c>
      <c r="BN10" s="20">
        <f>-p_superv*BN9</f>
        <v/>
      </c>
      <c r="BO10" s="20">
        <f>-p_superv*BO9</f>
        <v/>
      </c>
      <c r="BP10" s="20">
        <f>-p_superv*BP9</f>
        <v/>
      </c>
      <c r="BQ10" s="20">
        <f>-p_superv*BQ9</f>
        <v/>
      </c>
      <c r="BR10" s="20">
        <f>-p_superv*BR9</f>
        <v/>
      </c>
      <c r="BS10" s="20">
        <f>-p_superv*BS9</f>
        <v/>
      </c>
      <c r="BT10" s="20">
        <f>-p_superv*BT9</f>
        <v/>
      </c>
      <c r="BU10" s="20">
        <f>-p_superv*BU9</f>
        <v/>
      </c>
      <c r="BV10" s="20">
        <f>-p_superv*BV9</f>
        <v/>
      </c>
      <c r="BW10" s="20">
        <f>-p_superv*BW9</f>
        <v/>
      </c>
      <c r="BX10" s="20">
        <f>-p_superv*BX9</f>
        <v/>
      </c>
      <c r="BY10" s="20">
        <f>-p_superv*BY9</f>
        <v/>
      </c>
      <c r="BZ10" s="20">
        <f>-p_superv*BZ9</f>
        <v/>
      </c>
      <c r="CA10" s="20">
        <f>-p_superv*CA9</f>
        <v/>
      </c>
      <c r="CB10" s="20">
        <f>-p_superv*CB9</f>
        <v/>
      </c>
      <c r="CC10" s="20">
        <f>-p_superv*CC9</f>
        <v/>
      </c>
      <c r="CD10" s="20">
        <f>-p_superv*CD9</f>
        <v/>
      </c>
      <c r="CE10" s="20">
        <f>-p_superv*CE9</f>
        <v/>
      </c>
      <c r="CF10" s="20">
        <f>-p_superv*CF9</f>
        <v/>
      </c>
      <c r="CG10" s="20">
        <f>-p_superv*CG9</f>
        <v/>
      </c>
      <c r="CH10" s="20">
        <f>-p_superv*CH9</f>
        <v/>
      </c>
      <c r="CI10" s="20">
        <f>-p_superv*CI9</f>
        <v/>
      </c>
      <c r="CJ10" s="20">
        <f>-p_superv*CJ9</f>
        <v/>
      </c>
      <c r="CK10" s="20">
        <f>-p_superv*CK9</f>
        <v/>
      </c>
      <c r="CL10" s="20">
        <f>-p_superv*CL9</f>
        <v/>
      </c>
      <c r="CM10" s="20">
        <f>-p_superv*CM9</f>
        <v/>
      </c>
      <c r="CN10" s="20">
        <f>-p_superv*CN9</f>
        <v/>
      </c>
      <c r="CO10" s="20">
        <f>-p_superv*CO9</f>
        <v/>
      </c>
      <c r="CP10" s="20">
        <f>-p_superv*CP9</f>
        <v/>
      </c>
      <c r="CQ10" s="20">
        <f>-p_superv*CQ9</f>
        <v/>
      </c>
      <c r="CR10" s="20">
        <f>-p_superv*CR9</f>
        <v/>
      </c>
      <c r="CS10" s="20">
        <f>-p_superv*CS9</f>
        <v/>
      </c>
      <c r="CT10" s="20">
        <f>-p_superv*CT9</f>
        <v/>
      </c>
      <c r="CU10" s="20">
        <f>-p_superv*CU9</f>
        <v/>
      </c>
      <c r="CV10" s="20">
        <f>-p_superv*CV9</f>
        <v/>
      </c>
      <c r="CW10" s="20">
        <f>-p_superv*CW9</f>
        <v/>
      </c>
      <c r="CX10" s="20">
        <f>-p_superv*CX9</f>
        <v/>
      </c>
      <c r="CY10" s="20">
        <f>-p_superv*CY9</f>
        <v/>
      </c>
      <c r="CZ10" s="20">
        <f>-p_superv*CZ9</f>
        <v/>
      </c>
      <c r="DA10" s="20">
        <f>-p_superv*DA9</f>
        <v/>
      </c>
      <c r="DB10" s="20">
        <f>-p_superv*DB9</f>
        <v/>
      </c>
      <c r="DC10" s="20">
        <f>-p_superv*DC9</f>
        <v/>
      </c>
      <c r="DD10" s="20">
        <f>-p_superv*DD9</f>
        <v/>
      </c>
      <c r="DE10" s="20">
        <f>-p_superv*DE9</f>
        <v/>
      </c>
    </row>
    <row r="11">
      <c r="B11" s="18" t="inlineStr">
        <is>
          <t>Costo fijo (del motor)</t>
        </is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-2185.32</v>
      </c>
      <c r="U11" s="20" t="n">
        <v>-2196.17</v>
      </c>
      <c r="V11" s="20" t="n">
        <v>-2207.07</v>
      </c>
      <c r="W11" s="20" t="n">
        <v>-2218.02</v>
      </c>
      <c r="X11" s="20" t="n">
        <v>-2229.03</v>
      </c>
      <c r="Y11" s="20" t="n">
        <v>-2240.1</v>
      </c>
      <c r="Z11" s="20" t="n">
        <v>-2251.21</v>
      </c>
      <c r="AA11" s="20" t="n">
        <v>-2262.38</v>
      </c>
      <c r="AB11" s="20" t="n">
        <v>-2273.61</v>
      </c>
      <c r="AC11" s="20" t="n">
        <v>-2284.89</v>
      </c>
      <c r="AD11" s="20" t="n">
        <v>-2296.23</v>
      </c>
      <c r="AE11" s="20" t="n">
        <v>-2307.63</v>
      </c>
      <c r="AF11" s="20" t="n">
        <v>-2319.08</v>
      </c>
      <c r="AG11" s="20" t="n">
        <v>-2330.59</v>
      </c>
      <c r="AH11" s="20" t="n">
        <v>-2342.16</v>
      </c>
      <c r="AI11" s="20" t="n">
        <v>-2353.78</v>
      </c>
      <c r="AJ11" s="20" t="n">
        <v>-2365.47</v>
      </c>
      <c r="AK11" s="20" t="n">
        <v>-2377.2</v>
      </c>
      <c r="AL11" s="20" t="n">
        <v>-2389</v>
      </c>
      <c r="AM11" s="20" t="n">
        <v>-2400.87</v>
      </c>
      <c r="AN11" s="20" t="n">
        <v>-2412.78</v>
      </c>
      <c r="AO11" s="20" t="n">
        <v>-2424.75</v>
      </c>
      <c r="AP11" s="20" t="n">
        <v>-2436.78</v>
      </c>
      <c r="AQ11" s="20" t="n">
        <v>-2448.88</v>
      </c>
      <c r="AR11" s="20" t="n">
        <v>-2461.03</v>
      </c>
      <c r="AS11" s="20" t="n">
        <v>-2473.24</v>
      </c>
      <c r="AT11" s="20" t="n">
        <v>-2485.52</v>
      </c>
      <c r="AU11" s="20" t="n">
        <v>-2497.85</v>
      </c>
      <c r="AV11" s="20" t="n">
        <v>-2510.25</v>
      </c>
      <c r="AW11" s="20" t="n">
        <v>-2522.71</v>
      </c>
      <c r="AX11" s="20" t="n">
        <v>-2535.23</v>
      </c>
      <c r="AY11" s="20" t="n">
        <v>-2547.81</v>
      </c>
      <c r="AZ11" s="20" t="n">
        <v>-2560.45</v>
      </c>
      <c r="BA11" s="20" t="n">
        <v>-2573.17</v>
      </c>
      <c r="BB11" s="20" t="n">
        <v>-2585.94</v>
      </c>
      <c r="BC11" s="20" t="n">
        <v>-2598.77</v>
      </c>
      <c r="BD11" s="20" t="n">
        <v>-2611.66</v>
      </c>
      <c r="BE11" s="20" t="n">
        <v>-2624.62</v>
      </c>
      <c r="BF11" s="20" t="n">
        <v>-2637.66</v>
      </c>
      <c r="BG11" s="20" t="n">
        <v>-2650.74</v>
      </c>
      <c r="BH11" s="20" t="n">
        <v>-2663.89</v>
      </c>
      <c r="BI11" s="20" t="n">
        <v>-2677.12</v>
      </c>
      <c r="BJ11" s="20" t="n">
        <v>-2690.4</v>
      </c>
      <c r="BK11" s="20" t="n">
        <v>-2703.76</v>
      </c>
      <c r="BL11" s="20" t="n">
        <v>-2717.17</v>
      </c>
      <c r="BM11" s="20" t="n">
        <v>-2730.66</v>
      </c>
      <c r="BN11" s="20" t="n">
        <v>-2744.22</v>
      </c>
      <c r="BO11" s="20" t="n">
        <v>-2757.83</v>
      </c>
      <c r="BP11" s="20" t="n">
        <v>-2771.52</v>
      </c>
      <c r="BQ11" s="20" t="n">
        <v>-2785.27</v>
      </c>
      <c r="BR11" s="20" t="n">
        <v>-2799.09</v>
      </c>
      <c r="BS11" s="20" t="n">
        <v>-2812.99</v>
      </c>
      <c r="BT11" s="20" t="n">
        <v>-2826.95</v>
      </c>
      <c r="BU11" s="20" t="n">
        <v>-2840.98</v>
      </c>
      <c r="BV11" s="20" t="n">
        <v>-2855.07</v>
      </c>
      <c r="BW11" s="20" t="n">
        <v>-2869.25</v>
      </c>
      <c r="BX11" s="20" t="n">
        <v>-2883.49</v>
      </c>
      <c r="BY11" s="20" t="n">
        <v>-2897.8</v>
      </c>
      <c r="BZ11" s="20" t="n">
        <v>-2912.19</v>
      </c>
      <c r="CA11" s="20" t="n">
        <v>-2926.62</v>
      </c>
      <c r="CB11" s="20" t="n">
        <v>-2941.15</v>
      </c>
      <c r="CC11" s="20" t="n">
        <v>-2955.76</v>
      </c>
      <c r="CD11" s="20" t="n">
        <v>-2970.43</v>
      </c>
      <c r="CE11" s="20" t="n">
        <v>-2985.16</v>
      </c>
      <c r="CF11" s="20" t="n">
        <v>-2999.97</v>
      </c>
      <c r="CG11" s="20" t="n">
        <v>-3014.88</v>
      </c>
      <c r="CH11" s="20" t="n">
        <v>-3029.83</v>
      </c>
      <c r="CI11" s="20" t="n">
        <v>-3044.87</v>
      </c>
      <c r="CJ11" s="20" t="n">
        <v>-3059.98</v>
      </c>
      <c r="CK11" s="20" t="n">
        <v>-3075.16</v>
      </c>
      <c r="CL11" s="20" t="n">
        <v>-3090.42</v>
      </c>
      <c r="CM11" s="20" t="n">
        <v>-3105.76</v>
      </c>
      <c r="CN11" s="20" t="n">
        <v>-3121.18</v>
      </c>
      <c r="CO11" s="20" t="n">
        <v>-3136.67</v>
      </c>
      <c r="CP11" s="20" t="n">
        <v>-3152.23</v>
      </c>
      <c r="CQ11" s="20" t="n">
        <v>-3167.88</v>
      </c>
      <c r="CR11" s="20" t="n">
        <v>-3183.6</v>
      </c>
      <c r="CS11" s="20" t="n">
        <v>-3199.41</v>
      </c>
      <c r="CT11" s="20" t="n">
        <v>-3215.28</v>
      </c>
      <c r="CU11" s="20" t="n">
        <v>-3231.24</v>
      </c>
      <c r="CV11" s="20" t="n">
        <v>-3247.27</v>
      </c>
      <c r="CW11" s="20" t="n">
        <v>-3263.39</v>
      </c>
      <c r="CX11" s="20" t="n">
        <v>-3279.58</v>
      </c>
      <c r="CY11" s="20" t="n">
        <v>-3295.86</v>
      </c>
      <c r="CZ11" s="20" t="n">
        <v>-3312.22</v>
      </c>
      <c r="DA11" s="20" t="n">
        <v>-3328.65</v>
      </c>
      <c r="DB11" s="20" t="n">
        <v>-3345.18</v>
      </c>
      <c r="DC11" s="20" t="n">
        <v>-3361.77</v>
      </c>
      <c r="DD11" s="20" t="n">
        <v>0</v>
      </c>
      <c r="DE11" s="20" t="n">
        <v>0</v>
      </c>
    </row>
    <row r="12">
      <c r="B12" s="18" t="inlineStr">
        <is>
          <t>Costo variable (del motor)</t>
        </is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-4129.23</v>
      </c>
      <c r="U12" s="20" t="n">
        <v>-4195.86</v>
      </c>
      <c r="V12" s="20" t="n">
        <v>-4216.68</v>
      </c>
      <c r="W12" s="20" t="n">
        <v>-4237.62</v>
      </c>
      <c r="X12" s="20" t="n">
        <v>-4258.650000000001</v>
      </c>
      <c r="Y12" s="20" t="n">
        <v>-4319.01</v>
      </c>
      <c r="Z12" s="20" t="n">
        <v>-4340.44</v>
      </c>
      <c r="AA12" s="20" t="n">
        <v>-4361.99</v>
      </c>
      <c r="AB12" s="20" t="n">
        <v>-4383.63</v>
      </c>
      <c r="AC12" s="20" t="n">
        <v>-4437.39</v>
      </c>
      <c r="AD12" s="20" t="n">
        <v>-4459.42</v>
      </c>
      <c r="AE12" s="20" t="n">
        <v>-4481.559999999999</v>
      </c>
      <c r="AF12" s="20" t="n">
        <v>-4503.79</v>
      </c>
      <c r="AG12" s="20" t="n">
        <v>-4558.799999999999</v>
      </c>
      <c r="AH12" s="20" t="n">
        <v>-4581.42</v>
      </c>
      <c r="AI12" s="20" t="n">
        <v>-4604.16</v>
      </c>
      <c r="AJ12" s="20" t="n">
        <v>-4627</v>
      </c>
      <c r="AK12" s="20" t="n">
        <v>-4683.28</v>
      </c>
      <c r="AL12" s="20" t="n">
        <v>-4706.52</v>
      </c>
      <c r="AM12" s="20" t="n">
        <v>-4729.87</v>
      </c>
      <c r="AN12" s="20" t="n">
        <v>-4753.36</v>
      </c>
      <c r="AO12" s="20" t="n">
        <v>-4810.9</v>
      </c>
      <c r="AP12" s="20" t="n">
        <v>-4834.79</v>
      </c>
      <c r="AQ12" s="20" t="n">
        <v>-4858.780000000001</v>
      </c>
      <c r="AR12" s="20" t="n">
        <v>-4882.9</v>
      </c>
      <c r="AS12" s="20" t="n">
        <v>-5115.01</v>
      </c>
      <c r="AT12" s="20" t="n">
        <v>-5140.39</v>
      </c>
      <c r="AU12" s="20" t="n">
        <v>-5165.91</v>
      </c>
      <c r="AV12" s="20" t="n">
        <v>-5191.54</v>
      </c>
      <c r="AW12" s="20" t="n">
        <v>-5261.49</v>
      </c>
      <c r="AX12" s="20" t="n">
        <v>-5287.6</v>
      </c>
      <c r="AY12" s="20" t="n">
        <v>-5313.85</v>
      </c>
      <c r="AZ12" s="20" t="n">
        <v>-5340.22</v>
      </c>
      <c r="BA12" s="20" t="n">
        <v>-5411.77</v>
      </c>
      <c r="BB12" s="20" t="n">
        <v>-5438.64</v>
      </c>
      <c r="BC12" s="20" t="n">
        <v>-5465.62</v>
      </c>
      <c r="BD12" s="20" t="n">
        <v>-5492.76</v>
      </c>
      <c r="BE12" s="20" t="n">
        <v>-5575.17</v>
      </c>
      <c r="BF12" s="20" t="n">
        <v>-5602.84</v>
      </c>
      <c r="BG12" s="20" t="n">
        <v>-5630.639999999999</v>
      </c>
      <c r="BH12" s="20" t="n">
        <v>-5658.58</v>
      </c>
      <c r="BI12" s="20" t="n">
        <v>-5733.55</v>
      </c>
      <c r="BJ12" s="20" t="n">
        <v>-5762.01</v>
      </c>
      <c r="BK12" s="20" t="n">
        <v>-5790.610000000001</v>
      </c>
      <c r="BL12" s="20" t="n">
        <v>-5819.34</v>
      </c>
      <c r="BM12" s="20" t="n">
        <v>-5905.599999999999</v>
      </c>
      <c r="BN12" s="20" t="n">
        <v>-5934.91</v>
      </c>
      <c r="BO12" s="20" t="n">
        <v>-5964.360000000001</v>
      </c>
      <c r="BP12" s="20" t="n">
        <v>-5993.97</v>
      </c>
      <c r="BQ12" s="20" t="n">
        <v>-6072.48</v>
      </c>
      <c r="BR12" s="20" t="n">
        <v>-6102.63</v>
      </c>
      <c r="BS12" s="20" t="n">
        <v>-6132.91</v>
      </c>
      <c r="BT12" s="20" t="n">
        <v>-6163.35</v>
      </c>
      <c r="BU12" s="20" t="n">
        <v>-6253.639999999999</v>
      </c>
      <c r="BV12" s="20" t="n">
        <v>-6284.68</v>
      </c>
      <c r="BW12" s="20" t="n">
        <v>-6315.870000000001</v>
      </c>
      <c r="BX12" s="20" t="n">
        <v>-6347.209999999999</v>
      </c>
      <c r="BY12" s="20" t="n">
        <v>-6439.6</v>
      </c>
      <c r="BZ12" s="20" t="n">
        <v>-6471.57</v>
      </c>
      <c r="CA12" s="20" t="n">
        <v>-6503.68</v>
      </c>
      <c r="CB12" s="20" t="n">
        <v>-6535.96</v>
      </c>
      <c r="CC12" s="20" t="n">
        <v>-6630.51</v>
      </c>
      <c r="CD12" s="20" t="n">
        <v>-6663.41</v>
      </c>
      <c r="CE12" s="20" t="n">
        <v>-6696.49</v>
      </c>
      <c r="CF12" s="20" t="n">
        <v>-6729.719999999999</v>
      </c>
      <c r="CG12" s="20" t="n">
        <v>-6826.48</v>
      </c>
      <c r="CH12" s="20" t="n">
        <v>-6860.35</v>
      </c>
      <c r="CI12" s="20" t="n">
        <v>-6894.4</v>
      </c>
      <c r="CJ12" s="20" t="n">
        <v>-6928.620000000001</v>
      </c>
      <c r="CK12" s="20" t="n">
        <v>-7027.629999999999</v>
      </c>
      <c r="CL12" s="20" t="n">
        <v>-7062.490000000001</v>
      </c>
      <c r="CM12" s="20" t="n">
        <v>-7097.549999999999</v>
      </c>
      <c r="CN12" s="20" t="n">
        <v>-7132.780000000001</v>
      </c>
      <c r="CO12" s="20" t="n">
        <v>-7234.08</v>
      </c>
      <c r="CP12" s="20" t="n">
        <v>-7269.99</v>
      </c>
      <c r="CQ12" s="20" t="n">
        <v>-7306.070000000001</v>
      </c>
      <c r="CR12" s="20" t="n">
        <v>-7342.32</v>
      </c>
      <c r="CS12" s="20" t="n">
        <v>-7457.200000000001</v>
      </c>
      <c r="CT12" s="20" t="n">
        <v>-7494.210000000001</v>
      </c>
      <c r="CU12" s="20" t="n">
        <v>-7531.41</v>
      </c>
      <c r="CV12" s="20" t="n">
        <v>-7568.79</v>
      </c>
      <c r="CW12" s="20" t="n">
        <v>-7686.360000000001</v>
      </c>
      <c r="CX12" s="20" t="n">
        <v>-7724.5</v>
      </c>
      <c r="CY12" s="20" t="n">
        <v>-7762.830000000001</v>
      </c>
      <c r="CZ12" s="20" t="n">
        <v>-7801.36</v>
      </c>
      <c r="DA12" s="20" t="n">
        <v>-7840.08</v>
      </c>
      <c r="DB12" s="20" t="n">
        <v>-7878.99</v>
      </c>
      <c r="DC12" s="20" t="n">
        <v>-7918.09</v>
      </c>
      <c r="DD12" s="20" t="n">
        <v>0</v>
      </c>
      <c r="DE12" s="20" t="n">
        <v>0</v>
      </c>
    </row>
    <row r="13">
      <c r="B13" s="18" t="inlineStr">
        <is>
          <t>Gastos SPV (del motor)</t>
        </is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-491.0700000000001</v>
      </c>
      <c r="U13" s="20" t="n">
        <v>-493.5</v>
      </c>
      <c r="V13" s="20" t="n">
        <v>-495.9400000000001</v>
      </c>
      <c r="W13" s="20" t="n">
        <v>-498.4</v>
      </c>
      <c r="X13" s="20" t="n">
        <v>-500.88</v>
      </c>
      <c r="Y13" s="20" t="n">
        <v>-503.3699999999999</v>
      </c>
      <c r="Z13" s="20" t="n">
        <v>-505.86</v>
      </c>
      <c r="AA13" s="20" t="n">
        <v>-508.38</v>
      </c>
      <c r="AB13" s="20" t="n">
        <v>-510.9000000000001</v>
      </c>
      <c r="AC13" s="20" t="n">
        <v>-513.4300000000001</v>
      </c>
      <c r="AD13" s="20" t="n">
        <v>-515.98</v>
      </c>
      <c r="AE13" s="20" t="n">
        <v>-518.54</v>
      </c>
      <c r="AF13" s="20" t="n">
        <v>-521.11</v>
      </c>
      <c r="AG13" s="20" t="n">
        <v>-523.7</v>
      </c>
      <c r="AH13" s="20" t="n">
        <v>-526.29</v>
      </c>
      <c r="AI13" s="20" t="n">
        <v>-528.9</v>
      </c>
      <c r="AJ13" s="20" t="n">
        <v>-531.54</v>
      </c>
      <c r="AK13" s="20" t="n">
        <v>-534.17</v>
      </c>
      <c r="AL13" s="20" t="n">
        <v>-536.83</v>
      </c>
      <c r="AM13" s="20" t="n">
        <v>-539.49</v>
      </c>
      <c r="AN13" s="20" t="n">
        <v>-542.16</v>
      </c>
      <c r="AO13" s="20" t="n">
        <v>-544.86</v>
      </c>
      <c r="AP13" s="20" t="n">
        <v>-547.5599999999999</v>
      </c>
      <c r="AQ13" s="20" t="n">
        <v>-550.28</v>
      </c>
      <c r="AR13" s="20" t="n">
        <v>-553.01</v>
      </c>
      <c r="AS13" s="20" t="n">
        <v>-555.76</v>
      </c>
      <c r="AT13" s="20" t="n">
        <v>-558.51</v>
      </c>
      <c r="AU13" s="20" t="n">
        <v>-561.28</v>
      </c>
      <c r="AV13" s="20" t="n">
        <v>-564.0600000000001</v>
      </c>
      <c r="AW13" s="20" t="n">
        <v>-566.87</v>
      </c>
      <c r="AX13" s="20" t="n">
        <v>-569.6800000000001</v>
      </c>
      <c r="AY13" s="20" t="n">
        <v>-572.51</v>
      </c>
      <c r="AZ13" s="20" t="n">
        <v>-575.35</v>
      </c>
      <c r="BA13" s="20" t="n">
        <v>-578.21</v>
      </c>
      <c r="BB13" s="20" t="n">
        <v>-581.0699999999999</v>
      </c>
      <c r="BC13" s="20" t="n">
        <v>-583.95</v>
      </c>
      <c r="BD13" s="20" t="n">
        <v>-586.86</v>
      </c>
      <c r="BE13" s="20" t="n">
        <v>-589.78</v>
      </c>
      <c r="BF13" s="20" t="n">
        <v>-592.7</v>
      </c>
      <c r="BG13" s="20" t="n">
        <v>-595.64</v>
      </c>
      <c r="BH13" s="20" t="n">
        <v>-598.59</v>
      </c>
      <c r="BI13" s="20" t="n">
        <v>-601.5600000000001</v>
      </c>
      <c r="BJ13" s="20" t="n">
        <v>-604.5600000000001</v>
      </c>
      <c r="BK13" s="20" t="n">
        <v>-607.5500000000001</v>
      </c>
      <c r="BL13" s="20" t="n">
        <v>-610.5700000000001</v>
      </c>
      <c r="BM13" s="20" t="n">
        <v>-613.6</v>
      </c>
      <c r="BN13" s="20" t="n">
        <v>-616.65</v>
      </c>
      <c r="BO13" s="20" t="n">
        <v>-619.7099999999999</v>
      </c>
      <c r="BP13" s="20" t="n">
        <v>-622.78</v>
      </c>
      <c r="BQ13" s="20" t="n">
        <v>-625.87</v>
      </c>
      <c r="BR13" s="20" t="n">
        <v>-628.97</v>
      </c>
      <c r="BS13" s="20" t="n">
        <v>-632.0999999999999</v>
      </c>
      <c r="BT13" s="20" t="n">
        <v>-635.23</v>
      </c>
      <c r="BU13" s="20" t="n">
        <v>-638.39</v>
      </c>
      <c r="BV13" s="20" t="n">
        <v>-641.5600000000001</v>
      </c>
      <c r="BW13" s="20" t="n">
        <v>-644.74</v>
      </c>
      <c r="BX13" s="20" t="n">
        <v>-647.9400000000001</v>
      </c>
      <c r="BY13" s="20" t="n">
        <v>-651.15</v>
      </c>
      <c r="BZ13" s="20" t="n">
        <v>-654.39</v>
      </c>
      <c r="CA13" s="20" t="n">
        <v>-657.63</v>
      </c>
      <c r="CB13" s="20" t="n">
        <v>-660.9</v>
      </c>
      <c r="CC13" s="20" t="n">
        <v>-664.1799999999999</v>
      </c>
      <c r="CD13" s="20" t="n">
        <v>-667.47</v>
      </c>
      <c r="CE13" s="20" t="n">
        <v>-670.79</v>
      </c>
      <c r="CF13" s="20" t="n">
        <v>-674.12</v>
      </c>
      <c r="CG13" s="20" t="n">
        <v>-677.46</v>
      </c>
      <c r="CH13" s="20" t="n">
        <v>-680.8299999999999</v>
      </c>
      <c r="CI13" s="20" t="n">
        <v>-684.2</v>
      </c>
      <c r="CJ13" s="20" t="n">
        <v>-687.6</v>
      </c>
      <c r="CK13" s="20" t="n">
        <v>-691.02</v>
      </c>
      <c r="CL13" s="20" t="n">
        <v>-694.4400000000001</v>
      </c>
      <c r="CM13" s="20" t="n">
        <v>-697.89</v>
      </c>
      <c r="CN13" s="20" t="n">
        <v>-701.35</v>
      </c>
      <c r="CO13" s="20" t="n">
        <v>-704.83</v>
      </c>
      <c r="CP13" s="20" t="n">
        <v>-708.33</v>
      </c>
      <c r="CQ13" s="20" t="n">
        <v>-711.8399999999999</v>
      </c>
      <c r="CR13" s="20" t="n">
        <v>-715.38</v>
      </c>
      <c r="CS13" s="20" t="n">
        <v>-718.9299999999999</v>
      </c>
      <c r="CT13" s="20" t="n">
        <v>-722.49</v>
      </c>
      <c r="CU13" s="20" t="n">
        <v>-726.0899999999999</v>
      </c>
      <c r="CV13" s="20" t="n">
        <v>-729.6900000000001</v>
      </c>
      <c r="CW13" s="20" t="n">
        <v>-733.3100000000001</v>
      </c>
      <c r="CX13" s="20" t="n">
        <v>-736.9400000000001</v>
      </c>
      <c r="CY13" s="20" t="n">
        <v>-740.61</v>
      </c>
      <c r="CZ13" s="20" t="n">
        <v>-744.27</v>
      </c>
      <c r="DA13" s="20" t="n">
        <v>-747.97</v>
      </c>
      <c r="DB13" s="20" t="n">
        <v>-751.6900000000001</v>
      </c>
      <c r="DC13" s="20" t="n">
        <v>-755.42</v>
      </c>
      <c r="DD13" s="20" t="n">
        <v>0</v>
      </c>
      <c r="DE13" s="20" t="n">
        <v>0</v>
      </c>
    </row>
    <row r="14">
      <c r="B14" s="18" t="inlineStr">
        <is>
          <t>Seguros (del motor)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-178.2047824626812</v>
      </c>
      <c r="U14" s="20" t="n">
        <v>-178.2047824626812</v>
      </c>
      <c r="V14" s="20" t="n">
        <v>-178.2047824626812</v>
      </c>
      <c r="W14" s="20" t="n">
        <v>-178.2047824626812</v>
      </c>
      <c r="X14" s="20" t="n">
        <v>-178.2047824626812</v>
      </c>
      <c r="Y14" s="20" t="n">
        <v>-178.2047824626812</v>
      </c>
      <c r="Z14" s="20" t="n">
        <v>-178.2047824626812</v>
      </c>
      <c r="AA14" s="20" t="n">
        <v>-178.2047824626812</v>
      </c>
      <c r="AB14" s="20" t="n">
        <v>-178.2047824626812</v>
      </c>
      <c r="AC14" s="20" t="n">
        <v>-178.2047824626812</v>
      </c>
      <c r="AD14" s="20" t="n">
        <v>-178.2047824626812</v>
      </c>
      <c r="AE14" s="20" t="n">
        <v>-178.2047824626812</v>
      </c>
      <c r="AF14" s="20" t="n">
        <v>-178.2047824626812</v>
      </c>
      <c r="AG14" s="20" t="n">
        <v>-178.2047824626812</v>
      </c>
      <c r="AH14" s="20" t="n">
        <v>-178.2047824626812</v>
      </c>
      <c r="AI14" s="20" t="n">
        <v>-178.2047824626812</v>
      </c>
      <c r="AJ14" s="20" t="n">
        <v>-178.2047824626812</v>
      </c>
      <c r="AK14" s="20" t="n">
        <v>-178.2047824626812</v>
      </c>
      <c r="AL14" s="20" t="n">
        <v>-178.2047824626812</v>
      </c>
      <c r="AM14" s="20" t="n">
        <v>-178.2047824626812</v>
      </c>
      <c r="AN14" s="20" t="n">
        <v>-178.2047824626812</v>
      </c>
      <c r="AO14" s="20" t="n">
        <v>-178.2047824626812</v>
      </c>
      <c r="AP14" s="20" t="n">
        <v>-178.2047824626812</v>
      </c>
      <c r="AQ14" s="20" t="n">
        <v>-178.2047824626812</v>
      </c>
      <c r="AR14" s="20" t="n">
        <v>-178.2047824626812</v>
      </c>
      <c r="AS14" s="20" t="n">
        <v>-178.2047824626812</v>
      </c>
      <c r="AT14" s="20" t="n">
        <v>-178.2047824626812</v>
      </c>
      <c r="AU14" s="20" t="n">
        <v>-178.2047824626812</v>
      </c>
      <c r="AV14" s="20" t="n">
        <v>-178.2047824626812</v>
      </c>
      <c r="AW14" s="20" t="n">
        <v>-178.2047824626812</v>
      </c>
      <c r="AX14" s="20" t="n">
        <v>-178.2047824626812</v>
      </c>
      <c r="AY14" s="20" t="n">
        <v>-178.2047824626812</v>
      </c>
      <c r="AZ14" s="20" t="n">
        <v>-178.2047824626812</v>
      </c>
      <c r="BA14" s="20" t="n">
        <v>-178.2047824626812</v>
      </c>
      <c r="BB14" s="20" t="n">
        <v>-178.2047824626812</v>
      </c>
      <c r="BC14" s="20" t="n">
        <v>-178.2047824626812</v>
      </c>
      <c r="BD14" s="20" t="n">
        <v>-178.2047824626812</v>
      </c>
      <c r="BE14" s="20" t="n">
        <v>-178.2047824626812</v>
      </c>
      <c r="BF14" s="20" t="n">
        <v>-178.2047824626812</v>
      </c>
      <c r="BG14" s="20" t="n">
        <v>-178.2047824626812</v>
      </c>
      <c r="BH14" s="20" t="n">
        <v>-178.2047824626812</v>
      </c>
      <c r="BI14" s="20" t="n">
        <v>-178.2047824626812</v>
      </c>
      <c r="BJ14" s="20" t="n">
        <v>-178.2047824626812</v>
      </c>
      <c r="BK14" s="20" t="n">
        <v>-178.2047824626812</v>
      </c>
      <c r="BL14" s="20" t="n">
        <v>-178.2047824626812</v>
      </c>
      <c r="BM14" s="20" t="n">
        <v>-178.2047824626812</v>
      </c>
      <c r="BN14" s="20" t="n">
        <v>-178.2047824626812</v>
      </c>
      <c r="BO14" s="20" t="n">
        <v>-178.2047824626812</v>
      </c>
      <c r="BP14" s="20" t="n">
        <v>-178.2047824626812</v>
      </c>
      <c r="BQ14" s="20" t="n">
        <v>-178.2047824626812</v>
      </c>
      <c r="BR14" s="20" t="n">
        <v>-178.2047824626812</v>
      </c>
      <c r="BS14" s="20" t="n">
        <v>-178.2047824626812</v>
      </c>
      <c r="BT14" s="20" t="n">
        <v>-178.2047824626812</v>
      </c>
      <c r="BU14" s="20" t="n">
        <v>-178.2047824626812</v>
      </c>
      <c r="BV14" s="20" t="n">
        <v>-178.2047824626812</v>
      </c>
      <c r="BW14" s="20" t="n">
        <v>-178.2047824626812</v>
      </c>
      <c r="BX14" s="20" t="n">
        <v>-178.2047824626812</v>
      </c>
      <c r="BY14" s="20" t="n">
        <v>-178.2047824626812</v>
      </c>
      <c r="BZ14" s="20" t="n">
        <v>-178.2047824626812</v>
      </c>
      <c r="CA14" s="20" t="n">
        <v>-178.2047824626812</v>
      </c>
      <c r="CB14" s="20" t="n">
        <v>-178.2047824626812</v>
      </c>
      <c r="CC14" s="20" t="n">
        <v>-178.2047824626812</v>
      </c>
      <c r="CD14" s="20" t="n">
        <v>-178.2047824626812</v>
      </c>
      <c r="CE14" s="20" t="n">
        <v>-178.2047824626812</v>
      </c>
      <c r="CF14" s="20" t="n">
        <v>-178.2047824626812</v>
      </c>
      <c r="CG14" s="20" t="n">
        <v>-178.2047824626812</v>
      </c>
      <c r="CH14" s="20" t="n">
        <v>-178.2047824626812</v>
      </c>
      <c r="CI14" s="20" t="n">
        <v>-178.2047824626812</v>
      </c>
      <c r="CJ14" s="20" t="n">
        <v>-178.2047824626812</v>
      </c>
      <c r="CK14" s="20" t="n">
        <v>-178.2047824626812</v>
      </c>
      <c r="CL14" s="20" t="n">
        <v>-178.2047824626812</v>
      </c>
      <c r="CM14" s="20" t="n">
        <v>-178.2047824626812</v>
      </c>
      <c r="CN14" s="20" t="n">
        <v>-178.2047824626812</v>
      </c>
      <c r="CO14" s="20" t="n">
        <v>-178.2047824626812</v>
      </c>
      <c r="CP14" s="20" t="n">
        <v>-178.2047824626812</v>
      </c>
      <c r="CQ14" s="20" t="n">
        <v>-178.2047824626812</v>
      </c>
      <c r="CR14" s="20" t="n">
        <v>-178.2047824626812</v>
      </c>
      <c r="CS14" s="20" t="n">
        <v>-178.2047824626812</v>
      </c>
      <c r="CT14" s="20" t="n">
        <v>-178.2047824626812</v>
      </c>
      <c r="CU14" s="20" t="n">
        <v>-178.2047824626812</v>
      </c>
      <c r="CV14" s="20" t="n">
        <v>-178.2047824626812</v>
      </c>
      <c r="CW14" s="20" t="n">
        <v>-178.2047824626812</v>
      </c>
      <c r="CX14" s="20" t="n">
        <v>-178.2047824626812</v>
      </c>
      <c r="CY14" s="20" t="n">
        <v>-178.2047824626812</v>
      </c>
      <c r="CZ14" s="20" t="n">
        <v>-178.2047824626812</v>
      </c>
      <c r="DA14" s="20" t="n">
        <v>-178.2047824626812</v>
      </c>
      <c r="DB14" s="20" t="n">
        <v>-178.2047824626812</v>
      </c>
      <c r="DC14" s="20" t="n">
        <v>-178.2047824626812</v>
      </c>
      <c r="DD14" s="20" t="n">
        <v>0</v>
      </c>
      <c r="DE14" s="20" t="n">
        <v>0</v>
      </c>
    </row>
    <row r="15">
      <c r="B15" s="18" t="inlineStr">
        <is>
          <t>Fianzas (del motor)</t>
        </is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-191.5790158397883</v>
      </c>
      <c r="U15" s="20" t="n">
        <v>-191.5790158397883</v>
      </c>
      <c r="V15" s="20" t="n">
        <v>-191.5790158397883</v>
      </c>
      <c r="W15" s="20" t="n">
        <v>-191.5790158397883</v>
      </c>
      <c r="X15" s="20" t="n">
        <v>-191.5790158397883</v>
      </c>
      <c r="Y15" s="20" t="n">
        <v>-191.5790158397883</v>
      </c>
      <c r="Z15" s="20" t="n">
        <v>-191.5790158397883</v>
      </c>
      <c r="AA15" s="20" t="n">
        <v>-191.5790158397883</v>
      </c>
      <c r="AB15" s="20" t="n">
        <v>-52.32349723880436</v>
      </c>
      <c r="AC15" s="20" t="n">
        <v>-52.32349723880436</v>
      </c>
      <c r="AD15" s="20" t="n">
        <v>-52.32349723880436</v>
      </c>
      <c r="AE15" s="20" t="n">
        <v>-52.32349723880436</v>
      </c>
      <c r="AF15" s="20" t="n">
        <v>-52.32349723880436</v>
      </c>
      <c r="AG15" s="20" t="n">
        <v>-52.32349723880436</v>
      </c>
      <c r="AH15" s="20" t="n">
        <v>-52.32349723880436</v>
      </c>
      <c r="AI15" s="20" t="n">
        <v>-52.32349723880436</v>
      </c>
      <c r="AJ15" s="20" t="n">
        <v>-52.32349723880436</v>
      </c>
      <c r="AK15" s="20" t="n">
        <v>-52.32349723880436</v>
      </c>
      <c r="AL15" s="20" t="n">
        <v>-52.32349723880436</v>
      </c>
      <c r="AM15" s="20" t="n">
        <v>-52.32349723880436</v>
      </c>
      <c r="AN15" s="20" t="n">
        <v>-52.32349723880436</v>
      </c>
      <c r="AO15" s="20" t="n">
        <v>-52.32349723880436</v>
      </c>
      <c r="AP15" s="20" t="n">
        <v>-52.32349723880436</v>
      </c>
      <c r="AQ15" s="20" t="n">
        <v>-52.32349723880436</v>
      </c>
      <c r="AR15" s="20" t="n">
        <v>-52.32349723880436</v>
      </c>
      <c r="AS15" s="20" t="n">
        <v>-52.32349723880436</v>
      </c>
      <c r="AT15" s="20" t="n">
        <v>-52.32349723880436</v>
      </c>
      <c r="AU15" s="20" t="n">
        <v>-52.32349723880436</v>
      </c>
      <c r="AV15" s="20" t="n">
        <v>-52.32349723880436</v>
      </c>
      <c r="AW15" s="20" t="n">
        <v>-52.32349723880436</v>
      </c>
      <c r="AX15" s="20" t="n">
        <v>-52.32349723880436</v>
      </c>
      <c r="AY15" s="20" t="n">
        <v>-52.32349723880436</v>
      </c>
      <c r="AZ15" s="20" t="n">
        <v>-52.32349723880436</v>
      </c>
      <c r="BA15" s="20" t="n">
        <v>-52.32349723880436</v>
      </c>
      <c r="BB15" s="20" t="n">
        <v>-52.32349723880436</v>
      </c>
      <c r="BC15" s="20" t="n">
        <v>-52.32349723880436</v>
      </c>
      <c r="BD15" s="20" t="n">
        <v>-52.32349723880436</v>
      </c>
      <c r="BE15" s="20" t="n">
        <v>-52.32349723880436</v>
      </c>
      <c r="BF15" s="20" t="n">
        <v>-52.32349723880436</v>
      </c>
      <c r="BG15" s="20" t="n">
        <v>-52.32349723880436</v>
      </c>
      <c r="BH15" s="20" t="n">
        <v>-52.32349723880436</v>
      </c>
      <c r="BI15" s="20" t="n">
        <v>-52.32349723880436</v>
      </c>
      <c r="BJ15" s="20" t="n">
        <v>-52.32349723880436</v>
      </c>
      <c r="BK15" s="20" t="n">
        <v>-52.32349723880436</v>
      </c>
      <c r="BL15" s="20" t="n">
        <v>-52.32349723880436</v>
      </c>
      <c r="BM15" s="20" t="n">
        <v>-52.32349723880436</v>
      </c>
      <c r="BN15" s="20" t="n">
        <v>-52.32349723880436</v>
      </c>
      <c r="BO15" s="20" t="n">
        <v>-52.32349723880436</v>
      </c>
      <c r="BP15" s="20" t="n">
        <v>-52.32349723880436</v>
      </c>
      <c r="BQ15" s="20" t="n">
        <v>-52.32349723880436</v>
      </c>
      <c r="BR15" s="20" t="n">
        <v>-52.32349723880436</v>
      </c>
      <c r="BS15" s="20" t="n">
        <v>-52.32349723880436</v>
      </c>
      <c r="BT15" s="20" t="n">
        <v>-52.32349723880436</v>
      </c>
      <c r="BU15" s="20" t="n">
        <v>-52.32349723880436</v>
      </c>
      <c r="BV15" s="20" t="n">
        <v>-52.32349723880436</v>
      </c>
      <c r="BW15" s="20" t="n">
        <v>-52.32349723880436</v>
      </c>
      <c r="BX15" s="20" t="n">
        <v>-52.32349723880436</v>
      </c>
      <c r="BY15" s="20" t="n">
        <v>-52.32349723880436</v>
      </c>
      <c r="BZ15" s="20" t="n">
        <v>-52.32349723880436</v>
      </c>
      <c r="CA15" s="20" t="n">
        <v>-52.32349723880436</v>
      </c>
      <c r="CB15" s="20" t="n">
        <v>-52.32349723880436</v>
      </c>
      <c r="CC15" s="20" t="n">
        <v>-52.32349723880436</v>
      </c>
      <c r="CD15" s="20" t="n">
        <v>-52.32349723880436</v>
      </c>
      <c r="CE15" s="20" t="n">
        <v>-52.32349723880436</v>
      </c>
      <c r="CF15" s="20" t="n">
        <v>-52.32349723880436</v>
      </c>
      <c r="CG15" s="20" t="n">
        <v>-52.32349723880436</v>
      </c>
      <c r="CH15" s="20" t="n">
        <v>-52.32349723880436</v>
      </c>
      <c r="CI15" s="20" t="n">
        <v>-52.32349723880436</v>
      </c>
      <c r="CJ15" s="20" t="n">
        <v>-52.32349723880436</v>
      </c>
      <c r="CK15" s="20" t="n">
        <v>-52.32349723880436</v>
      </c>
      <c r="CL15" s="20" t="n">
        <v>-52.32349723880436</v>
      </c>
      <c r="CM15" s="20" t="n">
        <v>-52.32349723880436</v>
      </c>
      <c r="CN15" s="20" t="n">
        <v>-52.32349723880436</v>
      </c>
      <c r="CO15" s="20" t="n">
        <v>-52.32349723880436</v>
      </c>
      <c r="CP15" s="20" t="n">
        <v>-52.32349723880436</v>
      </c>
      <c r="CQ15" s="20" t="n">
        <v>-52.32349723880436</v>
      </c>
      <c r="CR15" s="20" t="n">
        <v>-52.32349723880436</v>
      </c>
      <c r="CS15" s="20" t="n">
        <v>-52.32349723880436</v>
      </c>
      <c r="CT15" s="20" t="n">
        <v>-52.32349723880436</v>
      </c>
      <c r="CU15" s="20" t="n">
        <v>-52.32349723880436</v>
      </c>
      <c r="CV15" s="20" t="n">
        <v>-52.32349723880436</v>
      </c>
      <c r="CW15" s="20" t="n">
        <v>-52.32349723880436</v>
      </c>
      <c r="CX15" s="20" t="n">
        <v>-52.32349723880436</v>
      </c>
      <c r="CY15" s="20" t="n">
        <v>-52.32349723880436</v>
      </c>
      <c r="CZ15" s="20" t="n">
        <v>-52.32349723880436</v>
      </c>
      <c r="DA15" s="20" t="n">
        <v>-52.32349723880436</v>
      </c>
      <c r="DB15" s="20" t="n">
        <v>-52.32349723880436</v>
      </c>
      <c r="DC15" s="20" t="n">
        <v>-52.32349723880436</v>
      </c>
      <c r="DD15" s="20" t="n">
        <v>-418.5879779104347</v>
      </c>
      <c r="DE15" s="20" t="n">
        <v>0</v>
      </c>
    </row>
    <row r="16">
      <c r="B16" s="18" t="inlineStr">
        <is>
          <t>Gastos de promocion (del motor)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0</v>
      </c>
      <c r="BB16" s="20" t="n">
        <v>0</v>
      </c>
      <c r="BC16" s="20" t="n">
        <v>0</v>
      </c>
      <c r="BD16" s="20" t="n">
        <v>0</v>
      </c>
      <c r="BE16" s="20" t="n">
        <v>0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</v>
      </c>
      <c r="BK16" s="20" t="n">
        <v>0</v>
      </c>
      <c r="BL16" s="20" t="n">
        <v>0</v>
      </c>
      <c r="BM16" s="20" t="n">
        <v>0</v>
      </c>
      <c r="BN16" s="20" t="n">
        <v>0</v>
      </c>
      <c r="BO16" s="20" t="n">
        <v>0</v>
      </c>
      <c r="BP16" s="20" t="n">
        <v>0</v>
      </c>
      <c r="BQ16" s="20" t="n">
        <v>0</v>
      </c>
      <c r="BR16" s="20" t="n">
        <v>0</v>
      </c>
      <c r="BS16" s="20" t="n">
        <v>0</v>
      </c>
      <c r="BT16" s="20" t="n">
        <v>0</v>
      </c>
      <c r="BU16" s="20" t="n">
        <v>0</v>
      </c>
      <c r="BV16" s="20" t="n">
        <v>0</v>
      </c>
      <c r="BW16" s="20" t="n">
        <v>0</v>
      </c>
      <c r="BX16" s="20" t="n">
        <v>0</v>
      </c>
      <c r="BY16" s="20" t="n">
        <v>0</v>
      </c>
      <c r="BZ16" s="20" t="n">
        <v>0</v>
      </c>
      <c r="CA16" s="20" t="n">
        <v>0</v>
      </c>
      <c r="CB16" s="20" t="n">
        <v>0</v>
      </c>
      <c r="CC16" s="20" t="n">
        <v>0</v>
      </c>
      <c r="CD16" s="20" t="n">
        <v>0</v>
      </c>
      <c r="CE16" s="20" t="n">
        <v>0</v>
      </c>
      <c r="CF16" s="20" t="n">
        <v>0</v>
      </c>
      <c r="CG16" s="20" t="n">
        <v>0</v>
      </c>
      <c r="CH16" s="20" t="n">
        <v>0</v>
      </c>
      <c r="CI16" s="20" t="n">
        <v>0</v>
      </c>
      <c r="CJ16" s="20" t="n">
        <v>0</v>
      </c>
      <c r="CK16" s="20" t="n">
        <v>0</v>
      </c>
      <c r="CL16" s="20" t="n">
        <v>0</v>
      </c>
      <c r="CM16" s="20" t="n">
        <v>0</v>
      </c>
      <c r="CN16" s="20" t="n">
        <v>0</v>
      </c>
      <c r="CO16" s="20" t="n">
        <v>0</v>
      </c>
      <c r="CP16" s="20" t="n">
        <v>0</v>
      </c>
      <c r="CQ16" s="20" t="n">
        <v>0</v>
      </c>
      <c r="CR16" s="20" t="n">
        <v>0</v>
      </c>
      <c r="CS16" s="20" t="n">
        <v>0</v>
      </c>
      <c r="CT16" s="20" t="n">
        <v>0</v>
      </c>
      <c r="CU16" s="20" t="n">
        <v>0</v>
      </c>
      <c r="CV16" s="20" t="n">
        <v>0</v>
      </c>
      <c r="CW16" s="20" t="n">
        <v>0</v>
      </c>
      <c r="CX16" s="20" t="n">
        <v>0</v>
      </c>
      <c r="CY16" s="20" t="n">
        <v>0</v>
      </c>
      <c r="CZ16" s="20" t="n">
        <v>0</v>
      </c>
      <c r="DA16" s="20" t="n">
        <v>0</v>
      </c>
      <c r="DB16" s="20" t="n">
        <v>0</v>
      </c>
      <c r="DC16" s="20" t="n">
        <v>0</v>
      </c>
      <c r="DD16" s="20" t="n">
        <v>0</v>
      </c>
      <c r="DE16" s="20" t="n">
        <v>0</v>
      </c>
    </row>
    <row r="17">
      <c r="B17" s="18" t="inlineStr">
        <is>
          <t>Fideicomiso (del motor)</t>
        </is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-25</v>
      </c>
      <c r="U17" s="20" t="n">
        <v>-25</v>
      </c>
      <c r="V17" s="20" t="n">
        <v>-25</v>
      </c>
      <c r="W17" s="20" t="n">
        <v>-25</v>
      </c>
      <c r="X17" s="20" t="n">
        <v>-25</v>
      </c>
      <c r="Y17" s="20" t="n">
        <v>-25</v>
      </c>
      <c r="Z17" s="20" t="n">
        <v>-25</v>
      </c>
      <c r="AA17" s="20" t="n">
        <v>-25</v>
      </c>
      <c r="AB17" s="20" t="n">
        <v>-25</v>
      </c>
      <c r="AC17" s="20" t="n">
        <v>-25</v>
      </c>
      <c r="AD17" s="20" t="n">
        <v>-25</v>
      </c>
      <c r="AE17" s="20" t="n">
        <v>-25</v>
      </c>
      <c r="AF17" s="20" t="n">
        <v>-25</v>
      </c>
      <c r="AG17" s="20" t="n">
        <v>-25</v>
      </c>
      <c r="AH17" s="20" t="n">
        <v>-25</v>
      </c>
      <c r="AI17" s="20" t="n">
        <v>-25</v>
      </c>
      <c r="AJ17" s="20" t="n">
        <v>-25</v>
      </c>
      <c r="AK17" s="20" t="n">
        <v>-25</v>
      </c>
      <c r="AL17" s="20" t="n">
        <v>-25</v>
      </c>
      <c r="AM17" s="20" t="n">
        <v>-25</v>
      </c>
      <c r="AN17" s="20" t="n">
        <v>-25</v>
      </c>
      <c r="AO17" s="20" t="n">
        <v>-25</v>
      </c>
      <c r="AP17" s="20" t="n">
        <v>-25</v>
      </c>
      <c r="AQ17" s="20" t="n">
        <v>-25</v>
      </c>
      <c r="AR17" s="20" t="n">
        <v>-25</v>
      </c>
      <c r="AS17" s="20" t="n">
        <v>-25</v>
      </c>
      <c r="AT17" s="20" t="n">
        <v>-25</v>
      </c>
      <c r="AU17" s="20" t="n">
        <v>-25</v>
      </c>
      <c r="AV17" s="20" t="n">
        <v>-25</v>
      </c>
      <c r="AW17" s="20" t="n">
        <v>-25</v>
      </c>
      <c r="AX17" s="20" t="n">
        <v>-25</v>
      </c>
      <c r="AY17" s="20" t="n">
        <v>-25</v>
      </c>
      <c r="AZ17" s="20" t="n">
        <v>-25</v>
      </c>
      <c r="BA17" s="20" t="n">
        <v>-25</v>
      </c>
      <c r="BB17" s="20" t="n">
        <v>-25</v>
      </c>
      <c r="BC17" s="20" t="n">
        <v>-25</v>
      </c>
      <c r="BD17" s="20" t="n">
        <v>-25</v>
      </c>
      <c r="BE17" s="20" t="n">
        <v>-25</v>
      </c>
      <c r="BF17" s="20" t="n">
        <v>-25</v>
      </c>
      <c r="BG17" s="20" t="n">
        <v>-25</v>
      </c>
      <c r="BH17" s="20" t="n">
        <v>-25</v>
      </c>
      <c r="BI17" s="20" t="n">
        <v>-25</v>
      </c>
      <c r="BJ17" s="20" t="n">
        <v>-25</v>
      </c>
      <c r="BK17" s="20" t="n">
        <v>-25</v>
      </c>
      <c r="BL17" s="20" t="n">
        <v>-25</v>
      </c>
      <c r="BM17" s="20" t="n">
        <v>-25</v>
      </c>
      <c r="BN17" s="20" t="n">
        <v>-25</v>
      </c>
      <c r="BO17" s="20" t="n">
        <v>-25</v>
      </c>
      <c r="BP17" s="20" t="n">
        <v>-25</v>
      </c>
      <c r="BQ17" s="20" t="n">
        <v>-25</v>
      </c>
      <c r="BR17" s="20" t="n">
        <v>-25</v>
      </c>
      <c r="BS17" s="20" t="n">
        <v>-25</v>
      </c>
      <c r="BT17" s="20" t="n">
        <v>-25</v>
      </c>
      <c r="BU17" s="20" t="n">
        <v>-25</v>
      </c>
      <c r="BV17" s="20" t="n">
        <v>-25</v>
      </c>
      <c r="BW17" s="20" t="n">
        <v>-25</v>
      </c>
      <c r="BX17" s="20" t="n">
        <v>-25</v>
      </c>
      <c r="BY17" s="20" t="n">
        <v>-25</v>
      </c>
      <c r="BZ17" s="20" t="n">
        <v>-25</v>
      </c>
      <c r="CA17" s="20" t="n">
        <v>-25</v>
      </c>
      <c r="CB17" s="20" t="n">
        <v>-25</v>
      </c>
      <c r="CC17" s="20" t="n">
        <v>-25</v>
      </c>
      <c r="CD17" s="20" t="n">
        <v>-25</v>
      </c>
      <c r="CE17" s="20" t="n">
        <v>-25</v>
      </c>
      <c r="CF17" s="20" t="n">
        <v>-25</v>
      </c>
      <c r="CG17" s="20" t="n">
        <v>-25</v>
      </c>
      <c r="CH17" s="20" t="n">
        <v>-25</v>
      </c>
      <c r="CI17" s="20" t="n">
        <v>-25</v>
      </c>
      <c r="CJ17" s="20" t="n">
        <v>-25</v>
      </c>
      <c r="CK17" s="20" t="n">
        <v>-25</v>
      </c>
      <c r="CL17" s="20" t="n">
        <v>-25</v>
      </c>
      <c r="CM17" s="20" t="n">
        <v>-25</v>
      </c>
      <c r="CN17" s="20" t="n">
        <v>-25</v>
      </c>
      <c r="CO17" s="20" t="n">
        <v>-25</v>
      </c>
      <c r="CP17" s="20" t="n">
        <v>-25</v>
      </c>
      <c r="CQ17" s="20" t="n">
        <v>-25</v>
      </c>
      <c r="CR17" s="20" t="n">
        <v>-25</v>
      </c>
      <c r="CS17" s="20" t="n">
        <v>-25</v>
      </c>
      <c r="CT17" s="20" t="n">
        <v>-25</v>
      </c>
      <c r="CU17" s="20" t="n">
        <v>-25</v>
      </c>
      <c r="CV17" s="20" t="n">
        <v>-25</v>
      </c>
      <c r="CW17" s="20" t="n">
        <v>-25</v>
      </c>
      <c r="CX17" s="20" t="n">
        <v>-25</v>
      </c>
      <c r="CY17" s="20" t="n">
        <v>-25</v>
      </c>
      <c r="CZ17" s="20" t="n">
        <v>-25</v>
      </c>
      <c r="DA17" s="20" t="n">
        <v>-25</v>
      </c>
      <c r="DB17" s="20" t="n">
        <v>-25</v>
      </c>
      <c r="DC17" s="20" t="n">
        <v>-25</v>
      </c>
      <c r="DD17" s="20" t="n">
        <v>-200</v>
      </c>
      <c r="DE17" s="20" t="n">
        <v>0</v>
      </c>
    </row>
    <row r="18">
      <c r="B18" s="18" t="inlineStr">
        <is>
          <t>Amortizacion del intangible (no es caja)</t>
        </is>
      </c>
      <c r="D18" s="20">
        <f>SUMPRODUCT(('Activo intangible'!$D$10:$LI$10=D7+0),'Activo intangible'!$D$17:$LI$17)</f>
        <v/>
      </c>
      <c r="E18" s="20">
        <f>SUMPRODUCT(('Activo intangible'!$D$10:$LI$10=E7+0),'Activo intangible'!$D$17:$LI$17)</f>
        <v/>
      </c>
      <c r="F18" s="20">
        <f>SUMPRODUCT(('Activo intangible'!$D$10:$LI$10=F7+0),'Activo intangible'!$D$17:$LI$17)</f>
        <v/>
      </c>
      <c r="G18" s="20">
        <f>SUMPRODUCT(('Activo intangible'!$D$10:$LI$10=G7+0),'Activo intangible'!$D$17:$LI$17)</f>
        <v/>
      </c>
      <c r="H18" s="20">
        <f>SUMPRODUCT(('Activo intangible'!$D$10:$LI$10=H7+0),'Activo intangible'!$D$17:$LI$17)</f>
        <v/>
      </c>
      <c r="I18" s="20">
        <f>SUMPRODUCT(('Activo intangible'!$D$10:$LI$10=I7+0),'Activo intangible'!$D$17:$LI$17)</f>
        <v/>
      </c>
      <c r="J18" s="20">
        <f>SUMPRODUCT(('Activo intangible'!$D$10:$LI$10=J7+0),'Activo intangible'!$D$17:$LI$17)</f>
        <v/>
      </c>
      <c r="K18" s="20">
        <f>SUMPRODUCT(('Activo intangible'!$D$10:$LI$10=K7+0),'Activo intangible'!$D$17:$LI$17)</f>
        <v/>
      </c>
      <c r="L18" s="20">
        <f>SUMPRODUCT(('Activo intangible'!$D$10:$LI$10=L7+0),'Activo intangible'!$D$17:$LI$17)</f>
        <v/>
      </c>
      <c r="M18" s="20">
        <f>SUMPRODUCT(('Activo intangible'!$D$10:$LI$10=M7+0),'Activo intangible'!$D$17:$LI$17)</f>
        <v/>
      </c>
      <c r="N18" s="20">
        <f>SUMPRODUCT(('Activo intangible'!$D$10:$LI$10=N7+0),'Activo intangible'!$D$17:$LI$17)</f>
        <v/>
      </c>
      <c r="O18" s="20">
        <f>SUMPRODUCT(('Activo intangible'!$D$10:$LI$10=O7+0),'Activo intangible'!$D$17:$LI$17)</f>
        <v/>
      </c>
      <c r="P18" s="20">
        <f>SUMPRODUCT(('Activo intangible'!$D$10:$LI$10=P7+0),'Activo intangible'!$D$17:$LI$17)</f>
        <v/>
      </c>
      <c r="Q18" s="20">
        <f>SUMPRODUCT(('Activo intangible'!$D$10:$LI$10=Q7+0),'Activo intangible'!$D$17:$LI$17)</f>
        <v/>
      </c>
      <c r="R18" s="20">
        <f>SUMPRODUCT(('Activo intangible'!$D$10:$LI$10=R7+0),'Activo intangible'!$D$17:$LI$17)</f>
        <v/>
      </c>
      <c r="S18" s="20">
        <f>SUMPRODUCT(('Activo intangible'!$D$10:$LI$10=S7+0),'Activo intangible'!$D$17:$LI$17)</f>
        <v/>
      </c>
      <c r="T18" s="20">
        <f>SUMPRODUCT(('Activo intangible'!$D$10:$LI$10=T7+0),'Activo intangible'!$D$17:$LI$17)</f>
        <v/>
      </c>
      <c r="U18" s="20">
        <f>SUMPRODUCT(('Activo intangible'!$D$10:$LI$10=U7+0),'Activo intangible'!$D$17:$LI$17)</f>
        <v/>
      </c>
      <c r="V18" s="20">
        <f>SUMPRODUCT(('Activo intangible'!$D$10:$LI$10=V7+0),'Activo intangible'!$D$17:$LI$17)</f>
        <v/>
      </c>
      <c r="W18" s="20">
        <f>SUMPRODUCT(('Activo intangible'!$D$10:$LI$10=W7+0),'Activo intangible'!$D$17:$LI$17)</f>
        <v/>
      </c>
      <c r="X18" s="20">
        <f>SUMPRODUCT(('Activo intangible'!$D$10:$LI$10=X7+0),'Activo intangible'!$D$17:$LI$17)</f>
        <v/>
      </c>
      <c r="Y18" s="20">
        <f>SUMPRODUCT(('Activo intangible'!$D$10:$LI$10=Y7+0),'Activo intangible'!$D$17:$LI$17)</f>
        <v/>
      </c>
      <c r="Z18" s="20">
        <f>SUMPRODUCT(('Activo intangible'!$D$10:$LI$10=Z7+0),'Activo intangible'!$D$17:$LI$17)</f>
        <v/>
      </c>
      <c r="AA18" s="20">
        <f>SUMPRODUCT(('Activo intangible'!$D$10:$LI$10=AA7+0),'Activo intangible'!$D$17:$LI$17)</f>
        <v/>
      </c>
      <c r="AB18" s="20">
        <f>SUMPRODUCT(('Activo intangible'!$D$10:$LI$10=AB7+0),'Activo intangible'!$D$17:$LI$17)</f>
        <v/>
      </c>
      <c r="AC18" s="20">
        <f>SUMPRODUCT(('Activo intangible'!$D$10:$LI$10=AC7+0),'Activo intangible'!$D$17:$LI$17)</f>
        <v/>
      </c>
      <c r="AD18" s="20">
        <f>SUMPRODUCT(('Activo intangible'!$D$10:$LI$10=AD7+0),'Activo intangible'!$D$17:$LI$17)</f>
        <v/>
      </c>
      <c r="AE18" s="20">
        <f>SUMPRODUCT(('Activo intangible'!$D$10:$LI$10=AE7+0),'Activo intangible'!$D$17:$LI$17)</f>
        <v/>
      </c>
      <c r="AF18" s="20">
        <f>SUMPRODUCT(('Activo intangible'!$D$10:$LI$10=AF7+0),'Activo intangible'!$D$17:$LI$17)</f>
        <v/>
      </c>
      <c r="AG18" s="20">
        <f>SUMPRODUCT(('Activo intangible'!$D$10:$LI$10=AG7+0),'Activo intangible'!$D$17:$LI$17)</f>
        <v/>
      </c>
      <c r="AH18" s="20">
        <f>SUMPRODUCT(('Activo intangible'!$D$10:$LI$10=AH7+0),'Activo intangible'!$D$17:$LI$17)</f>
        <v/>
      </c>
      <c r="AI18" s="20">
        <f>SUMPRODUCT(('Activo intangible'!$D$10:$LI$10=AI7+0),'Activo intangible'!$D$17:$LI$17)</f>
        <v/>
      </c>
      <c r="AJ18" s="20">
        <f>SUMPRODUCT(('Activo intangible'!$D$10:$LI$10=AJ7+0),'Activo intangible'!$D$17:$LI$17)</f>
        <v/>
      </c>
      <c r="AK18" s="20">
        <f>SUMPRODUCT(('Activo intangible'!$D$10:$LI$10=AK7+0),'Activo intangible'!$D$17:$LI$17)</f>
        <v/>
      </c>
      <c r="AL18" s="20">
        <f>SUMPRODUCT(('Activo intangible'!$D$10:$LI$10=AL7+0),'Activo intangible'!$D$17:$LI$17)</f>
        <v/>
      </c>
      <c r="AM18" s="20">
        <f>SUMPRODUCT(('Activo intangible'!$D$10:$LI$10=AM7+0),'Activo intangible'!$D$17:$LI$17)</f>
        <v/>
      </c>
      <c r="AN18" s="20">
        <f>SUMPRODUCT(('Activo intangible'!$D$10:$LI$10=AN7+0),'Activo intangible'!$D$17:$LI$17)</f>
        <v/>
      </c>
      <c r="AO18" s="20">
        <f>SUMPRODUCT(('Activo intangible'!$D$10:$LI$10=AO7+0),'Activo intangible'!$D$17:$LI$17)</f>
        <v/>
      </c>
      <c r="AP18" s="20">
        <f>SUMPRODUCT(('Activo intangible'!$D$10:$LI$10=AP7+0),'Activo intangible'!$D$17:$LI$17)</f>
        <v/>
      </c>
      <c r="AQ18" s="20">
        <f>SUMPRODUCT(('Activo intangible'!$D$10:$LI$10=AQ7+0),'Activo intangible'!$D$17:$LI$17)</f>
        <v/>
      </c>
      <c r="AR18" s="20">
        <f>SUMPRODUCT(('Activo intangible'!$D$10:$LI$10=AR7+0),'Activo intangible'!$D$17:$LI$17)</f>
        <v/>
      </c>
      <c r="AS18" s="20">
        <f>SUMPRODUCT(('Activo intangible'!$D$10:$LI$10=AS7+0),'Activo intangible'!$D$17:$LI$17)</f>
        <v/>
      </c>
      <c r="AT18" s="20">
        <f>SUMPRODUCT(('Activo intangible'!$D$10:$LI$10=AT7+0),'Activo intangible'!$D$17:$LI$17)</f>
        <v/>
      </c>
      <c r="AU18" s="20">
        <f>SUMPRODUCT(('Activo intangible'!$D$10:$LI$10=AU7+0),'Activo intangible'!$D$17:$LI$17)</f>
        <v/>
      </c>
      <c r="AV18" s="20">
        <f>SUMPRODUCT(('Activo intangible'!$D$10:$LI$10=AV7+0),'Activo intangible'!$D$17:$LI$17)</f>
        <v/>
      </c>
      <c r="AW18" s="20">
        <f>SUMPRODUCT(('Activo intangible'!$D$10:$LI$10=AW7+0),'Activo intangible'!$D$17:$LI$17)</f>
        <v/>
      </c>
      <c r="AX18" s="20">
        <f>SUMPRODUCT(('Activo intangible'!$D$10:$LI$10=AX7+0),'Activo intangible'!$D$17:$LI$17)</f>
        <v/>
      </c>
      <c r="AY18" s="20">
        <f>SUMPRODUCT(('Activo intangible'!$D$10:$LI$10=AY7+0),'Activo intangible'!$D$17:$LI$17)</f>
        <v/>
      </c>
      <c r="AZ18" s="20">
        <f>SUMPRODUCT(('Activo intangible'!$D$10:$LI$10=AZ7+0),'Activo intangible'!$D$17:$LI$17)</f>
        <v/>
      </c>
      <c r="BA18" s="20">
        <f>SUMPRODUCT(('Activo intangible'!$D$10:$LI$10=BA7+0),'Activo intangible'!$D$17:$LI$17)</f>
        <v/>
      </c>
      <c r="BB18" s="20">
        <f>SUMPRODUCT(('Activo intangible'!$D$10:$LI$10=BB7+0),'Activo intangible'!$D$17:$LI$17)</f>
        <v/>
      </c>
      <c r="BC18" s="20">
        <f>SUMPRODUCT(('Activo intangible'!$D$10:$LI$10=BC7+0),'Activo intangible'!$D$17:$LI$17)</f>
        <v/>
      </c>
      <c r="BD18" s="20">
        <f>SUMPRODUCT(('Activo intangible'!$D$10:$LI$10=BD7+0),'Activo intangible'!$D$17:$LI$17)</f>
        <v/>
      </c>
      <c r="BE18" s="20">
        <f>SUMPRODUCT(('Activo intangible'!$D$10:$LI$10=BE7+0),'Activo intangible'!$D$17:$LI$17)</f>
        <v/>
      </c>
      <c r="BF18" s="20">
        <f>SUMPRODUCT(('Activo intangible'!$D$10:$LI$10=BF7+0),'Activo intangible'!$D$17:$LI$17)</f>
        <v/>
      </c>
      <c r="BG18" s="20">
        <f>SUMPRODUCT(('Activo intangible'!$D$10:$LI$10=BG7+0),'Activo intangible'!$D$17:$LI$17)</f>
        <v/>
      </c>
      <c r="BH18" s="20">
        <f>SUMPRODUCT(('Activo intangible'!$D$10:$LI$10=BH7+0),'Activo intangible'!$D$17:$LI$17)</f>
        <v/>
      </c>
      <c r="BI18" s="20">
        <f>SUMPRODUCT(('Activo intangible'!$D$10:$LI$10=BI7+0),'Activo intangible'!$D$17:$LI$17)</f>
        <v/>
      </c>
      <c r="BJ18" s="20">
        <f>SUMPRODUCT(('Activo intangible'!$D$10:$LI$10=BJ7+0),'Activo intangible'!$D$17:$LI$17)</f>
        <v/>
      </c>
      <c r="BK18" s="20">
        <f>SUMPRODUCT(('Activo intangible'!$D$10:$LI$10=BK7+0),'Activo intangible'!$D$17:$LI$17)</f>
        <v/>
      </c>
      <c r="BL18" s="20">
        <f>SUMPRODUCT(('Activo intangible'!$D$10:$LI$10=BL7+0),'Activo intangible'!$D$17:$LI$17)</f>
        <v/>
      </c>
      <c r="BM18" s="20">
        <f>SUMPRODUCT(('Activo intangible'!$D$10:$LI$10=BM7+0),'Activo intangible'!$D$17:$LI$17)</f>
        <v/>
      </c>
      <c r="BN18" s="20">
        <f>SUMPRODUCT(('Activo intangible'!$D$10:$LI$10=BN7+0),'Activo intangible'!$D$17:$LI$17)</f>
        <v/>
      </c>
      <c r="BO18" s="20">
        <f>SUMPRODUCT(('Activo intangible'!$D$10:$LI$10=BO7+0),'Activo intangible'!$D$17:$LI$17)</f>
        <v/>
      </c>
      <c r="BP18" s="20">
        <f>SUMPRODUCT(('Activo intangible'!$D$10:$LI$10=BP7+0),'Activo intangible'!$D$17:$LI$17)</f>
        <v/>
      </c>
      <c r="BQ18" s="20">
        <f>SUMPRODUCT(('Activo intangible'!$D$10:$LI$10=BQ7+0),'Activo intangible'!$D$17:$LI$17)</f>
        <v/>
      </c>
      <c r="BR18" s="20">
        <f>SUMPRODUCT(('Activo intangible'!$D$10:$LI$10=BR7+0),'Activo intangible'!$D$17:$LI$17)</f>
        <v/>
      </c>
      <c r="BS18" s="20">
        <f>SUMPRODUCT(('Activo intangible'!$D$10:$LI$10=BS7+0),'Activo intangible'!$D$17:$LI$17)</f>
        <v/>
      </c>
      <c r="BT18" s="20">
        <f>SUMPRODUCT(('Activo intangible'!$D$10:$LI$10=BT7+0),'Activo intangible'!$D$17:$LI$17)</f>
        <v/>
      </c>
      <c r="BU18" s="20">
        <f>SUMPRODUCT(('Activo intangible'!$D$10:$LI$10=BU7+0),'Activo intangible'!$D$17:$LI$17)</f>
        <v/>
      </c>
      <c r="BV18" s="20">
        <f>SUMPRODUCT(('Activo intangible'!$D$10:$LI$10=BV7+0),'Activo intangible'!$D$17:$LI$17)</f>
        <v/>
      </c>
      <c r="BW18" s="20">
        <f>SUMPRODUCT(('Activo intangible'!$D$10:$LI$10=BW7+0),'Activo intangible'!$D$17:$LI$17)</f>
        <v/>
      </c>
      <c r="BX18" s="20">
        <f>SUMPRODUCT(('Activo intangible'!$D$10:$LI$10=BX7+0),'Activo intangible'!$D$17:$LI$17)</f>
        <v/>
      </c>
      <c r="BY18" s="20">
        <f>SUMPRODUCT(('Activo intangible'!$D$10:$LI$10=BY7+0),'Activo intangible'!$D$17:$LI$17)</f>
        <v/>
      </c>
      <c r="BZ18" s="20">
        <f>SUMPRODUCT(('Activo intangible'!$D$10:$LI$10=BZ7+0),'Activo intangible'!$D$17:$LI$17)</f>
        <v/>
      </c>
      <c r="CA18" s="20">
        <f>SUMPRODUCT(('Activo intangible'!$D$10:$LI$10=CA7+0),'Activo intangible'!$D$17:$LI$17)</f>
        <v/>
      </c>
      <c r="CB18" s="20">
        <f>SUMPRODUCT(('Activo intangible'!$D$10:$LI$10=CB7+0),'Activo intangible'!$D$17:$LI$17)</f>
        <v/>
      </c>
      <c r="CC18" s="20">
        <f>SUMPRODUCT(('Activo intangible'!$D$10:$LI$10=CC7+0),'Activo intangible'!$D$17:$LI$17)</f>
        <v/>
      </c>
      <c r="CD18" s="20">
        <f>SUMPRODUCT(('Activo intangible'!$D$10:$LI$10=CD7+0),'Activo intangible'!$D$17:$LI$17)</f>
        <v/>
      </c>
      <c r="CE18" s="20">
        <f>SUMPRODUCT(('Activo intangible'!$D$10:$LI$10=CE7+0),'Activo intangible'!$D$17:$LI$17)</f>
        <v/>
      </c>
      <c r="CF18" s="20">
        <f>SUMPRODUCT(('Activo intangible'!$D$10:$LI$10=CF7+0),'Activo intangible'!$D$17:$LI$17)</f>
        <v/>
      </c>
      <c r="CG18" s="20">
        <f>SUMPRODUCT(('Activo intangible'!$D$10:$LI$10=CG7+0),'Activo intangible'!$D$17:$LI$17)</f>
        <v/>
      </c>
      <c r="CH18" s="20">
        <f>SUMPRODUCT(('Activo intangible'!$D$10:$LI$10=CH7+0),'Activo intangible'!$D$17:$LI$17)</f>
        <v/>
      </c>
      <c r="CI18" s="20">
        <f>SUMPRODUCT(('Activo intangible'!$D$10:$LI$10=CI7+0),'Activo intangible'!$D$17:$LI$17)</f>
        <v/>
      </c>
      <c r="CJ18" s="20">
        <f>SUMPRODUCT(('Activo intangible'!$D$10:$LI$10=CJ7+0),'Activo intangible'!$D$17:$LI$17)</f>
        <v/>
      </c>
      <c r="CK18" s="20">
        <f>SUMPRODUCT(('Activo intangible'!$D$10:$LI$10=CK7+0),'Activo intangible'!$D$17:$LI$17)</f>
        <v/>
      </c>
      <c r="CL18" s="20">
        <f>SUMPRODUCT(('Activo intangible'!$D$10:$LI$10=CL7+0),'Activo intangible'!$D$17:$LI$17)</f>
        <v/>
      </c>
      <c r="CM18" s="20">
        <f>SUMPRODUCT(('Activo intangible'!$D$10:$LI$10=CM7+0),'Activo intangible'!$D$17:$LI$17)</f>
        <v/>
      </c>
      <c r="CN18" s="20">
        <f>SUMPRODUCT(('Activo intangible'!$D$10:$LI$10=CN7+0),'Activo intangible'!$D$17:$LI$17)</f>
        <v/>
      </c>
      <c r="CO18" s="20">
        <f>SUMPRODUCT(('Activo intangible'!$D$10:$LI$10=CO7+0),'Activo intangible'!$D$17:$LI$17)</f>
        <v/>
      </c>
      <c r="CP18" s="20">
        <f>SUMPRODUCT(('Activo intangible'!$D$10:$LI$10=CP7+0),'Activo intangible'!$D$17:$LI$17)</f>
        <v/>
      </c>
      <c r="CQ18" s="20">
        <f>SUMPRODUCT(('Activo intangible'!$D$10:$LI$10=CQ7+0),'Activo intangible'!$D$17:$LI$17)</f>
        <v/>
      </c>
      <c r="CR18" s="20">
        <f>SUMPRODUCT(('Activo intangible'!$D$10:$LI$10=CR7+0),'Activo intangible'!$D$17:$LI$17)</f>
        <v/>
      </c>
      <c r="CS18" s="20">
        <f>SUMPRODUCT(('Activo intangible'!$D$10:$LI$10=CS7+0),'Activo intangible'!$D$17:$LI$17)</f>
        <v/>
      </c>
      <c r="CT18" s="20">
        <f>SUMPRODUCT(('Activo intangible'!$D$10:$LI$10=CT7+0),'Activo intangible'!$D$17:$LI$17)</f>
        <v/>
      </c>
      <c r="CU18" s="20">
        <f>SUMPRODUCT(('Activo intangible'!$D$10:$LI$10=CU7+0),'Activo intangible'!$D$17:$LI$17)</f>
        <v/>
      </c>
      <c r="CV18" s="20">
        <f>SUMPRODUCT(('Activo intangible'!$D$10:$LI$10=CV7+0),'Activo intangible'!$D$17:$LI$17)</f>
        <v/>
      </c>
      <c r="CW18" s="20">
        <f>SUMPRODUCT(('Activo intangible'!$D$10:$LI$10=CW7+0),'Activo intangible'!$D$17:$LI$17)</f>
        <v/>
      </c>
      <c r="CX18" s="20">
        <f>SUMPRODUCT(('Activo intangible'!$D$10:$LI$10=CX7+0),'Activo intangible'!$D$17:$LI$17)</f>
        <v/>
      </c>
      <c r="CY18" s="20">
        <f>SUMPRODUCT(('Activo intangible'!$D$10:$LI$10=CY7+0),'Activo intangible'!$D$17:$LI$17)</f>
        <v/>
      </c>
      <c r="CZ18" s="20">
        <f>SUMPRODUCT(('Activo intangible'!$D$10:$LI$10=CZ7+0),'Activo intangible'!$D$17:$LI$17)</f>
        <v/>
      </c>
      <c r="DA18" s="20">
        <f>SUMPRODUCT(('Activo intangible'!$D$10:$LI$10=DA7+0),'Activo intangible'!$D$17:$LI$17)</f>
        <v/>
      </c>
      <c r="DB18" s="20">
        <f>SUMPRODUCT(('Activo intangible'!$D$10:$LI$10=DB7+0),'Activo intangible'!$D$17:$LI$17)</f>
        <v/>
      </c>
      <c r="DC18" s="20">
        <f>SUMPRODUCT(('Activo intangible'!$D$10:$LI$10=DC7+0),'Activo intangible'!$D$17:$LI$17)</f>
        <v/>
      </c>
      <c r="DD18" s="20">
        <f>SUMPRODUCT(('Activo intangible'!$D$10:$LI$10=DD7+0),'Activo intangible'!$D$17:$LI$17)</f>
        <v/>
      </c>
      <c r="DE18" s="20">
        <f>SUMPRODUCT(('Activo intangible'!$D$10:$LI$10=DE7+0),'Activo intangible'!$D$17:$LI$17)</f>
        <v/>
      </c>
    </row>
    <row r="19">
      <c r="B19" s="18" t="inlineStr">
        <is>
          <t>Intereses de operacion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5773.853692980937</v>
      </c>
      <c r="U19" s="20" t="n">
        <v>5708.363902212073</v>
      </c>
      <c r="V19" s="20" t="n">
        <v>5641.280746113046</v>
      </c>
      <c r="W19" s="20" t="n">
        <v>5572.565458136498</v>
      </c>
      <c r="X19" s="20" t="n">
        <v>5502.178328545729</v>
      </c>
      <c r="Y19" s="20" t="n">
        <v>5430.078681466923</v>
      </c>
      <c r="Z19" s="20" t="n">
        <v>5356.224851383045</v>
      </c>
      <c r="AA19" s="20" t="n">
        <v>5280.57415905585</v>
      </c>
      <c r="AB19" s="20" t="n">
        <v>5203.082886862056</v>
      </c>
      <c r="AC19" s="20" t="n">
        <v>5123.706253529461</v>
      </c>
      <c r="AD19" s="20" t="n">
        <v>5042.398388258384</v>
      </c>
      <c r="AE19" s="20" t="n">
        <v>4959.11230421349</v>
      </c>
      <c r="AF19" s="20" t="n">
        <v>4873.799871370649</v>
      </c>
      <c r="AG19" s="20" t="n">
        <v>4786.411788703192</v>
      </c>
      <c r="AH19" s="20" t="n">
        <v>4696.897555691428</v>
      </c>
      <c r="AI19" s="20" t="n">
        <v>4605.205443139013</v>
      </c>
      <c r="AJ19" s="20" t="n">
        <v>4511.282463279264</v>
      </c>
      <c r="AK19" s="20" t="n">
        <v>4415.074339154169</v>
      </c>
      <c r="AL19" s="20" t="n">
        <v>4316.525473248392</v>
      </c>
      <c r="AM19" s="20" t="n">
        <v>4215.578915360128</v>
      </c>
      <c r="AN19" s="20" t="n">
        <v>4112.176329690281</v>
      </c>
      <c r="AO19" s="20" t="n">
        <v>4006.2579611309</v>
      </c>
      <c r="AP19" s="20" t="n">
        <v>3897.762600733422</v>
      </c>
      <c r="AQ19" s="20" t="n">
        <v>3786.627550336766</v>
      </c>
      <c r="AR19" s="20" t="n">
        <v>3672.788586334815</v>
      </c>
      <c r="AS19" s="20" t="n">
        <v>3556.179922562366</v>
      </c>
      <c r="AT19" s="20" t="n">
        <v>3436.734172278106</v>
      </c>
      <c r="AU19" s="20" t="n">
        <v>3314.382309222622</v>
      </c>
      <c r="AV19" s="20" t="n">
        <v>3189.053627728957</v>
      </c>
      <c r="AW19" s="20" t="n">
        <v>3060.675701862655</v>
      </c>
      <c r="AX19" s="20" t="n">
        <v>2929.174343567694</v>
      </c>
      <c r="AY19" s="20" t="n">
        <v>2794.473559794096</v>
      </c>
      <c r="AZ19" s="20" t="n">
        <v>2656.495508582462</v>
      </c>
      <c r="BA19" s="20" t="n">
        <v>2515.16045408004</v>
      </c>
      <c r="BB19" s="20" t="n">
        <v>2370.38672046234</v>
      </c>
      <c r="BC19" s="20" t="n">
        <v>2222.090644733657</v>
      </c>
      <c r="BD19" s="20" t="n">
        <v>2070.186528379232</v>
      </c>
      <c r="BE19" s="20" t="n">
        <v>1914.586587841121</v>
      </c>
      <c r="BF19" s="20" t="n">
        <v>1755.200903789126</v>
      </c>
      <c r="BG19" s="20" t="n">
        <v>1591.937369157503</v>
      </c>
      <c r="BH19" s="20" t="n">
        <v>1424.701635917399</v>
      </c>
      <c r="BI19" s="20" t="n">
        <v>1253.397060554258</v>
      </c>
      <c r="BJ19" s="20" t="n">
        <v>1077.924648218706</v>
      </c>
      <c r="BK19" s="20" t="n">
        <v>898.1829955186181</v>
      </c>
      <c r="BL19" s="20" t="n">
        <v>714.0682319193171</v>
      </c>
      <c r="BM19" s="20" t="n">
        <v>525.4739597180471</v>
      </c>
      <c r="BN19" s="20" t="n">
        <v>332.2911925580229</v>
      </c>
      <c r="BO19" s="20" t="n">
        <v>134.4082924465271</v>
      </c>
      <c r="BP19" s="20" t="n">
        <v>-6.793292416861148e-12</v>
      </c>
      <c r="BQ19" s="20" t="n">
        <v>-6.958573088666732e-12</v>
      </c>
      <c r="BR19" s="20" t="n">
        <v>-7.127875035988838e-12</v>
      </c>
      <c r="BS19" s="20" t="n">
        <v>-7.301296096382237e-12</v>
      </c>
      <c r="BT19" s="20" t="n">
        <v>-7.478936487787487e-12</v>
      </c>
      <c r="BU19" s="20" t="n">
        <v>-7.660898866445694e-12</v>
      </c>
      <c r="BV19" s="20" t="n">
        <v>-7.847288386222298e-12</v>
      </c>
      <c r="BW19" s="20" t="n">
        <v>-8.038212759374227e-12</v>
      </c>
      <c r="BX19" s="20" t="n">
        <v>-8.233782318795525e-12</v>
      </c>
      <c r="BY19" s="20" t="n">
        <v>-8.43411008177739e-12</v>
      </c>
      <c r="BZ19" s="20" t="n">
        <v>-8.639311815319508e-12</v>
      </c>
      <c r="CA19" s="20" t="n">
        <v>-8.8495061030304e-12</v>
      </c>
      <c r="CB19" s="20" t="n">
        <v>-9.064814413655472e-12</v>
      </c>
      <c r="CC19" s="20" t="n">
        <v>-9.285361171272331e-12</v>
      </c>
      <c r="CD19" s="20" t="n">
        <v>-9.511273827193962e-12</v>
      </c>
      <c r="CE19" s="20" t="n">
        <v>-9.742682933621305e-12</v>
      </c>
      <c r="CF19" s="20" t="n">
        <v>-9.979722219087799e-12</v>
      </c>
      <c r="CG19" s="20" t="n">
        <v>-1.022252866573949e-11</v>
      </c>
      <c r="CH19" s="20" t="n">
        <v>-1.047124258849536e-11</v>
      </c>
      <c r="CI19" s="20" t="n">
        <v>-1.072600771613364e-11</v>
      </c>
      <c r="CJ19" s="20" t="n">
        <v>-1.098697127435091e-11</v>
      </c>
      <c r="CK19" s="20" t="n">
        <v>-1.125428407084207e-11</v>
      </c>
      <c r="CL19" s="20" t="n">
        <v>-1.152810058245031e-11</v>
      </c>
      <c r="CM19" s="20" t="n">
        <v>-1.18085790444374e-11</v>
      </c>
      <c r="CN19" s="20" t="n">
        <v>-1.209588154192591e-11</v>
      </c>
      <c r="CO19" s="20" t="n">
        <v>-1.239017410356629e-11</v>
      </c>
      <c r="CP19" s="20" t="n">
        <v>-1.269162679748283e-11</v>
      </c>
      <c r="CQ19" s="20" t="n">
        <v>-1.300041382955394e-11</v>
      </c>
      <c r="CR19" s="20" t="n">
        <v>-1.331671364408365e-11</v>
      </c>
      <c r="CS19" s="20" t="n">
        <v>-1.364070902692243e-11</v>
      </c>
      <c r="CT19" s="20" t="n">
        <v>-1.397258721109693e-11</v>
      </c>
      <c r="CU19" s="20" t="n">
        <v>-1.431253998500965e-11</v>
      </c>
      <c r="CV19" s="20" t="n">
        <v>-1.466076380327121e-11</v>
      </c>
      <c r="CW19" s="20" t="n">
        <v>-1.501745990022905e-11</v>
      </c>
      <c r="CX19" s="20" t="n">
        <v>-1.538283440625835e-11</v>
      </c>
      <c r="CY19" s="20" t="n">
        <v>-1.575709846688232e-11</v>
      </c>
      <c r="CZ19" s="20" t="n">
        <v>-1.614046836479058e-11</v>
      </c>
      <c r="DA19" s="20" t="n">
        <v>-1.65331656448264e-11</v>
      </c>
      <c r="DB19" s="20" t="n">
        <v>-1.693541724201475e-11</v>
      </c>
      <c r="DC19" s="20" t="n">
        <v>-1.734745561270532e-11</v>
      </c>
      <c r="DD19" s="20" t="n">
        <v>0</v>
      </c>
      <c r="DE19" s="20" t="n">
        <v>0</v>
      </c>
    </row>
    <row r="20">
      <c r="B20" s="22" t="inlineStr">
        <is>
          <t>Utilidad antes de impuestos</t>
        </is>
      </c>
      <c r="D20" s="20">
        <f>D9+D10+SUM(D11:D17)-D18-D19</f>
        <v/>
      </c>
      <c r="E20" s="20">
        <f>E9+E10+SUM(E11:E17)-E18-E19</f>
        <v/>
      </c>
      <c r="F20" s="20">
        <f>F9+F10+SUM(F11:F17)-F18-F19</f>
        <v/>
      </c>
      <c r="G20" s="20">
        <f>G9+G10+SUM(G11:G17)-G18-G19</f>
        <v/>
      </c>
      <c r="H20" s="20">
        <f>H9+H10+SUM(H11:H17)-H18-H19</f>
        <v/>
      </c>
      <c r="I20" s="20">
        <f>I9+I10+SUM(I11:I17)-I18-I19</f>
        <v/>
      </c>
      <c r="J20" s="20">
        <f>J9+J10+SUM(J11:J17)-J18-J19</f>
        <v/>
      </c>
      <c r="K20" s="20">
        <f>K9+K10+SUM(K11:K17)-K18-K19</f>
        <v/>
      </c>
      <c r="L20" s="20">
        <f>L9+L10+SUM(L11:L17)-L18-L19</f>
        <v/>
      </c>
      <c r="M20" s="20">
        <f>M9+M10+SUM(M11:M17)-M18-M19</f>
        <v/>
      </c>
      <c r="N20" s="20">
        <f>N9+N10+SUM(N11:N17)-N18-N19</f>
        <v/>
      </c>
      <c r="O20" s="20">
        <f>O9+O10+SUM(O11:O17)-O18-O19</f>
        <v/>
      </c>
      <c r="P20" s="20">
        <f>P9+P10+SUM(P11:P17)-P18-P19</f>
        <v/>
      </c>
      <c r="Q20" s="20">
        <f>Q9+Q10+SUM(Q11:Q17)-Q18-Q19</f>
        <v/>
      </c>
      <c r="R20" s="20">
        <f>R9+R10+SUM(R11:R17)-R18-R19</f>
        <v/>
      </c>
      <c r="S20" s="20">
        <f>S9+S10+SUM(S11:S17)-S18-S19</f>
        <v/>
      </c>
      <c r="T20" s="20">
        <f>T9+T10+SUM(T11:T17)-T18-T19</f>
        <v/>
      </c>
      <c r="U20" s="20">
        <f>U9+U10+SUM(U11:U17)-U18-U19</f>
        <v/>
      </c>
      <c r="V20" s="20">
        <f>V9+V10+SUM(V11:V17)-V18-V19</f>
        <v/>
      </c>
      <c r="W20" s="20">
        <f>W9+W10+SUM(W11:W17)-W18-W19</f>
        <v/>
      </c>
      <c r="X20" s="20">
        <f>X9+X10+SUM(X11:X17)-X18-X19</f>
        <v/>
      </c>
      <c r="Y20" s="20">
        <f>Y9+Y10+SUM(Y11:Y17)-Y18-Y19</f>
        <v/>
      </c>
      <c r="Z20" s="20">
        <f>Z9+Z10+SUM(Z11:Z17)-Z18-Z19</f>
        <v/>
      </c>
      <c r="AA20" s="20">
        <f>AA9+AA10+SUM(AA11:AA17)-AA18-AA19</f>
        <v/>
      </c>
      <c r="AB20" s="20">
        <f>AB9+AB10+SUM(AB11:AB17)-AB18-AB19</f>
        <v/>
      </c>
      <c r="AC20" s="20">
        <f>AC9+AC10+SUM(AC11:AC17)-AC18-AC19</f>
        <v/>
      </c>
      <c r="AD20" s="20">
        <f>AD9+AD10+SUM(AD11:AD17)-AD18-AD19</f>
        <v/>
      </c>
      <c r="AE20" s="20">
        <f>AE9+AE10+SUM(AE11:AE17)-AE18-AE19</f>
        <v/>
      </c>
      <c r="AF20" s="20">
        <f>AF9+AF10+SUM(AF11:AF17)-AF18-AF19</f>
        <v/>
      </c>
      <c r="AG20" s="20">
        <f>AG9+AG10+SUM(AG11:AG17)-AG18-AG19</f>
        <v/>
      </c>
      <c r="AH20" s="20">
        <f>AH9+AH10+SUM(AH11:AH17)-AH18-AH19</f>
        <v/>
      </c>
      <c r="AI20" s="20">
        <f>AI9+AI10+SUM(AI11:AI17)-AI18-AI19</f>
        <v/>
      </c>
      <c r="AJ20" s="20">
        <f>AJ9+AJ10+SUM(AJ11:AJ17)-AJ18-AJ19</f>
        <v/>
      </c>
      <c r="AK20" s="20">
        <f>AK9+AK10+SUM(AK11:AK17)-AK18-AK19</f>
        <v/>
      </c>
      <c r="AL20" s="20">
        <f>AL9+AL10+SUM(AL11:AL17)-AL18-AL19</f>
        <v/>
      </c>
      <c r="AM20" s="20">
        <f>AM9+AM10+SUM(AM11:AM17)-AM18-AM19</f>
        <v/>
      </c>
      <c r="AN20" s="20">
        <f>AN9+AN10+SUM(AN11:AN17)-AN18-AN19</f>
        <v/>
      </c>
      <c r="AO20" s="20">
        <f>AO9+AO10+SUM(AO11:AO17)-AO18-AO19</f>
        <v/>
      </c>
      <c r="AP20" s="20">
        <f>AP9+AP10+SUM(AP11:AP17)-AP18-AP19</f>
        <v/>
      </c>
      <c r="AQ20" s="20">
        <f>AQ9+AQ10+SUM(AQ11:AQ17)-AQ18-AQ19</f>
        <v/>
      </c>
      <c r="AR20" s="20">
        <f>AR9+AR10+SUM(AR11:AR17)-AR18-AR19</f>
        <v/>
      </c>
      <c r="AS20" s="20">
        <f>AS9+AS10+SUM(AS11:AS17)-AS18-AS19</f>
        <v/>
      </c>
      <c r="AT20" s="20">
        <f>AT9+AT10+SUM(AT11:AT17)-AT18-AT19</f>
        <v/>
      </c>
      <c r="AU20" s="20">
        <f>AU9+AU10+SUM(AU11:AU17)-AU18-AU19</f>
        <v/>
      </c>
      <c r="AV20" s="20">
        <f>AV9+AV10+SUM(AV11:AV17)-AV18-AV19</f>
        <v/>
      </c>
      <c r="AW20" s="20">
        <f>AW9+AW10+SUM(AW11:AW17)-AW18-AW19</f>
        <v/>
      </c>
      <c r="AX20" s="20">
        <f>AX9+AX10+SUM(AX11:AX17)-AX18-AX19</f>
        <v/>
      </c>
      <c r="AY20" s="20">
        <f>AY9+AY10+SUM(AY11:AY17)-AY18-AY19</f>
        <v/>
      </c>
      <c r="AZ20" s="20">
        <f>AZ9+AZ10+SUM(AZ11:AZ17)-AZ18-AZ19</f>
        <v/>
      </c>
      <c r="BA20" s="20">
        <f>BA9+BA10+SUM(BA11:BA17)-BA18-BA19</f>
        <v/>
      </c>
      <c r="BB20" s="20">
        <f>BB9+BB10+SUM(BB11:BB17)-BB18-BB19</f>
        <v/>
      </c>
      <c r="BC20" s="20">
        <f>BC9+BC10+SUM(BC11:BC17)-BC18-BC19</f>
        <v/>
      </c>
      <c r="BD20" s="20">
        <f>BD9+BD10+SUM(BD11:BD17)-BD18-BD19</f>
        <v/>
      </c>
      <c r="BE20" s="20">
        <f>BE9+BE10+SUM(BE11:BE17)-BE18-BE19</f>
        <v/>
      </c>
      <c r="BF20" s="20">
        <f>BF9+BF10+SUM(BF11:BF17)-BF18-BF19</f>
        <v/>
      </c>
      <c r="BG20" s="20">
        <f>BG9+BG10+SUM(BG11:BG17)-BG18-BG19</f>
        <v/>
      </c>
      <c r="BH20" s="20">
        <f>BH9+BH10+SUM(BH11:BH17)-BH18-BH19</f>
        <v/>
      </c>
      <c r="BI20" s="20">
        <f>BI9+BI10+SUM(BI11:BI17)-BI18-BI19</f>
        <v/>
      </c>
      <c r="BJ20" s="20">
        <f>BJ9+BJ10+SUM(BJ11:BJ17)-BJ18-BJ19</f>
        <v/>
      </c>
      <c r="BK20" s="20">
        <f>BK9+BK10+SUM(BK11:BK17)-BK18-BK19</f>
        <v/>
      </c>
      <c r="BL20" s="20">
        <f>BL9+BL10+SUM(BL11:BL17)-BL18-BL19</f>
        <v/>
      </c>
      <c r="BM20" s="20">
        <f>BM9+BM10+SUM(BM11:BM17)-BM18-BM19</f>
        <v/>
      </c>
      <c r="BN20" s="20">
        <f>BN9+BN10+SUM(BN11:BN17)-BN18-BN19</f>
        <v/>
      </c>
      <c r="BO20" s="20">
        <f>BO9+BO10+SUM(BO11:BO17)-BO18-BO19</f>
        <v/>
      </c>
      <c r="BP20" s="20">
        <f>BP9+BP10+SUM(BP11:BP17)-BP18-BP19</f>
        <v/>
      </c>
      <c r="BQ20" s="20">
        <f>BQ9+BQ10+SUM(BQ11:BQ17)-BQ18-BQ19</f>
        <v/>
      </c>
      <c r="BR20" s="20">
        <f>BR9+BR10+SUM(BR11:BR17)-BR18-BR19</f>
        <v/>
      </c>
      <c r="BS20" s="20">
        <f>BS9+BS10+SUM(BS11:BS17)-BS18-BS19</f>
        <v/>
      </c>
      <c r="BT20" s="20">
        <f>BT9+BT10+SUM(BT11:BT17)-BT18-BT19</f>
        <v/>
      </c>
      <c r="BU20" s="20">
        <f>BU9+BU10+SUM(BU11:BU17)-BU18-BU19</f>
        <v/>
      </c>
      <c r="BV20" s="20">
        <f>BV9+BV10+SUM(BV11:BV17)-BV18-BV19</f>
        <v/>
      </c>
      <c r="BW20" s="20">
        <f>BW9+BW10+SUM(BW11:BW17)-BW18-BW19</f>
        <v/>
      </c>
      <c r="BX20" s="20">
        <f>BX9+BX10+SUM(BX11:BX17)-BX18-BX19</f>
        <v/>
      </c>
      <c r="BY20" s="20">
        <f>BY9+BY10+SUM(BY11:BY17)-BY18-BY19</f>
        <v/>
      </c>
      <c r="BZ20" s="20">
        <f>BZ9+BZ10+SUM(BZ11:BZ17)-BZ18-BZ19</f>
        <v/>
      </c>
      <c r="CA20" s="20">
        <f>CA9+CA10+SUM(CA11:CA17)-CA18-CA19</f>
        <v/>
      </c>
      <c r="CB20" s="20">
        <f>CB9+CB10+SUM(CB11:CB17)-CB18-CB19</f>
        <v/>
      </c>
      <c r="CC20" s="20">
        <f>CC9+CC10+SUM(CC11:CC17)-CC18-CC19</f>
        <v/>
      </c>
      <c r="CD20" s="20">
        <f>CD9+CD10+SUM(CD11:CD17)-CD18-CD19</f>
        <v/>
      </c>
      <c r="CE20" s="20">
        <f>CE9+CE10+SUM(CE11:CE17)-CE18-CE19</f>
        <v/>
      </c>
      <c r="CF20" s="20">
        <f>CF9+CF10+SUM(CF11:CF17)-CF18-CF19</f>
        <v/>
      </c>
      <c r="CG20" s="20">
        <f>CG9+CG10+SUM(CG11:CG17)-CG18-CG19</f>
        <v/>
      </c>
      <c r="CH20" s="20">
        <f>CH9+CH10+SUM(CH11:CH17)-CH18-CH19</f>
        <v/>
      </c>
      <c r="CI20" s="20">
        <f>CI9+CI10+SUM(CI11:CI17)-CI18-CI19</f>
        <v/>
      </c>
      <c r="CJ20" s="20">
        <f>CJ9+CJ10+SUM(CJ11:CJ17)-CJ18-CJ19</f>
        <v/>
      </c>
      <c r="CK20" s="20">
        <f>CK9+CK10+SUM(CK11:CK17)-CK18-CK19</f>
        <v/>
      </c>
      <c r="CL20" s="20">
        <f>CL9+CL10+SUM(CL11:CL17)-CL18-CL19</f>
        <v/>
      </c>
      <c r="CM20" s="20">
        <f>CM9+CM10+SUM(CM11:CM17)-CM18-CM19</f>
        <v/>
      </c>
      <c r="CN20" s="20">
        <f>CN9+CN10+SUM(CN11:CN17)-CN18-CN19</f>
        <v/>
      </c>
      <c r="CO20" s="20">
        <f>CO9+CO10+SUM(CO11:CO17)-CO18-CO19</f>
        <v/>
      </c>
      <c r="CP20" s="20">
        <f>CP9+CP10+SUM(CP11:CP17)-CP18-CP19</f>
        <v/>
      </c>
      <c r="CQ20" s="20">
        <f>CQ9+CQ10+SUM(CQ11:CQ17)-CQ18-CQ19</f>
        <v/>
      </c>
      <c r="CR20" s="20">
        <f>CR9+CR10+SUM(CR11:CR17)-CR18-CR19</f>
        <v/>
      </c>
      <c r="CS20" s="20">
        <f>CS9+CS10+SUM(CS11:CS17)-CS18-CS19</f>
        <v/>
      </c>
      <c r="CT20" s="20">
        <f>CT9+CT10+SUM(CT11:CT17)-CT18-CT19</f>
        <v/>
      </c>
      <c r="CU20" s="20">
        <f>CU9+CU10+SUM(CU11:CU17)-CU18-CU19</f>
        <v/>
      </c>
      <c r="CV20" s="20">
        <f>CV9+CV10+SUM(CV11:CV17)-CV18-CV19</f>
        <v/>
      </c>
      <c r="CW20" s="20">
        <f>CW9+CW10+SUM(CW11:CW17)-CW18-CW19</f>
        <v/>
      </c>
      <c r="CX20" s="20">
        <f>CX9+CX10+SUM(CX11:CX17)-CX18-CX19</f>
        <v/>
      </c>
      <c r="CY20" s="20">
        <f>CY9+CY10+SUM(CY11:CY17)-CY18-CY19</f>
        <v/>
      </c>
      <c r="CZ20" s="20">
        <f>CZ9+CZ10+SUM(CZ11:CZ17)-CZ18-CZ19</f>
        <v/>
      </c>
      <c r="DA20" s="20">
        <f>DA9+DA10+SUM(DA11:DA17)-DA18-DA19</f>
        <v/>
      </c>
      <c r="DB20" s="20">
        <f>DB9+DB10+SUM(DB11:DB17)-DB18-DB19</f>
        <v/>
      </c>
      <c r="DC20" s="20">
        <f>DC9+DC10+SUM(DC11:DC17)-DC18-DC19</f>
        <v/>
      </c>
      <c r="DD20" s="20">
        <f>DD9+DD10+SUM(DD11:DD17)-DD18-DD19</f>
        <v/>
      </c>
      <c r="DE20" s="20">
        <f>DE9+DE10+SUM(DE11:DE17)-DE18-DE19</f>
        <v/>
      </c>
    </row>
    <row r="21">
      <c r="B21" s="18" t="inlineStr">
        <is>
          <t>Participacion e Impuesto a la Renta (del motor)</t>
        </is>
      </c>
      <c r="D21" s="20" t="n">
        <v>-0</v>
      </c>
      <c r="E21" s="20" t="n">
        <v>0</v>
      </c>
      <c r="F21" s="20" t="n">
        <v>0</v>
      </c>
      <c r="G21" s="20" t="n">
        <v>0</v>
      </c>
      <c r="H21" s="20" t="n">
        <v>-0</v>
      </c>
      <c r="I21" s="20" t="n">
        <v>0</v>
      </c>
      <c r="J21" s="20" t="n">
        <v>0</v>
      </c>
      <c r="K21" s="20" t="n">
        <v>0</v>
      </c>
      <c r="L21" s="20" t="n">
        <v>-0</v>
      </c>
      <c r="M21" s="20" t="n">
        <v>0</v>
      </c>
      <c r="N21" s="20" t="n">
        <v>0</v>
      </c>
      <c r="O21" s="20" t="n">
        <v>0</v>
      </c>
      <c r="P21" s="20" t="n">
        <v>-0</v>
      </c>
      <c r="Q21" s="20" t="n">
        <v>0</v>
      </c>
      <c r="R21" s="20" t="n">
        <v>0</v>
      </c>
      <c r="S21" s="20" t="n">
        <v>0</v>
      </c>
      <c r="T21" s="20" t="n">
        <v>-0</v>
      </c>
      <c r="U21" s="20" t="n">
        <v>0</v>
      </c>
      <c r="V21" s="20" t="n">
        <v>0</v>
      </c>
      <c r="W21" s="20" t="n">
        <v>0</v>
      </c>
      <c r="X21" s="20" t="n">
        <v>-0</v>
      </c>
      <c r="Y21" s="20" t="n">
        <v>0</v>
      </c>
      <c r="Z21" s="20" t="n">
        <v>0</v>
      </c>
      <c r="AA21" s="20" t="n">
        <v>0</v>
      </c>
      <c r="AB21" s="20" t="n">
        <v>-0</v>
      </c>
      <c r="AC21" s="20" t="n">
        <v>0</v>
      </c>
      <c r="AD21" s="20" t="n">
        <v>0</v>
      </c>
      <c r="AE21" s="20" t="n">
        <v>0</v>
      </c>
      <c r="AF21" s="20" t="n">
        <v>-251.2560245934126</v>
      </c>
      <c r="AG21" s="20" t="n">
        <v>0</v>
      </c>
      <c r="AH21" s="20" t="n">
        <v>0</v>
      </c>
      <c r="AI21" s="20" t="n">
        <v>0</v>
      </c>
      <c r="AJ21" s="20" t="n">
        <v>-2312.165014778747</v>
      </c>
      <c r="AK21" s="20" t="n">
        <v>0</v>
      </c>
      <c r="AL21" s="20" t="n">
        <v>0</v>
      </c>
      <c r="AM21" s="20" t="n">
        <v>0</v>
      </c>
      <c r="AN21" s="20" t="n">
        <v>-3383.812036821481</v>
      </c>
      <c r="AO21" s="20" t="n">
        <v>0</v>
      </c>
      <c r="AP21" s="20" t="n">
        <v>0</v>
      </c>
      <c r="AQ21" s="20" t="n">
        <v>0</v>
      </c>
      <c r="AR21" s="20" t="n">
        <v>-4526.297753586915</v>
      </c>
      <c r="AS21" s="20" t="n">
        <v>0</v>
      </c>
      <c r="AT21" s="20" t="n">
        <v>0</v>
      </c>
      <c r="AU21" s="20" t="n">
        <v>0</v>
      </c>
      <c r="AV21" s="20" t="n">
        <v>-6576.862388167968</v>
      </c>
      <c r="AW21" s="20" t="n">
        <v>0</v>
      </c>
      <c r="AX21" s="20" t="n">
        <v>0</v>
      </c>
      <c r="AY21" s="20" t="n">
        <v>0</v>
      </c>
      <c r="AZ21" s="20" t="n">
        <v>-7943.989627234886</v>
      </c>
      <c r="BA21" s="20" t="n">
        <v>0</v>
      </c>
      <c r="BB21" s="20" t="n">
        <v>0</v>
      </c>
      <c r="BC21" s="20" t="n">
        <v>0</v>
      </c>
      <c r="BD21" s="20" t="n">
        <v>-9403.745943488895</v>
      </c>
      <c r="BE21" s="20" t="n">
        <v>0</v>
      </c>
      <c r="BF21" s="20" t="n">
        <v>0</v>
      </c>
      <c r="BG21" s="20" t="n">
        <v>0</v>
      </c>
      <c r="BH21" s="20" t="n">
        <v>-11163.96516930604</v>
      </c>
      <c r="BI21" s="20" t="n">
        <v>0</v>
      </c>
      <c r="BJ21" s="20" t="n">
        <v>0</v>
      </c>
      <c r="BK21" s="20" t="n">
        <v>0</v>
      </c>
      <c r="BL21" s="20" t="n">
        <v>-12844.88073766048</v>
      </c>
      <c r="BM21" s="20" t="n">
        <v>0</v>
      </c>
      <c r="BN21" s="20" t="n">
        <v>0</v>
      </c>
      <c r="BO21" s="20" t="n">
        <v>0</v>
      </c>
      <c r="BP21" s="20" t="n">
        <v>-14669.60999894693</v>
      </c>
      <c r="BQ21" s="20" t="n">
        <v>0</v>
      </c>
      <c r="BR21" s="20" t="n">
        <v>0</v>
      </c>
      <c r="BS21" s="20" t="n">
        <v>0</v>
      </c>
      <c r="BT21" s="20" t="n">
        <v>-15828.64552400635</v>
      </c>
      <c r="BU21" s="20" t="n">
        <v>0</v>
      </c>
      <c r="BV21" s="20" t="n">
        <v>0</v>
      </c>
      <c r="BW21" s="20" t="n">
        <v>0</v>
      </c>
      <c r="BX21" s="20" t="n">
        <v>-16739.24820576577</v>
      </c>
      <c r="BY21" s="20" t="n">
        <v>0</v>
      </c>
      <c r="BZ21" s="20" t="n">
        <v>0</v>
      </c>
      <c r="CA21" s="20" t="n">
        <v>0</v>
      </c>
      <c r="CB21" s="20" t="n">
        <v>-17682.34221555345</v>
      </c>
      <c r="CC21" s="20" t="n">
        <v>0</v>
      </c>
      <c r="CD21" s="20" t="n">
        <v>0</v>
      </c>
      <c r="CE21" s="20" t="n">
        <v>0</v>
      </c>
      <c r="CF21" s="20" t="n">
        <v>-18658.77578171139</v>
      </c>
      <c r="CG21" s="20" t="n">
        <v>0</v>
      </c>
      <c r="CH21" s="20" t="n">
        <v>0</v>
      </c>
      <c r="CI21" s="20" t="n">
        <v>0</v>
      </c>
      <c r="CJ21" s="20" t="n">
        <v>-19869.95760453679</v>
      </c>
      <c r="CK21" s="20" t="n">
        <v>0</v>
      </c>
      <c r="CL21" s="20" t="n">
        <v>0</v>
      </c>
      <c r="CM21" s="20" t="n">
        <v>0</v>
      </c>
      <c r="CN21" s="20" t="n">
        <v>-20930.95087491625</v>
      </c>
      <c r="CO21" s="20" t="n">
        <v>0</v>
      </c>
      <c r="CP21" s="20" t="n">
        <v>0</v>
      </c>
      <c r="CQ21" s="20" t="n">
        <v>0</v>
      </c>
      <c r="CR21" s="20" t="n">
        <v>-22029.21154445143</v>
      </c>
      <c r="CS21" s="20" t="n">
        <v>0</v>
      </c>
      <c r="CT21" s="20" t="n">
        <v>0</v>
      </c>
      <c r="CU21" s="20" t="n">
        <v>0</v>
      </c>
      <c r="CV21" s="20" t="n">
        <v>-23225.65623477906</v>
      </c>
      <c r="CW21" s="20" t="n">
        <v>0</v>
      </c>
      <c r="CX21" s="20" t="n">
        <v>0</v>
      </c>
      <c r="CY21" s="20" t="n">
        <v>0</v>
      </c>
      <c r="CZ21" s="20" t="n">
        <v>-24465.07972389866</v>
      </c>
      <c r="DA21" s="20" t="n">
        <v>0</v>
      </c>
      <c r="DB21" s="20" t="n">
        <v>0</v>
      </c>
      <c r="DC21" s="20" t="n">
        <v>0</v>
      </c>
      <c r="DD21" s="20" t="n">
        <v>-18629.4039288646</v>
      </c>
      <c r="DE21" s="20" t="n">
        <v>0</v>
      </c>
    </row>
    <row r="22">
      <c r="B22" s="18" t="inlineStr">
        <is>
          <t>CAPEX de caja</t>
        </is>
      </c>
      <c r="D22" s="20" t="n">
        <v>-12746.0713884692</v>
      </c>
      <c r="E22" s="20" t="n">
        <v>-4330.346195995984</v>
      </c>
      <c r="F22" s="20" t="n">
        <v>-4376.837407854996</v>
      </c>
      <c r="G22" s="20" t="n">
        <v>-4150.000120325954</v>
      </c>
      <c r="H22" s="20" t="n">
        <v>-149.8340627477239</v>
      </c>
      <c r="I22" s="20" t="n">
        <v>-150.2466367764323</v>
      </c>
      <c r="J22" s="20" t="n">
        <v>-25</v>
      </c>
      <c r="K22" s="20" t="n">
        <v>-60034.29272913586</v>
      </c>
      <c r="L22" s="20" t="n">
        <v>-19270.00544820331</v>
      </c>
      <c r="M22" s="20" t="n">
        <v>-47783.89739729257</v>
      </c>
      <c r="N22" s="20" t="n">
        <v>-47384.71948946886</v>
      </c>
      <c r="O22" s="20" t="n">
        <v>-40590.9042509488</v>
      </c>
      <c r="P22" s="20" t="n">
        <v>-42859.785337389</v>
      </c>
      <c r="Q22" s="20" t="n">
        <v>-6540.48857203736</v>
      </c>
      <c r="R22" s="20" t="n">
        <v>-2007.478865467268</v>
      </c>
      <c r="S22" s="20" t="n">
        <v>-595.1119298852834</v>
      </c>
      <c r="T22" s="20" t="n">
        <v>-0</v>
      </c>
      <c r="U22" s="20" t="n">
        <v>-0</v>
      </c>
      <c r="V22" s="20" t="n">
        <v>-0</v>
      </c>
      <c r="W22" s="20" t="n">
        <v>-0</v>
      </c>
      <c r="X22" s="20" t="n">
        <v>-0</v>
      </c>
      <c r="Y22" s="20" t="n">
        <v>-0</v>
      </c>
      <c r="Z22" s="20" t="n">
        <v>-0</v>
      </c>
      <c r="AA22" s="20" t="n">
        <v>-0</v>
      </c>
      <c r="AB22" s="20" t="n">
        <v>-0</v>
      </c>
      <c r="AC22" s="20" t="n">
        <v>-0</v>
      </c>
      <c r="AD22" s="20" t="n">
        <v>-0</v>
      </c>
      <c r="AE22" s="20" t="n">
        <v>-0</v>
      </c>
      <c r="AF22" s="20" t="n">
        <v>-0</v>
      </c>
      <c r="AG22" s="20" t="n">
        <v>-0</v>
      </c>
      <c r="AH22" s="20" t="n">
        <v>-0</v>
      </c>
      <c r="AI22" s="20" t="n">
        <v>-0</v>
      </c>
      <c r="AJ22" s="20" t="n">
        <v>-0</v>
      </c>
      <c r="AK22" s="20" t="n">
        <v>-0</v>
      </c>
      <c r="AL22" s="20" t="n">
        <v>-0</v>
      </c>
      <c r="AM22" s="20" t="n">
        <v>-0</v>
      </c>
      <c r="AN22" s="20" t="n">
        <v>-0</v>
      </c>
      <c r="AO22" s="20" t="n">
        <v>-0</v>
      </c>
      <c r="AP22" s="20" t="n">
        <v>-0</v>
      </c>
      <c r="AQ22" s="20" t="n">
        <v>-0</v>
      </c>
      <c r="AR22" s="20" t="n">
        <v>-0</v>
      </c>
      <c r="AS22" s="20" t="n">
        <v>-0</v>
      </c>
      <c r="AT22" s="20" t="n">
        <v>-0</v>
      </c>
      <c r="AU22" s="20" t="n">
        <v>-0</v>
      </c>
      <c r="AV22" s="20" t="n">
        <v>-0</v>
      </c>
      <c r="AW22" s="20" t="n">
        <v>-0</v>
      </c>
      <c r="AX22" s="20" t="n">
        <v>-0</v>
      </c>
      <c r="AY22" s="20" t="n">
        <v>-0</v>
      </c>
      <c r="AZ22" s="20" t="n">
        <v>-0</v>
      </c>
      <c r="BA22" s="20" t="n">
        <v>-0</v>
      </c>
      <c r="BB22" s="20" t="n">
        <v>-0</v>
      </c>
      <c r="BC22" s="20" t="n">
        <v>-0</v>
      </c>
      <c r="BD22" s="20" t="n">
        <v>-0</v>
      </c>
      <c r="BE22" s="20" t="n">
        <v>-0</v>
      </c>
      <c r="BF22" s="20" t="n">
        <v>-0</v>
      </c>
      <c r="BG22" s="20" t="n">
        <v>-0</v>
      </c>
      <c r="BH22" s="20" t="n">
        <v>-0</v>
      </c>
      <c r="BI22" s="20" t="n">
        <v>-0</v>
      </c>
      <c r="BJ22" s="20" t="n">
        <v>-0</v>
      </c>
      <c r="BK22" s="20" t="n">
        <v>-0</v>
      </c>
      <c r="BL22" s="20" t="n">
        <v>-0</v>
      </c>
      <c r="BM22" s="20" t="n">
        <v>-0</v>
      </c>
      <c r="BN22" s="20" t="n">
        <v>-0</v>
      </c>
      <c r="BO22" s="20" t="n">
        <v>-0</v>
      </c>
      <c r="BP22" s="20" t="n">
        <v>-0</v>
      </c>
      <c r="BQ22" s="20" t="n">
        <v>-0</v>
      </c>
      <c r="BR22" s="20" t="n">
        <v>-0</v>
      </c>
      <c r="BS22" s="20" t="n">
        <v>-0</v>
      </c>
      <c r="BT22" s="20" t="n">
        <v>-0</v>
      </c>
      <c r="BU22" s="20" t="n">
        <v>-0</v>
      </c>
      <c r="BV22" s="20" t="n">
        <v>-0</v>
      </c>
      <c r="BW22" s="20" t="n">
        <v>-0</v>
      </c>
      <c r="BX22" s="20" t="n">
        <v>-0</v>
      </c>
      <c r="BY22" s="20" t="n">
        <v>-0</v>
      </c>
      <c r="BZ22" s="20" t="n">
        <v>-0</v>
      </c>
      <c r="CA22" s="20" t="n">
        <v>-0</v>
      </c>
      <c r="CB22" s="20" t="n">
        <v>-0</v>
      </c>
      <c r="CC22" s="20" t="n">
        <v>-0</v>
      </c>
      <c r="CD22" s="20" t="n">
        <v>-0</v>
      </c>
      <c r="CE22" s="20" t="n">
        <v>-0</v>
      </c>
      <c r="CF22" s="20" t="n">
        <v>-0</v>
      </c>
      <c r="CG22" s="20" t="n">
        <v>-0</v>
      </c>
      <c r="CH22" s="20" t="n">
        <v>-0</v>
      </c>
      <c r="CI22" s="20" t="n">
        <v>-0</v>
      </c>
      <c r="CJ22" s="20" t="n">
        <v>-0</v>
      </c>
      <c r="CK22" s="20" t="n">
        <v>-0</v>
      </c>
      <c r="CL22" s="20" t="n">
        <v>-0</v>
      </c>
      <c r="CM22" s="20" t="n">
        <v>-0</v>
      </c>
      <c r="CN22" s="20" t="n">
        <v>-0</v>
      </c>
      <c r="CO22" s="20" t="n">
        <v>-0</v>
      </c>
      <c r="CP22" s="20" t="n">
        <v>-0</v>
      </c>
      <c r="CQ22" s="20" t="n">
        <v>-0</v>
      </c>
      <c r="CR22" s="20" t="n">
        <v>-0</v>
      </c>
      <c r="CS22" s="20" t="n">
        <v>-0</v>
      </c>
      <c r="CT22" s="20" t="n">
        <v>-0</v>
      </c>
      <c r="CU22" s="20" t="n">
        <v>-0</v>
      </c>
      <c r="CV22" s="20" t="n">
        <v>-0</v>
      </c>
      <c r="CW22" s="20" t="n">
        <v>-0</v>
      </c>
      <c r="CX22" s="20" t="n">
        <v>-0</v>
      </c>
      <c r="CY22" s="20" t="n">
        <v>-0</v>
      </c>
      <c r="CZ22" s="20" t="n">
        <v>-0</v>
      </c>
      <c r="DA22" s="20" t="n">
        <v>-0</v>
      </c>
      <c r="DB22" s="20" t="n">
        <v>-0</v>
      </c>
      <c r="DC22" s="20" t="n">
        <v>-0</v>
      </c>
      <c r="DD22" s="20" t="n">
        <v>-0</v>
      </c>
      <c r="DE22" s="20" t="n">
        <v>-0</v>
      </c>
    </row>
    <row r="23">
      <c r="B23" s="18" t="inlineStr">
        <is>
          <t>Efecto neto del IGV</t>
        </is>
      </c>
      <c r="D23" s="20" t="n">
        <v>-258.9644279133272</v>
      </c>
      <c r="E23" s="20" t="n">
        <v>-1.285222735627769</v>
      </c>
      <c r="F23" s="20" t="n">
        <v>-2.791601208121051</v>
      </c>
      <c r="G23" s="20" t="n">
        <v>13.63270329013781</v>
      </c>
      <c r="H23" s="20" t="n">
        <v>240.4061411960853</v>
      </c>
      <c r="I23" s="20" t="n">
        <v>7.502407370852843</v>
      </c>
      <c r="J23" s="20" t="n">
        <v>0</v>
      </c>
      <c r="K23" s="20" t="n">
        <v>-1127.89586475199</v>
      </c>
      <c r="L23" s="20" t="n">
        <v>-5.597669998464653</v>
      </c>
      <c r="M23" s="20" t="n">
        <v>-1718.193441329857</v>
      </c>
      <c r="N23" s="20" t="n">
        <v>37.71246727366679</v>
      </c>
      <c r="O23" s="20" t="n">
        <v>457.4320777343723</v>
      </c>
      <c r="P23" s="20" t="n">
        <v>-313.0740543882598</v>
      </c>
      <c r="Q23" s="20" t="n">
        <v>2381.604427493971</v>
      </c>
      <c r="R23" s="20" t="n">
        <v>253.9407198164108</v>
      </c>
      <c r="S23" s="20" t="n">
        <v>-0.1690937198466855</v>
      </c>
      <c r="T23" s="20" t="n">
        <v>35.74043186999643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0" t="n">
        <v>0</v>
      </c>
      <c r="AQ23" s="20" t="n">
        <v>0</v>
      </c>
      <c r="AR23" s="20" t="n">
        <v>0</v>
      </c>
      <c r="AS23" s="20" t="n">
        <v>0</v>
      </c>
      <c r="AT23" s="20" t="n">
        <v>0</v>
      </c>
      <c r="AU23" s="20" t="n">
        <v>0</v>
      </c>
      <c r="AV23" s="20" t="n">
        <v>0</v>
      </c>
      <c r="AW23" s="20" t="n">
        <v>0</v>
      </c>
      <c r="AX23" s="20" t="n">
        <v>0</v>
      </c>
      <c r="AY23" s="20" t="n">
        <v>0</v>
      </c>
      <c r="AZ23" s="20" t="n">
        <v>0</v>
      </c>
      <c r="BA23" s="20" t="n">
        <v>0</v>
      </c>
      <c r="BB23" s="20" t="n">
        <v>0</v>
      </c>
      <c r="BC23" s="20" t="n">
        <v>0</v>
      </c>
      <c r="BD23" s="20" t="n">
        <v>0</v>
      </c>
      <c r="BE23" s="20" t="n">
        <v>0</v>
      </c>
      <c r="BF23" s="20" t="n">
        <v>0</v>
      </c>
      <c r="BG23" s="20" t="n">
        <v>0</v>
      </c>
      <c r="BH23" s="20" t="n">
        <v>0</v>
      </c>
      <c r="BI23" s="20" t="n">
        <v>0</v>
      </c>
      <c r="BJ23" s="20" t="n">
        <v>0</v>
      </c>
      <c r="BK23" s="20" t="n">
        <v>0</v>
      </c>
      <c r="BL23" s="20" t="n">
        <v>0</v>
      </c>
      <c r="BM23" s="20" t="n">
        <v>0</v>
      </c>
      <c r="BN23" s="20" t="n">
        <v>0</v>
      </c>
      <c r="BO23" s="20" t="n">
        <v>0</v>
      </c>
      <c r="BP23" s="20" t="n">
        <v>0</v>
      </c>
      <c r="BQ23" s="20" t="n">
        <v>0</v>
      </c>
      <c r="BR23" s="20" t="n">
        <v>0</v>
      </c>
      <c r="BS23" s="20" t="n">
        <v>0</v>
      </c>
      <c r="BT23" s="20" t="n">
        <v>0</v>
      </c>
      <c r="BU23" s="20" t="n">
        <v>0</v>
      </c>
      <c r="BV23" s="20" t="n">
        <v>0</v>
      </c>
      <c r="BW23" s="20" t="n">
        <v>0</v>
      </c>
      <c r="BX23" s="20" t="n">
        <v>0</v>
      </c>
      <c r="BY23" s="20" t="n">
        <v>0</v>
      </c>
      <c r="BZ23" s="20" t="n">
        <v>0</v>
      </c>
      <c r="CA23" s="20" t="n">
        <v>0</v>
      </c>
      <c r="CB23" s="20" t="n">
        <v>0</v>
      </c>
      <c r="CC23" s="20" t="n">
        <v>0</v>
      </c>
      <c r="CD23" s="20" t="n">
        <v>0</v>
      </c>
      <c r="CE23" s="20" t="n">
        <v>0</v>
      </c>
      <c r="CF23" s="20" t="n">
        <v>0</v>
      </c>
      <c r="CG23" s="20" t="n">
        <v>0</v>
      </c>
      <c r="CH23" s="20" t="n">
        <v>0</v>
      </c>
      <c r="CI23" s="20" t="n">
        <v>0</v>
      </c>
      <c r="CJ23" s="20" t="n">
        <v>0</v>
      </c>
      <c r="CK23" s="20" t="n">
        <v>0</v>
      </c>
      <c r="CL23" s="20" t="n">
        <v>0</v>
      </c>
      <c r="CM23" s="20" t="n">
        <v>0</v>
      </c>
      <c r="CN23" s="20" t="n">
        <v>0</v>
      </c>
      <c r="CO23" s="20" t="n">
        <v>0</v>
      </c>
      <c r="CP23" s="20" t="n">
        <v>0</v>
      </c>
      <c r="CQ23" s="20" t="n">
        <v>0</v>
      </c>
      <c r="CR23" s="20" t="n">
        <v>0</v>
      </c>
      <c r="CS23" s="20" t="n">
        <v>0</v>
      </c>
      <c r="CT23" s="20" t="n">
        <v>0</v>
      </c>
      <c r="CU23" s="20" t="n">
        <v>0</v>
      </c>
      <c r="CV23" s="20" t="n">
        <v>0</v>
      </c>
      <c r="CW23" s="20" t="n">
        <v>0</v>
      </c>
      <c r="CX23" s="20" t="n">
        <v>0</v>
      </c>
      <c r="CY23" s="20" t="n">
        <v>0</v>
      </c>
      <c r="CZ23" s="20" t="n">
        <v>0</v>
      </c>
      <c r="DA23" s="20" t="n">
        <v>0</v>
      </c>
      <c r="DB23" s="20" t="n">
        <v>0</v>
      </c>
      <c r="DC23" s="20" t="n">
        <v>0</v>
      </c>
      <c r="DD23" s="20" t="n">
        <v>0</v>
      </c>
      <c r="DE23" s="20" t="n">
        <v>0</v>
      </c>
    </row>
    <row r="24">
      <c r="B24" s="18" t="inlineStr">
        <is>
          <t>Desembolsos de deuda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44327.12771547907</v>
      </c>
      <c r="L24" s="20" t="n">
        <v>15088.34122667402</v>
      </c>
      <c r="M24" s="20" t="n">
        <v>37959.8337772916</v>
      </c>
      <c r="N24" s="20" t="n">
        <v>37715.89442652093</v>
      </c>
      <c r="O24" s="20" t="n">
        <v>32348.99061954396</v>
      </c>
      <c r="P24" s="20" t="n">
        <v>34229.7746504811</v>
      </c>
      <c r="Q24" s="20" t="n">
        <v>5205.325816908577</v>
      </c>
      <c r="R24" s="20" t="n">
        <v>1584.774359090497</v>
      </c>
      <c r="S24" s="20" t="n">
        <v>455.7867371664599</v>
      </c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0</v>
      </c>
      <c r="AU24" s="20" t="n">
        <v>0</v>
      </c>
      <c r="AV24" s="20" t="n">
        <v>0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0</v>
      </c>
      <c r="BK24" s="20" t="n">
        <v>0</v>
      </c>
      <c r="BL24" s="20" t="n">
        <v>0</v>
      </c>
      <c r="BM24" s="20" t="n">
        <v>0</v>
      </c>
      <c r="BN24" s="20" t="n">
        <v>0</v>
      </c>
      <c r="BO24" s="20" t="n">
        <v>0</v>
      </c>
      <c r="BP24" s="20" t="n">
        <v>0</v>
      </c>
      <c r="BQ24" s="20" t="n">
        <v>0</v>
      </c>
      <c r="BR24" s="20" t="n">
        <v>0</v>
      </c>
      <c r="BS24" s="20" t="n">
        <v>0</v>
      </c>
      <c r="BT24" s="20" t="n">
        <v>0</v>
      </c>
      <c r="BU24" s="20" t="n">
        <v>0</v>
      </c>
      <c r="BV24" s="20" t="n">
        <v>0</v>
      </c>
      <c r="BW24" s="20" t="n">
        <v>0</v>
      </c>
      <c r="BX24" s="20" t="n">
        <v>0</v>
      </c>
      <c r="BY24" s="20" t="n">
        <v>0</v>
      </c>
      <c r="BZ24" s="20" t="n">
        <v>0</v>
      </c>
      <c r="CA24" s="20" t="n">
        <v>0</v>
      </c>
      <c r="CB24" s="20" t="n">
        <v>0</v>
      </c>
      <c r="CC24" s="20" t="n">
        <v>0</v>
      </c>
      <c r="CD24" s="20" t="n">
        <v>0</v>
      </c>
      <c r="CE24" s="20" t="n">
        <v>0</v>
      </c>
      <c r="CF24" s="20" t="n">
        <v>0</v>
      </c>
      <c r="CG24" s="20" t="n">
        <v>0</v>
      </c>
      <c r="CH24" s="20" t="n">
        <v>0</v>
      </c>
      <c r="CI24" s="20" t="n">
        <v>0</v>
      </c>
      <c r="CJ24" s="20" t="n">
        <v>0</v>
      </c>
      <c r="CK24" s="20" t="n">
        <v>0</v>
      </c>
      <c r="CL24" s="20" t="n">
        <v>0</v>
      </c>
      <c r="CM24" s="20" t="n">
        <v>0</v>
      </c>
      <c r="CN24" s="20" t="n">
        <v>0</v>
      </c>
      <c r="CO24" s="20" t="n">
        <v>0</v>
      </c>
      <c r="CP24" s="20" t="n">
        <v>0</v>
      </c>
      <c r="CQ24" s="20" t="n">
        <v>0</v>
      </c>
      <c r="CR24" s="20" t="n">
        <v>0</v>
      </c>
      <c r="CS24" s="20" t="n">
        <v>0</v>
      </c>
      <c r="CT24" s="20" t="n">
        <v>0</v>
      </c>
      <c r="CU24" s="20" t="n">
        <v>0</v>
      </c>
      <c r="CV24" s="20" t="n">
        <v>0</v>
      </c>
      <c r="CW24" s="20" t="n">
        <v>0</v>
      </c>
      <c r="CX24" s="20" t="n">
        <v>0</v>
      </c>
      <c r="CY24" s="20" t="n">
        <v>0</v>
      </c>
      <c r="CZ24" s="20" t="n">
        <v>0</v>
      </c>
      <c r="DA24" s="20" t="n">
        <v>0</v>
      </c>
      <c r="DB24" s="20" t="n">
        <v>0</v>
      </c>
      <c r="DC24" s="20" t="n">
        <v>0</v>
      </c>
      <c r="DD24" s="20" t="n">
        <v>0</v>
      </c>
      <c r="DE24" s="20" t="n">
        <v>0</v>
      </c>
    </row>
    <row r="25">
      <c r="B25" s="18" t="inlineStr">
        <is>
          <t>Servicio de deuda</t>
        </is>
      </c>
      <c r="D25" s="20" t="n">
        <v>-0</v>
      </c>
      <c r="E25" s="20" t="n">
        <v>-0</v>
      </c>
      <c r="F25" s="20" t="n">
        <v>-0</v>
      </c>
      <c r="G25" s="20" t="n">
        <v>-0</v>
      </c>
      <c r="H25" s="20" t="n">
        <v>-0</v>
      </c>
      <c r="I25" s="20" t="n">
        <v>-0</v>
      </c>
      <c r="J25" s="20" t="n">
        <v>-0</v>
      </c>
      <c r="K25" s="20" t="n">
        <v>-0</v>
      </c>
      <c r="L25" s="20" t="n">
        <v>-0</v>
      </c>
      <c r="M25" s="20" t="n">
        <v>-0</v>
      </c>
      <c r="N25" s="20" t="n">
        <v>-0</v>
      </c>
      <c r="O25" s="20" t="n">
        <v>-0</v>
      </c>
      <c r="P25" s="20" t="n">
        <v>-0</v>
      </c>
      <c r="Q25" s="20" t="n">
        <v>-0</v>
      </c>
      <c r="R25" s="20" t="n">
        <v>-0</v>
      </c>
      <c r="S25" s="20" t="n">
        <v>-0</v>
      </c>
      <c r="T25" s="20" t="n">
        <v>-8465.585848663723</v>
      </c>
      <c r="U25" s="20" t="n">
        <v>-8465.585848663723</v>
      </c>
      <c r="V25" s="20" t="n">
        <v>-8465.585848663723</v>
      </c>
      <c r="W25" s="20" t="n">
        <v>-8465.585848663723</v>
      </c>
      <c r="X25" s="20" t="n">
        <v>-8465.585848663723</v>
      </c>
      <c r="Y25" s="20" t="n">
        <v>-8465.585848663723</v>
      </c>
      <c r="Z25" s="20" t="n">
        <v>-8465.585848663723</v>
      </c>
      <c r="AA25" s="20" t="n">
        <v>-8465.585848663723</v>
      </c>
      <c r="AB25" s="20" t="n">
        <v>-8465.585848663723</v>
      </c>
      <c r="AC25" s="20" t="n">
        <v>-8465.585848663723</v>
      </c>
      <c r="AD25" s="20" t="n">
        <v>-8465.585848663723</v>
      </c>
      <c r="AE25" s="20" t="n">
        <v>-8465.585848663723</v>
      </c>
      <c r="AF25" s="20" t="n">
        <v>-8465.585848663723</v>
      </c>
      <c r="AG25" s="20" t="n">
        <v>-8465.585848663723</v>
      </c>
      <c r="AH25" s="20" t="n">
        <v>-8465.585848663723</v>
      </c>
      <c r="AI25" s="20" t="n">
        <v>-8465.585848663723</v>
      </c>
      <c r="AJ25" s="20" t="n">
        <v>-8465.585848663723</v>
      </c>
      <c r="AK25" s="20" t="n">
        <v>-8465.585848663723</v>
      </c>
      <c r="AL25" s="20" t="n">
        <v>-8465.585848663723</v>
      </c>
      <c r="AM25" s="20" t="n">
        <v>-8465.585848663723</v>
      </c>
      <c r="AN25" s="20" t="n">
        <v>-8465.585848663723</v>
      </c>
      <c r="AO25" s="20" t="n">
        <v>-8465.585848663723</v>
      </c>
      <c r="AP25" s="20" t="n">
        <v>-8465.585848663723</v>
      </c>
      <c r="AQ25" s="20" t="n">
        <v>-8465.585848663723</v>
      </c>
      <c r="AR25" s="20" t="n">
        <v>-8465.585848663723</v>
      </c>
      <c r="AS25" s="20" t="n">
        <v>-8465.585848663723</v>
      </c>
      <c r="AT25" s="20" t="n">
        <v>-8465.585848663723</v>
      </c>
      <c r="AU25" s="20" t="n">
        <v>-8465.585848663723</v>
      </c>
      <c r="AV25" s="20" t="n">
        <v>-8465.585848663723</v>
      </c>
      <c r="AW25" s="20" t="n">
        <v>-8465.585848663723</v>
      </c>
      <c r="AX25" s="20" t="n">
        <v>-8465.585848663723</v>
      </c>
      <c r="AY25" s="20" t="n">
        <v>-8465.585848663723</v>
      </c>
      <c r="AZ25" s="20" t="n">
        <v>-8465.585848663723</v>
      </c>
      <c r="BA25" s="20" t="n">
        <v>-8465.585848663723</v>
      </c>
      <c r="BB25" s="20" t="n">
        <v>-8465.585848663723</v>
      </c>
      <c r="BC25" s="20" t="n">
        <v>-8465.585848663723</v>
      </c>
      <c r="BD25" s="20" t="n">
        <v>-8465.585848663723</v>
      </c>
      <c r="BE25" s="20" t="n">
        <v>-8465.585848663723</v>
      </c>
      <c r="BF25" s="20" t="n">
        <v>-8465.585848663723</v>
      </c>
      <c r="BG25" s="20" t="n">
        <v>-8465.585848663723</v>
      </c>
      <c r="BH25" s="20" t="n">
        <v>-8465.585848663723</v>
      </c>
      <c r="BI25" s="20" t="n">
        <v>-8465.585848663723</v>
      </c>
      <c r="BJ25" s="20" t="n">
        <v>-8465.585848663723</v>
      </c>
      <c r="BK25" s="20" t="n">
        <v>-8465.585848663723</v>
      </c>
      <c r="BL25" s="20" t="n">
        <v>-8465.585848663723</v>
      </c>
      <c r="BM25" s="20" t="n">
        <v>-8465.585848663723</v>
      </c>
      <c r="BN25" s="20" t="n">
        <v>-8465.585848663723</v>
      </c>
      <c r="BO25" s="20" t="n">
        <v>-8465.585848663723</v>
      </c>
      <c r="BP25" s="20" t="n">
        <v>-0</v>
      </c>
      <c r="BQ25" s="20" t="n">
        <v>-0</v>
      </c>
      <c r="BR25" s="20" t="n">
        <v>-0</v>
      </c>
      <c r="BS25" s="20" t="n">
        <v>-0</v>
      </c>
      <c r="BT25" s="20" t="n">
        <v>-0</v>
      </c>
      <c r="BU25" s="20" t="n">
        <v>-0</v>
      </c>
      <c r="BV25" s="20" t="n">
        <v>-0</v>
      </c>
      <c r="BW25" s="20" t="n">
        <v>-0</v>
      </c>
      <c r="BX25" s="20" t="n">
        <v>-0</v>
      </c>
      <c r="BY25" s="20" t="n">
        <v>-0</v>
      </c>
      <c r="BZ25" s="20" t="n">
        <v>-0</v>
      </c>
      <c r="CA25" s="20" t="n">
        <v>-0</v>
      </c>
      <c r="CB25" s="20" t="n">
        <v>-0</v>
      </c>
      <c r="CC25" s="20" t="n">
        <v>-0</v>
      </c>
      <c r="CD25" s="20" t="n">
        <v>-0</v>
      </c>
      <c r="CE25" s="20" t="n">
        <v>-0</v>
      </c>
      <c r="CF25" s="20" t="n">
        <v>-0</v>
      </c>
      <c r="CG25" s="20" t="n">
        <v>-0</v>
      </c>
      <c r="CH25" s="20" t="n">
        <v>-0</v>
      </c>
      <c r="CI25" s="20" t="n">
        <v>-0</v>
      </c>
      <c r="CJ25" s="20" t="n">
        <v>-0</v>
      </c>
      <c r="CK25" s="20" t="n">
        <v>-0</v>
      </c>
      <c r="CL25" s="20" t="n">
        <v>-0</v>
      </c>
      <c r="CM25" s="20" t="n">
        <v>-0</v>
      </c>
      <c r="CN25" s="20" t="n">
        <v>-0</v>
      </c>
      <c r="CO25" s="20" t="n">
        <v>-0</v>
      </c>
      <c r="CP25" s="20" t="n">
        <v>-0</v>
      </c>
      <c r="CQ25" s="20" t="n">
        <v>-0</v>
      </c>
      <c r="CR25" s="20" t="n">
        <v>-0</v>
      </c>
      <c r="CS25" s="20" t="n">
        <v>-0</v>
      </c>
      <c r="CT25" s="20" t="n">
        <v>-0</v>
      </c>
      <c r="CU25" s="20" t="n">
        <v>-0</v>
      </c>
      <c r="CV25" s="20" t="n">
        <v>-0</v>
      </c>
      <c r="CW25" s="20" t="n">
        <v>-0</v>
      </c>
      <c r="CX25" s="20" t="n">
        <v>-0</v>
      </c>
      <c r="CY25" s="20" t="n">
        <v>-0</v>
      </c>
      <c r="CZ25" s="20" t="n">
        <v>-0</v>
      </c>
      <c r="DA25" s="20" t="n">
        <v>-0</v>
      </c>
      <c r="DB25" s="20" t="n">
        <v>-0</v>
      </c>
      <c r="DC25" s="20" t="n">
        <v>-0</v>
      </c>
      <c r="DD25" s="20" t="n">
        <v>-0</v>
      </c>
      <c r="DE25" s="20" t="n">
        <v>-0</v>
      </c>
    </row>
    <row r="26">
      <c r="B26" s="22" t="inlineStr">
        <is>
          <t>Flujo de caja financiero</t>
        </is>
      </c>
      <c r="D26" s="20">
        <f>D9+D10+SUM(D11:D17)+D21+SUM(D22:D25)</f>
        <v/>
      </c>
      <c r="E26" s="20">
        <f>E9+E10+SUM(E11:E17)+E21+SUM(E22:E25)</f>
        <v/>
      </c>
      <c r="F26" s="20">
        <f>F9+F10+SUM(F11:F17)+F21+SUM(F22:F25)</f>
        <v/>
      </c>
      <c r="G26" s="20">
        <f>G9+G10+SUM(G11:G17)+G21+SUM(G22:G25)</f>
        <v/>
      </c>
      <c r="H26" s="20">
        <f>H9+H10+SUM(H11:H17)+H21+SUM(H22:H25)</f>
        <v/>
      </c>
      <c r="I26" s="20">
        <f>I9+I10+SUM(I11:I17)+I21+SUM(I22:I25)</f>
        <v/>
      </c>
      <c r="J26" s="20">
        <f>J9+J10+SUM(J11:J17)+J21+SUM(J22:J25)</f>
        <v/>
      </c>
      <c r="K26" s="20">
        <f>K9+K10+SUM(K11:K17)+K21+SUM(K22:K25)</f>
        <v/>
      </c>
      <c r="L26" s="20">
        <f>L9+L10+SUM(L11:L17)+L21+SUM(L22:L25)</f>
        <v/>
      </c>
      <c r="M26" s="20">
        <f>M9+M10+SUM(M11:M17)+M21+SUM(M22:M25)</f>
        <v/>
      </c>
      <c r="N26" s="20">
        <f>N9+N10+SUM(N11:N17)+N21+SUM(N22:N25)</f>
        <v/>
      </c>
      <c r="O26" s="20">
        <f>O9+O10+SUM(O11:O17)+O21+SUM(O22:O25)</f>
        <v/>
      </c>
      <c r="P26" s="20">
        <f>P9+P10+SUM(P11:P17)+P21+SUM(P22:P25)</f>
        <v/>
      </c>
      <c r="Q26" s="20">
        <f>Q9+Q10+SUM(Q11:Q17)+Q21+SUM(Q22:Q25)</f>
        <v/>
      </c>
      <c r="R26" s="20">
        <f>R9+R10+SUM(R11:R17)+R21+SUM(R22:R25)</f>
        <v/>
      </c>
      <c r="S26" s="20">
        <f>S9+S10+SUM(S11:S17)+S21+SUM(S22:S25)</f>
        <v/>
      </c>
      <c r="T26" s="20">
        <f>T9+T10+SUM(T11:T17)+T21+SUM(T22:T25)</f>
        <v/>
      </c>
      <c r="U26" s="20">
        <f>U9+U10+SUM(U11:U17)+U21+SUM(U22:U25)</f>
        <v/>
      </c>
      <c r="V26" s="20">
        <f>V9+V10+SUM(V11:V17)+V21+SUM(V22:V25)</f>
        <v/>
      </c>
      <c r="W26" s="20">
        <f>W9+W10+SUM(W11:W17)+W21+SUM(W22:W25)</f>
        <v/>
      </c>
      <c r="X26" s="20">
        <f>X9+X10+SUM(X11:X17)+X21+SUM(X22:X25)</f>
        <v/>
      </c>
      <c r="Y26" s="20">
        <f>Y9+Y10+SUM(Y11:Y17)+Y21+SUM(Y22:Y25)</f>
        <v/>
      </c>
      <c r="Z26" s="20">
        <f>Z9+Z10+SUM(Z11:Z17)+Z21+SUM(Z22:Z25)</f>
        <v/>
      </c>
      <c r="AA26" s="20">
        <f>AA9+AA10+SUM(AA11:AA17)+AA21+SUM(AA22:AA25)</f>
        <v/>
      </c>
      <c r="AB26" s="20">
        <f>AB9+AB10+SUM(AB11:AB17)+AB21+SUM(AB22:AB25)</f>
        <v/>
      </c>
      <c r="AC26" s="20">
        <f>AC9+AC10+SUM(AC11:AC17)+AC21+SUM(AC22:AC25)</f>
        <v/>
      </c>
      <c r="AD26" s="20">
        <f>AD9+AD10+SUM(AD11:AD17)+AD21+SUM(AD22:AD25)</f>
        <v/>
      </c>
      <c r="AE26" s="20">
        <f>AE9+AE10+SUM(AE11:AE17)+AE21+SUM(AE22:AE25)</f>
        <v/>
      </c>
      <c r="AF26" s="20">
        <f>AF9+AF10+SUM(AF11:AF17)+AF21+SUM(AF22:AF25)</f>
        <v/>
      </c>
      <c r="AG26" s="20">
        <f>AG9+AG10+SUM(AG11:AG17)+AG21+SUM(AG22:AG25)</f>
        <v/>
      </c>
      <c r="AH26" s="20">
        <f>AH9+AH10+SUM(AH11:AH17)+AH21+SUM(AH22:AH25)</f>
        <v/>
      </c>
      <c r="AI26" s="20">
        <f>AI9+AI10+SUM(AI11:AI17)+AI21+SUM(AI22:AI25)</f>
        <v/>
      </c>
      <c r="AJ26" s="20">
        <f>AJ9+AJ10+SUM(AJ11:AJ17)+AJ21+SUM(AJ22:AJ25)</f>
        <v/>
      </c>
      <c r="AK26" s="20">
        <f>AK9+AK10+SUM(AK11:AK17)+AK21+SUM(AK22:AK25)</f>
        <v/>
      </c>
      <c r="AL26" s="20">
        <f>AL9+AL10+SUM(AL11:AL17)+AL21+SUM(AL22:AL25)</f>
        <v/>
      </c>
      <c r="AM26" s="20">
        <f>AM9+AM10+SUM(AM11:AM17)+AM21+SUM(AM22:AM25)</f>
        <v/>
      </c>
      <c r="AN26" s="20">
        <f>AN9+AN10+SUM(AN11:AN17)+AN21+SUM(AN22:AN25)</f>
        <v/>
      </c>
      <c r="AO26" s="20">
        <f>AO9+AO10+SUM(AO11:AO17)+AO21+SUM(AO22:AO25)</f>
        <v/>
      </c>
      <c r="AP26" s="20">
        <f>AP9+AP10+SUM(AP11:AP17)+AP21+SUM(AP22:AP25)</f>
        <v/>
      </c>
      <c r="AQ26" s="20">
        <f>AQ9+AQ10+SUM(AQ11:AQ17)+AQ21+SUM(AQ22:AQ25)</f>
        <v/>
      </c>
      <c r="AR26" s="20">
        <f>AR9+AR10+SUM(AR11:AR17)+AR21+SUM(AR22:AR25)</f>
        <v/>
      </c>
      <c r="AS26" s="20">
        <f>AS9+AS10+SUM(AS11:AS17)+AS21+SUM(AS22:AS25)</f>
        <v/>
      </c>
      <c r="AT26" s="20">
        <f>AT9+AT10+SUM(AT11:AT17)+AT21+SUM(AT22:AT25)</f>
        <v/>
      </c>
      <c r="AU26" s="20">
        <f>AU9+AU10+SUM(AU11:AU17)+AU21+SUM(AU22:AU25)</f>
        <v/>
      </c>
      <c r="AV26" s="20">
        <f>AV9+AV10+SUM(AV11:AV17)+AV21+SUM(AV22:AV25)</f>
        <v/>
      </c>
      <c r="AW26" s="20">
        <f>AW9+AW10+SUM(AW11:AW17)+AW21+SUM(AW22:AW25)</f>
        <v/>
      </c>
      <c r="AX26" s="20">
        <f>AX9+AX10+SUM(AX11:AX17)+AX21+SUM(AX22:AX25)</f>
        <v/>
      </c>
      <c r="AY26" s="20">
        <f>AY9+AY10+SUM(AY11:AY17)+AY21+SUM(AY22:AY25)</f>
        <v/>
      </c>
      <c r="AZ26" s="20">
        <f>AZ9+AZ10+SUM(AZ11:AZ17)+AZ21+SUM(AZ22:AZ25)</f>
        <v/>
      </c>
      <c r="BA26" s="20">
        <f>BA9+BA10+SUM(BA11:BA17)+BA21+SUM(BA22:BA25)</f>
        <v/>
      </c>
      <c r="BB26" s="20">
        <f>BB9+BB10+SUM(BB11:BB17)+BB21+SUM(BB22:BB25)</f>
        <v/>
      </c>
      <c r="BC26" s="20">
        <f>BC9+BC10+SUM(BC11:BC17)+BC21+SUM(BC22:BC25)</f>
        <v/>
      </c>
      <c r="BD26" s="20">
        <f>BD9+BD10+SUM(BD11:BD17)+BD21+SUM(BD22:BD25)</f>
        <v/>
      </c>
      <c r="BE26" s="20">
        <f>BE9+BE10+SUM(BE11:BE17)+BE21+SUM(BE22:BE25)</f>
        <v/>
      </c>
      <c r="BF26" s="20">
        <f>BF9+BF10+SUM(BF11:BF17)+BF21+SUM(BF22:BF25)</f>
        <v/>
      </c>
      <c r="BG26" s="20">
        <f>BG9+BG10+SUM(BG11:BG17)+BG21+SUM(BG22:BG25)</f>
        <v/>
      </c>
      <c r="BH26" s="20">
        <f>BH9+BH10+SUM(BH11:BH17)+BH21+SUM(BH22:BH25)</f>
        <v/>
      </c>
      <c r="BI26" s="20">
        <f>BI9+BI10+SUM(BI11:BI17)+BI21+SUM(BI22:BI25)</f>
        <v/>
      </c>
      <c r="BJ26" s="20">
        <f>BJ9+BJ10+SUM(BJ11:BJ17)+BJ21+SUM(BJ22:BJ25)</f>
        <v/>
      </c>
      <c r="BK26" s="20">
        <f>BK9+BK10+SUM(BK11:BK17)+BK21+SUM(BK22:BK25)</f>
        <v/>
      </c>
      <c r="BL26" s="20">
        <f>BL9+BL10+SUM(BL11:BL17)+BL21+SUM(BL22:BL25)</f>
        <v/>
      </c>
      <c r="BM26" s="20">
        <f>BM9+BM10+SUM(BM11:BM17)+BM21+SUM(BM22:BM25)</f>
        <v/>
      </c>
      <c r="BN26" s="20">
        <f>BN9+BN10+SUM(BN11:BN17)+BN21+SUM(BN22:BN25)</f>
        <v/>
      </c>
      <c r="BO26" s="20">
        <f>BO9+BO10+SUM(BO11:BO17)+BO21+SUM(BO22:BO25)</f>
        <v/>
      </c>
      <c r="BP26" s="20">
        <f>BP9+BP10+SUM(BP11:BP17)+BP21+SUM(BP22:BP25)</f>
        <v/>
      </c>
      <c r="BQ26" s="20">
        <f>BQ9+BQ10+SUM(BQ11:BQ17)+BQ21+SUM(BQ22:BQ25)</f>
        <v/>
      </c>
      <c r="BR26" s="20">
        <f>BR9+BR10+SUM(BR11:BR17)+BR21+SUM(BR22:BR25)</f>
        <v/>
      </c>
      <c r="BS26" s="20">
        <f>BS9+BS10+SUM(BS11:BS17)+BS21+SUM(BS22:BS25)</f>
        <v/>
      </c>
      <c r="BT26" s="20">
        <f>BT9+BT10+SUM(BT11:BT17)+BT21+SUM(BT22:BT25)</f>
        <v/>
      </c>
      <c r="BU26" s="20">
        <f>BU9+BU10+SUM(BU11:BU17)+BU21+SUM(BU22:BU25)</f>
        <v/>
      </c>
      <c r="BV26" s="20">
        <f>BV9+BV10+SUM(BV11:BV17)+BV21+SUM(BV22:BV25)</f>
        <v/>
      </c>
      <c r="BW26" s="20">
        <f>BW9+BW10+SUM(BW11:BW17)+BW21+SUM(BW22:BW25)</f>
        <v/>
      </c>
      <c r="BX26" s="20">
        <f>BX9+BX10+SUM(BX11:BX17)+BX21+SUM(BX22:BX25)</f>
        <v/>
      </c>
      <c r="BY26" s="20">
        <f>BY9+BY10+SUM(BY11:BY17)+BY21+SUM(BY22:BY25)</f>
        <v/>
      </c>
      <c r="BZ26" s="20">
        <f>BZ9+BZ10+SUM(BZ11:BZ17)+BZ21+SUM(BZ22:BZ25)</f>
        <v/>
      </c>
      <c r="CA26" s="20">
        <f>CA9+CA10+SUM(CA11:CA17)+CA21+SUM(CA22:CA25)</f>
        <v/>
      </c>
      <c r="CB26" s="20">
        <f>CB9+CB10+SUM(CB11:CB17)+CB21+SUM(CB22:CB25)</f>
        <v/>
      </c>
      <c r="CC26" s="20">
        <f>CC9+CC10+SUM(CC11:CC17)+CC21+SUM(CC22:CC25)</f>
        <v/>
      </c>
      <c r="CD26" s="20">
        <f>CD9+CD10+SUM(CD11:CD17)+CD21+SUM(CD22:CD25)</f>
        <v/>
      </c>
      <c r="CE26" s="20">
        <f>CE9+CE10+SUM(CE11:CE17)+CE21+SUM(CE22:CE25)</f>
        <v/>
      </c>
      <c r="CF26" s="20">
        <f>CF9+CF10+SUM(CF11:CF17)+CF21+SUM(CF22:CF25)</f>
        <v/>
      </c>
      <c r="CG26" s="20">
        <f>CG9+CG10+SUM(CG11:CG17)+CG21+SUM(CG22:CG25)</f>
        <v/>
      </c>
      <c r="CH26" s="20">
        <f>CH9+CH10+SUM(CH11:CH17)+CH21+SUM(CH22:CH25)</f>
        <v/>
      </c>
      <c r="CI26" s="20">
        <f>CI9+CI10+SUM(CI11:CI17)+CI21+SUM(CI22:CI25)</f>
        <v/>
      </c>
      <c r="CJ26" s="20">
        <f>CJ9+CJ10+SUM(CJ11:CJ17)+CJ21+SUM(CJ22:CJ25)</f>
        <v/>
      </c>
      <c r="CK26" s="20">
        <f>CK9+CK10+SUM(CK11:CK17)+CK21+SUM(CK22:CK25)</f>
        <v/>
      </c>
      <c r="CL26" s="20">
        <f>CL9+CL10+SUM(CL11:CL17)+CL21+SUM(CL22:CL25)</f>
        <v/>
      </c>
      <c r="CM26" s="20">
        <f>CM9+CM10+SUM(CM11:CM17)+CM21+SUM(CM22:CM25)</f>
        <v/>
      </c>
      <c r="CN26" s="20">
        <f>CN9+CN10+SUM(CN11:CN17)+CN21+SUM(CN22:CN25)</f>
        <v/>
      </c>
      <c r="CO26" s="20">
        <f>CO9+CO10+SUM(CO11:CO17)+CO21+SUM(CO22:CO25)</f>
        <v/>
      </c>
      <c r="CP26" s="20">
        <f>CP9+CP10+SUM(CP11:CP17)+CP21+SUM(CP22:CP25)</f>
        <v/>
      </c>
      <c r="CQ26" s="20">
        <f>CQ9+CQ10+SUM(CQ11:CQ17)+CQ21+SUM(CQ22:CQ25)</f>
        <v/>
      </c>
      <c r="CR26" s="20">
        <f>CR9+CR10+SUM(CR11:CR17)+CR21+SUM(CR22:CR25)</f>
        <v/>
      </c>
      <c r="CS26" s="20">
        <f>CS9+CS10+SUM(CS11:CS17)+CS21+SUM(CS22:CS25)</f>
        <v/>
      </c>
      <c r="CT26" s="20">
        <f>CT9+CT10+SUM(CT11:CT17)+CT21+SUM(CT22:CT25)</f>
        <v/>
      </c>
      <c r="CU26" s="20">
        <f>CU9+CU10+SUM(CU11:CU17)+CU21+SUM(CU22:CU25)</f>
        <v/>
      </c>
      <c r="CV26" s="20">
        <f>CV9+CV10+SUM(CV11:CV17)+CV21+SUM(CV22:CV25)</f>
        <v/>
      </c>
      <c r="CW26" s="20">
        <f>CW9+CW10+SUM(CW11:CW17)+CW21+SUM(CW22:CW25)</f>
        <v/>
      </c>
      <c r="CX26" s="20">
        <f>CX9+CX10+SUM(CX11:CX17)+CX21+SUM(CX22:CX25)</f>
        <v/>
      </c>
      <c r="CY26" s="20">
        <f>CY9+CY10+SUM(CY11:CY17)+CY21+SUM(CY22:CY25)</f>
        <v/>
      </c>
      <c r="CZ26" s="20">
        <f>CZ9+CZ10+SUM(CZ11:CZ17)+CZ21+SUM(CZ22:CZ25)</f>
        <v/>
      </c>
      <c r="DA26" s="20">
        <f>DA9+DA10+SUM(DA11:DA17)+DA21+SUM(DA22:DA25)</f>
        <v/>
      </c>
      <c r="DB26" s="20">
        <f>DB9+DB10+SUM(DB11:DB17)+DB21+SUM(DB22:DB25)</f>
        <v/>
      </c>
      <c r="DC26" s="20">
        <f>DC9+DC10+SUM(DC11:DC17)+DC21+SUM(DC22:DC25)</f>
        <v/>
      </c>
      <c r="DD26" s="20">
        <f>DD9+DD10+SUM(DD11:DD17)+DD21+SUM(DD22:DD25)</f>
        <v/>
      </c>
      <c r="DE26" s="20">
        <f>DE9+DE10+SUM(DE11:DE17)+DE21+SUM(DE22:DE25)</f>
        <v/>
      </c>
    </row>
    <row r="27">
      <c r="B27" s="18" t="inlineStr">
        <is>
          <t>Factor de actualizacion</t>
        </is>
      </c>
      <c r="D27" s="29">
        <f>IF(D8=0,0,1/(1+(1+p_ke)^(1/12)-1)^SUM($D8:D8))</f>
        <v/>
      </c>
      <c r="E27" s="29">
        <f>IF(E8=0,0,1/(1+(1+p_ke)^(1/12)-1)^SUM($D8:E8))</f>
        <v/>
      </c>
      <c r="F27" s="29">
        <f>IF(F8=0,0,1/(1+(1+p_ke)^(1/12)-1)^SUM($D8:F8))</f>
        <v/>
      </c>
      <c r="G27" s="29">
        <f>IF(G8=0,0,1/(1+(1+p_ke)^(1/12)-1)^SUM($D8:G8))</f>
        <v/>
      </c>
      <c r="H27" s="29">
        <f>IF(H8=0,0,1/(1+(1+p_ke)^(1/12)-1)^SUM($D8:H8))</f>
        <v/>
      </c>
      <c r="I27" s="29">
        <f>IF(I8=0,0,1/(1+(1+p_ke)^(1/12)-1)^SUM($D8:I8))</f>
        <v/>
      </c>
      <c r="J27" s="29">
        <f>IF(J8=0,0,1/(1+(1+p_ke)^(1/12)-1)^SUM($D8:J8))</f>
        <v/>
      </c>
      <c r="K27" s="29">
        <f>IF(K8=0,0,1/(1+(1+p_ke)^(1/12)-1)^SUM($D8:K8))</f>
        <v/>
      </c>
      <c r="L27" s="29">
        <f>IF(L8=0,0,1/(1+(1+p_ke)^(1/12)-1)^SUM($D8:L8))</f>
        <v/>
      </c>
      <c r="M27" s="29">
        <f>IF(M8=0,0,1/(1+(1+p_ke)^(1/12)-1)^SUM($D8:M8))</f>
        <v/>
      </c>
      <c r="N27" s="29">
        <f>IF(N8=0,0,1/(1+(1+p_ke)^(1/12)-1)^SUM($D8:N8))</f>
        <v/>
      </c>
      <c r="O27" s="29">
        <f>IF(O8=0,0,1/(1+(1+p_ke)^(1/12)-1)^SUM($D8:O8))</f>
        <v/>
      </c>
      <c r="P27" s="29">
        <f>IF(P8=0,0,1/(1+(1+p_ke)^(1/12)-1)^SUM($D8:P8))</f>
        <v/>
      </c>
      <c r="Q27" s="29">
        <f>IF(Q8=0,0,1/(1+(1+p_ke)^(1/12)-1)^SUM($D8:Q8))</f>
        <v/>
      </c>
      <c r="R27" s="29">
        <f>IF(R8=0,0,1/(1+(1+p_ke)^(1/12)-1)^SUM($D8:R8))</f>
        <v/>
      </c>
      <c r="S27" s="29">
        <f>IF(S8=0,0,1/(1+(1+p_ke)^(1/12)-1)^SUM($D8:S8))</f>
        <v/>
      </c>
      <c r="T27" s="29">
        <f>IF(T8=0,0,1/(1+(1+p_ke)^(1/12)-1)^SUM($D8:T8))</f>
        <v/>
      </c>
      <c r="U27" s="29">
        <f>IF(U8=0,0,1/(1+(1+p_ke)^(1/12)-1)^SUM($D8:U8))</f>
        <v/>
      </c>
      <c r="V27" s="29">
        <f>IF(V8=0,0,1/(1+(1+p_ke)^(1/12)-1)^SUM($D8:V8))</f>
        <v/>
      </c>
      <c r="W27" s="29">
        <f>IF(W8=0,0,1/(1+(1+p_ke)^(1/12)-1)^SUM($D8:W8))</f>
        <v/>
      </c>
      <c r="X27" s="29">
        <f>IF(X8=0,0,1/(1+(1+p_ke)^(1/12)-1)^SUM($D8:X8))</f>
        <v/>
      </c>
      <c r="Y27" s="29">
        <f>IF(Y8=0,0,1/(1+(1+p_ke)^(1/12)-1)^SUM($D8:Y8))</f>
        <v/>
      </c>
      <c r="Z27" s="29">
        <f>IF(Z8=0,0,1/(1+(1+p_ke)^(1/12)-1)^SUM($D8:Z8))</f>
        <v/>
      </c>
      <c r="AA27" s="29">
        <f>IF(AA8=0,0,1/(1+(1+p_ke)^(1/12)-1)^SUM($D8:AA8))</f>
        <v/>
      </c>
      <c r="AB27" s="29">
        <f>IF(AB8=0,0,1/(1+(1+p_ke)^(1/12)-1)^SUM($D8:AB8))</f>
        <v/>
      </c>
      <c r="AC27" s="29">
        <f>IF(AC8=0,0,1/(1+(1+p_ke)^(1/12)-1)^SUM($D8:AC8))</f>
        <v/>
      </c>
      <c r="AD27" s="29">
        <f>IF(AD8=0,0,1/(1+(1+p_ke)^(1/12)-1)^SUM($D8:AD8))</f>
        <v/>
      </c>
      <c r="AE27" s="29">
        <f>IF(AE8=0,0,1/(1+(1+p_ke)^(1/12)-1)^SUM($D8:AE8))</f>
        <v/>
      </c>
      <c r="AF27" s="29">
        <f>IF(AF8=0,0,1/(1+(1+p_ke)^(1/12)-1)^SUM($D8:AF8))</f>
        <v/>
      </c>
      <c r="AG27" s="29">
        <f>IF(AG8=0,0,1/(1+(1+p_ke)^(1/12)-1)^SUM($D8:AG8))</f>
        <v/>
      </c>
      <c r="AH27" s="29">
        <f>IF(AH8=0,0,1/(1+(1+p_ke)^(1/12)-1)^SUM($D8:AH8))</f>
        <v/>
      </c>
      <c r="AI27" s="29">
        <f>IF(AI8=0,0,1/(1+(1+p_ke)^(1/12)-1)^SUM($D8:AI8))</f>
        <v/>
      </c>
      <c r="AJ27" s="29">
        <f>IF(AJ8=0,0,1/(1+(1+p_ke)^(1/12)-1)^SUM($D8:AJ8))</f>
        <v/>
      </c>
      <c r="AK27" s="29">
        <f>IF(AK8=0,0,1/(1+(1+p_ke)^(1/12)-1)^SUM($D8:AK8))</f>
        <v/>
      </c>
      <c r="AL27" s="29">
        <f>IF(AL8=0,0,1/(1+(1+p_ke)^(1/12)-1)^SUM($D8:AL8))</f>
        <v/>
      </c>
      <c r="AM27" s="29">
        <f>IF(AM8=0,0,1/(1+(1+p_ke)^(1/12)-1)^SUM($D8:AM8))</f>
        <v/>
      </c>
      <c r="AN27" s="29">
        <f>IF(AN8=0,0,1/(1+(1+p_ke)^(1/12)-1)^SUM($D8:AN8))</f>
        <v/>
      </c>
      <c r="AO27" s="29">
        <f>IF(AO8=0,0,1/(1+(1+p_ke)^(1/12)-1)^SUM($D8:AO8))</f>
        <v/>
      </c>
      <c r="AP27" s="29">
        <f>IF(AP8=0,0,1/(1+(1+p_ke)^(1/12)-1)^SUM($D8:AP8))</f>
        <v/>
      </c>
      <c r="AQ27" s="29">
        <f>IF(AQ8=0,0,1/(1+(1+p_ke)^(1/12)-1)^SUM($D8:AQ8))</f>
        <v/>
      </c>
      <c r="AR27" s="29">
        <f>IF(AR8=0,0,1/(1+(1+p_ke)^(1/12)-1)^SUM($D8:AR8))</f>
        <v/>
      </c>
      <c r="AS27" s="29">
        <f>IF(AS8=0,0,1/(1+(1+p_ke)^(1/12)-1)^SUM($D8:AS8))</f>
        <v/>
      </c>
      <c r="AT27" s="29">
        <f>IF(AT8=0,0,1/(1+(1+p_ke)^(1/12)-1)^SUM($D8:AT8))</f>
        <v/>
      </c>
      <c r="AU27" s="29">
        <f>IF(AU8=0,0,1/(1+(1+p_ke)^(1/12)-1)^SUM($D8:AU8))</f>
        <v/>
      </c>
      <c r="AV27" s="29">
        <f>IF(AV8=0,0,1/(1+(1+p_ke)^(1/12)-1)^SUM($D8:AV8))</f>
        <v/>
      </c>
      <c r="AW27" s="29">
        <f>IF(AW8=0,0,1/(1+(1+p_ke)^(1/12)-1)^SUM($D8:AW8))</f>
        <v/>
      </c>
      <c r="AX27" s="29">
        <f>IF(AX8=0,0,1/(1+(1+p_ke)^(1/12)-1)^SUM($D8:AX8))</f>
        <v/>
      </c>
      <c r="AY27" s="29">
        <f>IF(AY8=0,0,1/(1+(1+p_ke)^(1/12)-1)^SUM($D8:AY8))</f>
        <v/>
      </c>
      <c r="AZ27" s="29">
        <f>IF(AZ8=0,0,1/(1+(1+p_ke)^(1/12)-1)^SUM($D8:AZ8))</f>
        <v/>
      </c>
      <c r="BA27" s="29">
        <f>IF(BA8=0,0,1/(1+(1+p_ke)^(1/12)-1)^SUM($D8:BA8))</f>
        <v/>
      </c>
      <c r="BB27" s="29">
        <f>IF(BB8=0,0,1/(1+(1+p_ke)^(1/12)-1)^SUM($D8:BB8))</f>
        <v/>
      </c>
      <c r="BC27" s="29">
        <f>IF(BC8=0,0,1/(1+(1+p_ke)^(1/12)-1)^SUM($D8:BC8))</f>
        <v/>
      </c>
      <c r="BD27" s="29">
        <f>IF(BD8=0,0,1/(1+(1+p_ke)^(1/12)-1)^SUM($D8:BD8))</f>
        <v/>
      </c>
      <c r="BE27" s="29">
        <f>IF(BE8=0,0,1/(1+(1+p_ke)^(1/12)-1)^SUM($D8:BE8))</f>
        <v/>
      </c>
      <c r="BF27" s="29">
        <f>IF(BF8=0,0,1/(1+(1+p_ke)^(1/12)-1)^SUM($D8:BF8))</f>
        <v/>
      </c>
      <c r="BG27" s="29">
        <f>IF(BG8=0,0,1/(1+(1+p_ke)^(1/12)-1)^SUM($D8:BG8))</f>
        <v/>
      </c>
      <c r="BH27" s="29">
        <f>IF(BH8=0,0,1/(1+(1+p_ke)^(1/12)-1)^SUM($D8:BH8))</f>
        <v/>
      </c>
      <c r="BI27" s="29">
        <f>IF(BI8=0,0,1/(1+(1+p_ke)^(1/12)-1)^SUM($D8:BI8))</f>
        <v/>
      </c>
      <c r="BJ27" s="29">
        <f>IF(BJ8=0,0,1/(1+(1+p_ke)^(1/12)-1)^SUM($D8:BJ8))</f>
        <v/>
      </c>
      <c r="BK27" s="29">
        <f>IF(BK8=0,0,1/(1+(1+p_ke)^(1/12)-1)^SUM($D8:BK8))</f>
        <v/>
      </c>
      <c r="BL27" s="29">
        <f>IF(BL8=0,0,1/(1+(1+p_ke)^(1/12)-1)^SUM($D8:BL8))</f>
        <v/>
      </c>
      <c r="BM27" s="29">
        <f>IF(BM8=0,0,1/(1+(1+p_ke)^(1/12)-1)^SUM($D8:BM8))</f>
        <v/>
      </c>
      <c r="BN27" s="29">
        <f>IF(BN8=0,0,1/(1+(1+p_ke)^(1/12)-1)^SUM($D8:BN8))</f>
        <v/>
      </c>
      <c r="BO27" s="29">
        <f>IF(BO8=0,0,1/(1+(1+p_ke)^(1/12)-1)^SUM($D8:BO8))</f>
        <v/>
      </c>
      <c r="BP27" s="29">
        <f>IF(BP8=0,0,1/(1+(1+p_ke)^(1/12)-1)^SUM($D8:BP8))</f>
        <v/>
      </c>
      <c r="BQ27" s="29">
        <f>IF(BQ8=0,0,1/(1+(1+p_ke)^(1/12)-1)^SUM($D8:BQ8))</f>
        <v/>
      </c>
      <c r="BR27" s="29">
        <f>IF(BR8=0,0,1/(1+(1+p_ke)^(1/12)-1)^SUM($D8:BR8))</f>
        <v/>
      </c>
      <c r="BS27" s="29">
        <f>IF(BS8=0,0,1/(1+(1+p_ke)^(1/12)-1)^SUM($D8:BS8))</f>
        <v/>
      </c>
      <c r="BT27" s="29">
        <f>IF(BT8=0,0,1/(1+(1+p_ke)^(1/12)-1)^SUM($D8:BT8))</f>
        <v/>
      </c>
      <c r="BU27" s="29">
        <f>IF(BU8=0,0,1/(1+(1+p_ke)^(1/12)-1)^SUM($D8:BU8))</f>
        <v/>
      </c>
      <c r="BV27" s="29">
        <f>IF(BV8=0,0,1/(1+(1+p_ke)^(1/12)-1)^SUM($D8:BV8))</f>
        <v/>
      </c>
      <c r="BW27" s="29">
        <f>IF(BW8=0,0,1/(1+(1+p_ke)^(1/12)-1)^SUM($D8:BW8))</f>
        <v/>
      </c>
      <c r="BX27" s="29">
        <f>IF(BX8=0,0,1/(1+(1+p_ke)^(1/12)-1)^SUM($D8:BX8))</f>
        <v/>
      </c>
      <c r="BY27" s="29">
        <f>IF(BY8=0,0,1/(1+(1+p_ke)^(1/12)-1)^SUM($D8:BY8))</f>
        <v/>
      </c>
      <c r="BZ27" s="29">
        <f>IF(BZ8=0,0,1/(1+(1+p_ke)^(1/12)-1)^SUM($D8:BZ8))</f>
        <v/>
      </c>
      <c r="CA27" s="29">
        <f>IF(CA8=0,0,1/(1+(1+p_ke)^(1/12)-1)^SUM($D8:CA8))</f>
        <v/>
      </c>
      <c r="CB27" s="29">
        <f>IF(CB8=0,0,1/(1+(1+p_ke)^(1/12)-1)^SUM($D8:CB8))</f>
        <v/>
      </c>
      <c r="CC27" s="29">
        <f>IF(CC8=0,0,1/(1+(1+p_ke)^(1/12)-1)^SUM($D8:CC8))</f>
        <v/>
      </c>
      <c r="CD27" s="29">
        <f>IF(CD8=0,0,1/(1+(1+p_ke)^(1/12)-1)^SUM($D8:CD8))</f>
        <v/>
      </c>
      <c r="CE27" s="29">
        <f>IF(CE8=0,0,1/(1+(1+p_ke)^(1/12)-1)^SUM($D8:CE8))</f>
        <v/>
      </c>
      <c r="CF27" s="29">
        <f>IF(CF8=0,0,1/(1+(1+p_ke)^(1/12)-1)^SUM($D8:CF8))</f>
        <v/>
      </c>
      <c r="CG27" s="29">
        <f>IF(CG8=0,0,1/(1+(1+p_ke)^(1/12)-1)^SUM($D8:CG8))</f>
        <v/>
      </c>
      <c r="CH27" s="29">
        <f>IF(CH8=0,0,1/(1+(1+p_ke)^(1/12)-1)^SUM($D8:CH8))</f>
        <v/>
      </c>
      <c r="CI27" s="29">
        <f>IF(CI8=0,0,1/(1+(1+p_ke)^(1/12)-1)^SUM($D8:CI8))</f>
        <v/>
      </c>
      <c r="CJ27" s="29">
        <f>IF(CJ8=0,0,1/(1+(1+p_ke)^(1/12)-1)^SUM($D8:CJ8))</f>
        <v/>
      </c>
      <c r="CK27" s="29">
        <f>IF(CK8=0,0,1/(1+(1+p_ke)^(1/12)-1)^SUM($D8:CK8))</f>
        <v/>
      </c>
      <c r="CL27" s="29">
        <f>IF(CL8=0,0,1/(1+(1+p_ke)^(1/12)-1)^SUM($D8:CL8))</f>
        <v/>
      </c>
      <c r="CM27" s="29">
        <f>IF(CM8=0,0,1/(1+(1+p_ke)^(1/12)-1)^SUM($D8:CM8))</f>
        <v/>
      </c>
      <c r="CN27" s="29">
        <f>IF(CN8=0,0,1/(1+(1+p_ke)^(1/12)-1)^SUM($D8:CN8))</f>
        <v/>
      </c>
      <c r="CO27" s="29">
        <f>IF(CO8=0,0,1/(1+(1+p_ke)^(1/12)-1)^SUM($D8:CO8))</f>
        <v/>
      </c>
      <c r="CP27" s="29">
        <f>IF(CP8=0,0,1/(1+(1+p_ke)^(1/12)-1)^SUM($D8:CP8))</f>
        <v/>
      </c>
      <c r="CQ27" s="29">
        <f>IF(CQ8=0,0,1/(1+(1+p_ke)^(1/12)-1)^SUM($D8:CQ8))</f>
        <v/>
      </c>
      <c r="CR27" s="29">
        <f>IF(CR8=0,0,1/(1+(1+p_ke)^(1/12)-1)^SUM($D8:CR8))</f>
        <v/>
      </c>
      <c r="CS27" s="29">
        <f>IF(CS8=0,0,1/(1+(1+p_ke)^(1/12)-1)^SUM($D8:CS8))</f>
        <v/>
      </c>
      <c r="CT27" s="29">
        <f>IF(CT8=0,0,1/(1+(1+p_ke)^(1/12)-1)^SUM($D8:CT8))</f>
        <v/>
      </c>
      <c r="CU27" s="29">
        <f>IF(CU8=0,0,1/(1+(1+p_ke)^(1/12)-1)^SUM($D8:CU8))</f>
        <v/>
      </c>
      <c r="CV27" s="29">
        <f>IF(CV8=0,0,1/(1+(1+p_ke)^(1/12)-1)^SUM($D8:CV8))</f>
        <v/>
      </c>
      <c r="CW27" s="29">
        <f>IF(CW8=0,0,1/(1+(1+p_ke)^(1/12)-1)^SUM($D8:CW8))</f>
        <v/>
      </c>
      <c r="CX27" s="29">
        <f>IF(CX8=0,0,1/(1+(1+p_ke)^(1/12)-1)^SUM($D8:CX8))</f>
        <v/>
      </c>
      <c r="CY27" s="29">
        <f>IF(CY8=0,0,1/(1+(1+p_ke)^(1/12)-1)^SUM($D8:CY8))</f>
        <v/>
      </c>
      <c r="CZ27" s="29">
        <f>IF(CZ8=0,0,1/(1+(1+p_ke)^(1/12)-1)^SUM($D8:CZ8))</f>
        <v/>
      </c>
      <c r="DA27" s="29">
        <f>IF(DA8=0,0,1/(1+(1+p_ke)^(1/12)-1)^SUM($D8:DA8))</f>
        <v/>
      </c>
      <c r="DB27" s="29">
        <f>IF(DB8=0,0,1/(1+(1+p_ke)^(1/12)-1)^SUM($D8:DB8))</f>
        <v/>
      </c>
      <c r="DC27" s="29">
        <f>IF(DC8=0,0,1/(1+(1+p_ke)^(1/12)-1)^SUM($D8:DC8))</f>
        <v/>
      </c>
      <c r="DD27" s="29">
        <f>IF(DD8=0,0,1/(1+(1+p_ke)^(1/12)-1)^SUM($D8:DD8))</f>
        <v/>
      </c>
      <c r="DE27" s="29">
        <f>IF(DE8=0,0,1/(1+(1+p_ke)^(1/12)-1)^SUM($D8:DE8))</f>
        <v/>
      </c>
    </row>
    <row r="29">
      <c r="B29" s="22" t="inlineStr">
        <is>
          <t>VAN financiero</t>
        </is>
      </c>
      <c r="D29" s="30">
        <f>SUMPRODUCT(D26:DE26,D27:DE27)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E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2">
      <c r="B2" s="1" t="inlineStr">
        <is>
          <t>Reparto de la tarifa</t>
        </is>
      </c>
    </row>
    <row r="3">
      <c r="B3" s="2" t="inlineStr">
        <is>
          <t>De lo que recauda la tarifa, cuanto paga la operacion y cuanto repaga la inversion. Las dos partes suman el ingreso.</t>
        </is>
      </c>
    </row>
    <row r="6">
      <c r="B6" s="16" t="inlineStr">
        <is>
          <t>Ano</t>
        </is>
      </c>
      <c r="D6" s="17">
        <f>Flujo!D6</f>
        <v/>
      </c>
      <c r="E6" s="17">
        <f>Flujo!E6</f>
        <v/>
      </c>
      <c r="F6" s="17">
        <f>Flujo!F6</f>
        <v/>
      </c>
      <c r="G6" s="17">
        <f>Flujo!G6</f>
        <v/>
      </c>
      <c r="H6" s="17">
        <f>Flujo!H6</f>
        <v/>
      </c>
      <c r="I6" s="17">
        <f>Flujo!I6</f>
        <v/>
      </c>
      <c r="J6" s="17">
        <f>Flujo!J6</f>
        <v/>
      </c>
      <c r="K6" s="17">
        <f>Flujo!K6</f>
        <v/>
      </c>
      <c r="L6" s="17">
        <f>Flujo!L6</f>
        <v/>
      </c>
      <c r="M6" s="17">
        <f>Flujo!M6</f>
        <v/>
      </c>
      <c r="N6" s="17">
        <f>Flujo!N6</f>
        <v/>
      </c>
      <c r="O6" s="17">
        <f>Flujo!O6</f>
        <v/>
      </c>
      <c r="P6" s="17">
        <f>Flujo!P6</f>
        <v/>
      </c>
      <c r="Q6" s="17">
        <f>Flujo!Q6</f>
        <v/>
      </c>
      <c r="R6" s="17">
        <f>Flujo!R6</f>
        <v/>
      </c>
      <c r="S6" s="17">
        <f>Flujo!S6</f>
        <v/>
      </c>
      <c r="T6" s="17">
        <f>Flujo!T6</f>
        <v/>
      </c>
      <c r="U6" s="17">
        <f>Flujo!U6</f>
        <v/>
      </c>
      <c r="V6" s="17">
        <f>Flujo!V6</f>
        <v/>
      </c>
      <c r="W6" s="17">
        <f>Flujo!W6</f>
        <v/>
      </c>
      <c r="X6" s="17">
        <f>Flujo!X6</f>
        <v/>
      </c>
      <c r="Y6" s="17">
        <f>Flujo!Y6</f>
        <v/>
      </c>
      <c r="Z6" s="17">
        <f>Flujo!Z6</f>
        <v/>
      </c>
      <c r="AA6" s="17">
        <f>Flujo!AA6</f>
        <v/>
      </c>
      <c r="AB6" s="17">
        <f>Flujo!AB6</f>
        <v/>
      </c>
      <c r="AC6" s="17">
        <f>Flujo!AC6</f>
        <v/>
      </c>
      <c r="AD6" s="17">
        <f>Flujo!AD6</f>
        <v/>
      </c>
      <c r="AE6" s="17">
        <f>Flujo!AE6</f>
        <v/>
      </c>
      <c r="AF6" s="17">
        <f>Flujo!AF6</f>
        <v/>
      </c>
      <c r="AG6" s="17">
        <f>Flujo!AG6</f>
        <v/>
      </c>
      <c r="AH6" s="17">
        <f>Flujo!AH6</f>
        <v/>
      </c>
      <c r="AI6" s="17">
        <f>Flujo!AI6</f>
        <v/>
      </c>
      <c r="AJ6" s="17">
        <f>Flujo!AJ6</f>
        <v/>
      </c>
      <c r="AK6" s="17">
        <f>Flujo!AK6</f>
        <v/>
      </c>
      <c r="AL6" s="17">
        <f>Flujo!AL6</f>
        <v/>
      </c>
      <c r="AM6" s="17">
        <f>Flujo!AM6</f>
        <v/>
      </c>
      <c r="AN6" s="17">
        <f>Flujo!AN6</f>
        <v/>
      </c>
      <c r="AO6" s="17">
        <f>Flujo!AO6</f>
        <v/>
      </c>
      <c r="AP6" s="17">
        <f>Flujo!AP6</f>
        <v/>
      </c>
      <c r="AQ6" s="17">
        <f>Flujo!AQ6</f>
        <v/>
      </c>
      <c r="AR6" s="17">
        <f>Flujo!AR6</f>
        <v/>
      </c>
      <c r="AS6" s="17">
        <f>Flujo!AS6</f>
        <v/>
      </c>
      <c r="AT6" s="17">
        <f>Flujo!AT6</f>
        <v/>
      </c>
      <c r="AU6" s="17">
        <f>Flujo!AU6</f>
        <v/>
      </c>
      <c r="AV6" s="17">
        <f>Flujo!AV6</f>
        <v/>
      </c>
      <c r="AW6" s="17">
        <f>Flujo!AW6</f>
        <v/>
      </c>
      <c r="AX6" s="17">
        <f>Flujo!AX6</f>
        <v/>
      </c>
      <c r="AY6" s="17">
        <f>Flujo!AY6</f>
        <v/>
      </c>
      <c r="AZ6" s="17">
        <f>Flujo!AZ6</f>
        <v/>
      </c>
      <c r="BA6" s="17">
        <f>Flujo!BA6</f>
        <v/>
      </c>
      <c r="BB6" s="17">
        <f>Flujo!BB6</f>
        <v/>
      </c>
      <c r="BC6" s="17">
        <f>Flujo!BC6</f>
        <v/>
      </c>
      <c r="BD6" s="17">
        <f>Flujo!BD6</f>
        <v/>
      </c>
      <c r="BE6" s="17">
        <f>Flujo!BE6</f>
        <v/>
      </c>
      <c r="BF6" s="17">
        <f>Flujo!BF6</f>
        <v/>
      </c>
      <c r="BG6" s="17">
        <f>Flujo!BG6</f>
        <v/>
      </c>
      <c r="BH6" s="17">
        <f>Flujo!BH6</f>
        <v/>
      </c>
      <c r="BI6" s="17">
        <f>Flujo!BI6</f>
        <v/>
      </c>
      <c r="BJ6" s="17">
        <f>Flujo!BJ6</f>
        <v/>
      </c>
      <c r="BK6" s="17">
        <f>Flujo!BK6</f>
        <v/>
      </c>
      <c r="BL6" s="17">
        <f>Flujo!BL6</f>
        <v/>
      </c>
      <c r="BM6" s="17">
        <f>Flujo!BM6</f>
        <v/>
      </c>
      <c r="BN6" s="17">
        <f>Flujo!BN6</f>
        <v/>
      </c>
      <c r="BO6" s="17">
        <f>Flujo!BO6</f>
        <v/>
      </c>
      <c r="BP6" s="17">
        <f>Flujo!BP6</f>
        <v/>
      </c>
      <c r="BQ6" s="17">
        <f>Flujo!BQ6</f>
        <v/>
      </c>
      <c r="BR6" s="17">
        <f>Flujo!BR6</f>
        <v/>
      </c>
      <c r="BS6" s="17">
        <f>Flujo!BS6</f>
        <v/>
      </c>
      <c r="BT6" s="17">
        <f>Flujo!BT6</f>
        <v/>
      </c>
      <c r="BU6" s="17">
        <f>Flujo!BU6</f>
        <v/>
      </c>
      <c r="BV6" s="17">
        <f>Flujo!BV6</f>
        <v/>
      </c>
      <c r="BW6" s="17">
        <f>Flujo!BW6</f>
        <v/>
      </c>
      <c r="BX6" s="17">
        <f>Flujo!BX6</f>
        <v/>
      </c>
      <c r="BY6" s="17">
        <f>Flujo!BY6</f>
        <v/>
      </c>
      <c r="BZ6" s="17">
        <f>Flujo!BZ6</f>
        <v/>
      </c>
      <c r="CA6" s="17">
        <f>Flujo!CA6</f>
        <v/>
      </c>
      <c r="CB6" s="17">
        <f>Flujo!CB6</f>
        <v/>
      </c>
      <c r="CC6" s="17">
        <f>Flujo!CC6</f>
        <v/>
      </c>
      <c r="CD6" s="17">
        <f>Flujo!CD6</f>
        <v/>
      </c>
      <c r="CE6" s="17">
        <f>Flujo!CE6</f>
        <v/>
      </c>
      <c r="CF6" s="17">
        <f>Flujo!CF6</f>
        <v/>
      </c>
      <c r="CG6" s="17">
        <f>Flujo!CG6</f>
        <v/>
      </c>
      <c r="CH6" s="17">
        <f>Flujo!CH6</f>
        <v/>
      </c>
      <c r="CI6" s="17">
        <f>Flujo!CI6</f>
        <v/>
      </c>
      <c r="CJ6" s="17">
        <f>Flujo!CJ6</f>
        <v/>
      </c>
      <c r="CK6" s="17">
        <f>Flujo!CK6</f>
        <v/>
      </c>
      <c r="CL6" s="17">
        <f>Flujo!CL6</f>
        <v/>
      </c>
      <c r="CM6" s="17">
        <f>Flujo!CM6</f>
        <v/>
      </c>
      <c r="CN6" s="17">
        <f>Flujo!CN6</f>
        <v/>
      </c>
      <c r="CO6" s="17">
        <f>Flujo!CO6</f>
        <v/>
      </c>
      <c r="CP6" s="17">
        <f>Flujo!CP6</f>
        <v/>
      </c>
      <c r="CQ6" s="17">
        <f>Flujo!CQ6</f>
        <v/>
      </c>
      <c r="CR6" s="17">
        <f>Flujo!CR6</f>
        <v/>
      </c>
      <c r="CS6" s="17">
        <f>Flujo!CS6</f>
        <v/>
      </c>
      <c r="CT6" s="17">
        <f>Flujo!CT6</f>
        <v/>
      </c>
      <c r="CU6" s="17">
        <f>Flujo!CU6</f>
        <v/>
      </c>
      <c r="CV6" s="17">
        <f>Flujo!CV6</f>
        <v/>
      </c>
      <c r="CW6" s="17">
        <f>Flujo!CW6</f>
        <v/>
      </c>
      <c r="CX6" s="17">
        <f>Flujo!CX6</f>
        <v/>
      </c>
      <c r="CY6" s="17">
        <f>Flujo!CY6</f>
        <v/>
      </c>
      <c r="CZ6" s="17">
        <f>Flujo!CZ6</f>
        <v/>
      </c>
      <c r="DA6" s="17">
        <f>Flujo!DA6</f>
        <v/>
      </c>
      <c r="DB6" s="17">
        <f>Flujo!DB6</f>
        <v/>
      </c>
      <c r="DC6" s="17">
        <f>Flujo!DC6</f>
        <v/>
      </c>
      <c r="DD6" s="17">
        <f>Flujo!DD6</f>
        <v/>
      </c>
      <c r="DE6" s="17">
        <f>Flujo!DE6</f>
        <v/>
      </c>
    </row>
    <row r="7">
      <c r="B7" s="16" t="inlineStr">
        <is>
          <t>Trimestre</t>
        </is>
      </c>
      <c r="D7" s="17">
        <f>Flujo!D7</f>
        <v/>
      </c>
      <c r="E7" s="17">
        <f>Flujo!E7</f>
        <v/>
      </c>
      <c r="F7" s="17">
        <f>Flujo!F7</f>
        <v/>
      </c>
      <c r="G7" s="17">
        <f>Flujo!G7</f>
        <v/>
      </c>
      <c r="H7" s="17">
        <f>Flujo!H7</f>
        <v/>
      </c>
      <c r="I7" s="17">
        <f>Flujo!I7</f>
        <v/>
      </c>
      <c r="J7" s="17">
        <f>Flujo!J7</f>
        <v/>
      </c>
      <c r="K7" s="17">
        <f>Flujo!K7</f>
        <v/>
      </c>
      <c r="L7" s="17">
        <f>Flujo!L7</f>
        <v/>
      </c>
      <c r="M7" s="17">
        <f>Flujo!M7</f>
        <v/>
      </c>
      <c r="N7" s="17">
        <f>Flujo!N7</f>
        <v/>
      </c>
      <c r="O7" s="17">
        <f>Flujo!O7</f>
        <v/>
      </c>
      <c r="P7" s="17">
        <f>Flujo!P7</f>
        <v/>
      </c>
      <c r="Q7" s="17">
        <f>Flujo!Q7</f>
        <v/>
      </c>
      <c r="R7" s="17">
        <f>Flujo!R7</f>
        <v/>
      </c>
      <c r="S7" s="17">
        <f>Flujo!S7</f>
        <v/>
      </c>
      <c r="T7" s="17">
        <f>Flujo!T7</f>
        <v/>
      </c>
      <c r="U7" s="17">
        <f>Flujo!U7</f>
        <v/>
      </c>
      <c r="V7" s="17">
        <f>Flujo!V7</f>
        <v/>
      </c>
      <c r="W7" s="17">
        <f>Flujo!W7</f>
        <v/>
      </c>
      <c r="X7" s="17">
        <f>Flujo!X7</f>
        <v/>
      </c>
      <c r="Y7" s="17">
        <f>Flujo!Y7</f>
        <v/>
      </c>
      <c r="Z7" s="17">
        <f>Flujo!Z7</f>
        <v/>
      </c>
      <c r="AA7" s="17">
        <f>Flujo!AA7</f>
        <v/>
      </c>
      <c r="AB7" s="17">
        <f>Flujo!AB7</f>
        <v/>
      </c>
      <c r="AC7" s="17">
        <f>Flujo!AC7</f>
        <v/>
      </c>
      <c r="AD7" s="17">
        <f>Flujo!AD7</f>
        <v/>
      </c>
      <c r="AE7" s="17">
        <f>Flujo!AE7</f>
        <v/>
      </c>
      <c r="AF7" s="17">
        <f>Flujo!AF7</f>
        <v/>
      </c>
      <c r="AG7" s="17">
        <f>Flujo!AG7</f>
        <v/>
      </c>
      <c r="AH7" s="17">
        <f>Flujo!AH7</f>
        <v/>
      </c>
      <c r="AI7" s="17">
        <f>Flujo!AI7</f>
        <v/>
      </c>
      <c r="AJ7" s="17">
        <f>Flujo!AJ7</f>
        <v/>
      </c>
      <c r="AK7" s="17">
        <f>Flujo!AK7</f>
        <v/>
      </c>
      <c r="AL7" s="17">
        <f>Flujo!AL7</f>
        <v/>
      </c>
      <c r="AM7" s="17">
        <f>Flujo!AM7</f>
        <v/>
      </c>
      <c r="AN7" s="17">
        <f>Flujo!AN7</f>
        <v/>
      </c>
      <c r="AO7" s="17">
        <f>Flujo!AO7</f>
        <v/>
      </c>
      <c r="AP7" s="17">
        <f>Flujo!AP7</f>
        <v/>
      </c>
      <c r="AQ7" s="17">
        <f>Flujo!AQ7</f>
        <v/>
      </c>
      <c r="AR7" s="17">
        <f>Flujo!AR7</f>
        <v/>
      </c>
      <c r="AS7" s="17">
        <f>Flujo!AS7</f>
        <v/>
      </c>
      <c r="AT7" s="17">
        <f>Flujo!AT7</f>
        <v/>
      </c>
      <c r="AU7" s="17">
        <f>Flujo!AU7</f>
        <v/>
      </c>
      <c r="AV7" s="17">
        <f>Flujo!AV7</f>
        <v/>
      </c>
      <c r="AW7" s="17">
        <f>Flujo!AW7</f>
        <v/>
      </c>
      <c r="AX7" s="17">
        <f>Flujo!AX7</f>
        <v/>
      </c>
      <c r="AY7" s="17">
        <f>Flujo!AY7</f>
        <v/>
      </c>
      <c r="AZ7" s="17">
        <f>Flujo!AZ7</f>
        <v/>
      </c>
      <c r="BA7" s="17">
        <f>Flujo!BA7</f>
        <v/>
      </c>
      <c r="BB7" s="17">
        <f>Flujo!BB7</f>
        <v/>
      </c>
      <c r="BC7" s="17">
        <f>Flujo!BC7</f>
        <v/>
      </c>
      <c r="BD7" s="17">
        <f>Flujo!BD7</f>
        <v/>
      </c>
      <c r="BE7" s="17">
        <f>Flujo!BE7</f>
        <v/>
      </c>
      <c r="BF7" s="17">
        <f>Flujo!BF7</f>
        <v/>
      </c>
      <c r="BG7" s="17">
        <f>Flujo!BG7</f>
        <v/>
      </c>
      <c r="BH7" s="17">
        <f>Flujo!BH7</f>
        <v/>
      </c>
      <c r="BI7" s="17">
        <f>Flujo!BI7</f>
        <v/>
      </c>
      <c r="BJ7" s="17">
        <f>Flujo!BJ7</f>
        <v/>
      </c>
      <c r="BK7" s="17">
        <f>Flujo!BK7</f>
        <v/>
      </c>
      <c r="BL7" s="17">
        <f>Flujo!BL7</f>
        <v/>
      </c>
      <c r="BM7" s="17">
        <f>Flujo!BM7</f>
        <v/>
      </c>
      <c r="BN7" s="17">
        <f>Flujo!BN7</f>
        <v/>
      </c>
      <c r="BO7" s="17">
        <f>Flujo!BO7</f>
        <v/>
      </c>
      <c r="BP7" s="17">
        <f>Flujo!BP7</f>
        <v/>
      </c>
      <c r="BQ7" s="17">
        <f>Flujo!BQ7</f>
        <v/>
      </c>
      <c r="BR7" s="17">
        <f>Flujo!BR7</f>
        <v/>
      </c>
      <c r="BS7" s="17">
        <f>Flujo!BS7</f>
        <v/>
      </c>
      <c r="BT7" s="17">
        <f>Flujo!BT7</f>
        <v/>
      </c>
      <c r="BU7" s="17">
        <f>Flujo!BU7</f>
        <v/>
      </c>
      <c r="BV7" s="17">
        <f>Flujo!BV7</f>
        <v/>
      </c>
      <c r="BW7" s="17">
        <f>Flujo!BW7</f>
        <v/>
      </c>
      <c r="BX7" s="17">
        <f>Flujo!BX7</f>
        <v/>
      </c>
      <c r="BY7" s="17">
        <f>Flujo!BY7</f>
        <v/>
      </c>
      <c r="BZ7" s="17">
        <f>Flujo!BZ7</f>
        <v/>
      </c>
      <c r="CA7" s="17">
        <f>Flujo!CA7</f>
        <v/>
      </c>
      <c r="CB7" s="17">
        <f>Flujo!CB7</f>
        <v/>
      </c>
      <c r="CC7" s="17">
        <f>Flujo!CC7</f>
        <v/>
      </c>
      <c r="CD7" s="17">
        <f>Flujo!CD7</f>
        <v/>
      </c>
      <c r="CE7" s="17">
        <f>Flujo!CE7</f>
        <v/>
      </c>
      <c r="CF7" s="17">
        <f>Flujo!CF7</f>
        <v/>
      </c>
      <c r="CG7" s="17">
        <f>Flujo!CG7</f>
        <v/>
      </c>
      <c r="CH7" s="17">
        <f>Flujo!CH7</f>
        <v/>
      </c>
      <c r="CI7" s="17">
        <f>Flujo!CI7</f>
        <v/>
      </c>
      <c r="CJ7" s="17">
        <f>Flujo!CJ7</f>
        <v/>
      </c>
      <c r="CK7" s="17">
        <f>Flujo!CK7</f>
        <v/>
      </c>
      <c r="CL7" s="17">
        <f>Flujo!CL7</f>
        <v/>
      </c>
      <c r="CM7" s="17">
        <f>Flujo!CM7</f>
        <v/>
      </c>
      <c r="CN7" s="17">
        <f>Flujo!CN7</f>
        <v/>
      </c>
      <c r="CO7" s="17">
        <f>Flujo!CO7</f>
        <v/>
      </c>
      <c r="CP7" s="17">
        <f>Flujo!CP7</f>
        <v/>
      </c>
      <c r="CQ7" s="17">
        <f>Flujo!CQ7</f>
        <v/>
      </c>
      <c r="CR7" s="17">
        <f>Flujo!CR7</f>
        <v/>
      </c>
      <c r="CS7" s="17">
        <f>Flujo!CS7</f>
        <v/>
      </c>
      <c r="CT7" s="17">
        <f>Flujo!CT7</f>
        <v/>
      </c>
      <c r="CU7" s="17">
        <f>Flujo!CU7</f>
        <v/>
      </c>
      <c r="CV7" s="17">
        <f>Flujo!CV7</f>
        <v/>
      </c>
      <c r="CW7" s="17">
        <f>Flujo!CW7</f>
        <v/>
      </c>
      <c r="CX7" s="17">
        <f>Flujo!CX7</f>
        <v/>
      </c>
      <c r="CY7" s="17">
        <f>Flujo!CY7</f>
        <v/>
      </c>
      <c r="CZ7" s="17">
        <f>Flujo!CZ7</f>
        <v/>
      </c>
      <c r="DA7" s="17">
        <f>Flujo!DA7</f>
        <v/>
      </c>
      <c r="DB7" s="17">
        <f>Flujo!DB7</f>
        <v/>
      </c>
      <c r="DC7" s="17">
        <f>Flujo!DC7</f>
        <v/>
      </c>
      <c r="DD7" s="17">
        <f>Flujo!DD7</f>
        <v/>
      </c>
      <c r="DE7" s="17">
        <f>Flujo!DE7</f>
        <v/>
      </c>
    </row>
    <row r="9">
      <c r="B9" s="22" t="inlineStr">
        <is>
          <t>Ingreso tarifario</t>
        </is>
      </c>
      <c r="D9" s="20">
        <f>Flujo!D9</f>
        <v/>
      </c>
      <c r="E9" s="20">
        <f>Flujo!E9</f>
        <v/>
      </c>
      <c r="F9" s="20">
        <f>Flujo!F9</f>
        <v/>
      </c>
      <c r="G9" s="20">
        <f>Flujo!G9</f>
        <v/>
      </c>
      <c r="H9" s="20">
        <f>Flujo!H9</f>
        <v/>
      </c>
      <c r="I9" s="20">
        <f>Flujo!I9</f>
        <v/>
      </c>
      <c r="J9" s="20">
        <f>Flujo!J9</f>
        <v/>
      </c>
      <c r="K9" s="20">
        <f>Flujo!K9</f>
        <v/>
      </c>
      <c r="L9" s="20">
        <f>Flujo!L9</f>
        <v/>
      </c>
      <c r="M9" s="20">
        <f>Flujo!M9</f>
        <v/>
      </c>
      <c r="N9" s="20">
        <f>Flujo!N9</f>
        <v/>
      </c>
      <c r="O9" s="20">
        <f>Flujo!O9</f>
        <v/>
      </c>
      <c r="P9" s="20">
        <f>Flujo!P9</f>
        <v/>
      </c>
      <c r="Q9" s="20">
        <f>Flujo!Q9</f>
        <v/>
      </c>
      <c r="R9" s="20">
        <f>Flujo!R9</f>
        <v/>
      </c>
      <c r="S9" s="20">
        <f>Flujo!S9</f>
        <v/>
      </c>
      <c r="T9" s="20">
        <f>Flujo!T9</f>
        <v/>
      </c>
      <c r="U9" s="20">
        <f>Flujo!U9</f>
        <v/>
      </c>
      <c r="V9" s="20">
        <f>Flujo!V9</f>
        <v/>
      </c>
      <c r="W9" s="20">
        <f>Flujo!W9</f>
        <v/>
      </c>
      <c r="X9" s="20">
        <f>Flujo!X9</f>
        <v/>
      </c>
      <c r="Y9" s="20">
        <f>Flujo!Y9</f>
        <v/>
      </c>
      <c r="Z9" s="20">
        <f>Flujo!Z9</f>
        <v/>
      </c>
      <c r="AA9" s="20">
        <f>Flujo!AA9</f>
        <v/>
      </c>
      <c r="AB9" s="20">
        <f>Flujo!AB9</f>
        <v/>
      </c>
      <c r="AC9" s="20">
        <f>Flujo!AC9</f>
        <v/>
      </c>
      <c r="AD9" s="20">
        <f>Flujo!AD9</f>
        <v/>
      </c>
      <c r="AE9" s="20">
        <f>Flujo!AE9</f>
        <v/>
      </c>
      <c r="AF9" s="20">
        <f>Flujo!AF9</f>
        <v/>
      </c>
      <c r="AG9" s="20">
        <f>Flujo!AG9</f>
        <v/>
      </c>
      <c r="AH9" s="20">
        <f>Flujo!AH9</f>
        <v/>
      </c>
      <c r="AI9" s="20">
        <f>Flujo!AI9</f>
        <v/>
      </c>
      <c r="AJ9" s="20">
        <f>Flujo!AJ9</f>
        <v/>
      </c>
      <c r="AK9" s="20">
        <f>Flujo!AK9</f>
        <v/>
      </c>
      <c r="AL9" s="20">
        <f>Flujo!AL9</f>
        <v/>
      </c>
      <c r="AM9" s="20">
        <f>Flujo!AM9</f>
        <v/>
      </c>
      <c r="AN9" s="20">
        <f>Flujo!AN9</f>
        <v/>
      </c>
      <c r="AO9" s="20">
        <f>Flujo!AO9</f>
        <v/>
      </c>
      <c r="AP9" s="20">
        <f>Flujo!AP9</f>
        <v/>
      </c>
      <c r="AQ9" s="20">
        <f>Flujo!AQ9</f>
        <v/>
      </c>
      <c r="AR9" s="20">
        <f>Flujo!AR9</f>
        <v/>
      </c>
      <c r="AS9" s="20">
        <f>Flujo!AS9</f>
        <v/>
      </c>
      <c r="AT9" s="20">
        <f>Flujo!AT9</f>
        <v/>
      </c>
      <c r="AU9" s="20">
        <f>Flujo!AU9</f>
        <v/>
      </c>
      <c r="AV9" s="20">
        <f>Flujo!AV9</f>
        <v/>
      </c>
      <c r="AW9" s="20">
        <f>Flujo!AW9</f>
        <v/>
      </c>
      <c r="AX9" s="20">
        <f>Flujo!AX9</f>
        <v/>
      </c>
      <c r="AY9" s="20">
        <f>Flujo!AY9</f>
        <v/>
      </c>
      <c r="AZ9" s="20">
        <f>Flujo!AZ9</f>
        <v/>
      </c>
      <c r="BA9" s="20">
        <f>Flujo!BA9</f>
        <v/>
      </c>
      <c r="BB9" s="20">
        <f>Flujo!BB9</f>
        <v/>
      </c>
      <c r="BC9" s="20">
        <f>Flujo!BC9</f>
        <v/>
      </c>
      <c r="BD9" s="20">
        <f>Flujo!BD9</f>
        <v/>
      </c>
      <c r="BE9" s="20">
        <f>Flujo!BE9</f>
        <v/>
      </c>
      <c r="BF9" s="20">
        <f>Flujo!BF9</f>
        <v/>
      </c>
      <c r="BG9" s="20">
        <f>Flujo!BG9</f>
        <v/>
      </c>
      <c r="BH9" s="20">
        <f>Flujo!BH9</f>
        <v/>
      </c>
      <c r="BI9" s="20">
        <f>Flujo!BI9</f>
        <v/>
      </c>
      <c r="BJ9" s="20">
        <f>Flujo!BJ9</f>
        <v/>
      </c>
      <c r="BK9" s="20">
        <f>Flujo!BK9</f>
        <v/>
      </c>
      <c r="BL9" s="20">
        <f>Flujo!BL9</f>
        <v/>
      </c>
      <c r="BM9" s="20">
        <f>Flujo!BM9</f>
        <v/>
      </c>
      <c r="BN9" s="20">
        <f>Flujo!BN9</f>
        <v/>
      </c>
      <c r="BO9" s="20">
        <f>Flujo!BO9</f>
        <v/>
      </c>
      <c r="BP9" s="20">
        <f>Flujo!BP9</f>
        <v/>
      </c>
      <c r="BQ9" s="20">
        <f>Flujo!BQ9</f>
        <v/>
      </c>
      <c r="BR9" s="20">
        <f>Flujo!BR9</f>
        <v/>
      </c>
      <c r="BS9" s="20">
        <f>Flujo!BS9</f>
        <v/>
      </c>
      <c r="BT9" s="20">
        <f>Flujo!BT9</f>
        <v/>
      </c>
      <c r="BU9" s="20">
        <f>Flujo!BU9</f>
        <v/>
      </c>
      <c r="BV9" s="20">
        <f>Flujo!BV9</f>
        <v/>
      </c>
      <c r="BW9" s="20">
        <f>Flujo!BW9</f>
        <v/>
      </c>
      <c r="BX9" s="20">
        <f>Flujo!BX9</f>
        <v/>
      </c>
      <c r="BY9" s="20">
        <f>Flujo!BY9</f>
        <v/>
      </c>
      <c r="BZ9" s="20">
        <f>Flujo!BZ9</f>
        <v/>
      </c>
      <c r="CA9" s="20">
        <f>Flujo!CA9</f>
        <v/>
      </c>
      <c r="CB9" s="20">
        <f>Flujo!CB9</f>
        <v/>
      </c>
      <c r="CC9" s="20">
        <f>Flujo!CC9</f>
        <v/>
      </c>
      <c r="CD9" s="20">
        <f>Flujo!CD9</f>
        <v/>
      </c>
      <c r="CE9" s="20">
        <f>Flujo!CE9</f>
        <v/>
      </c>
      <c r="CF9" s="20">
        <f>Flujo!CF9</f>
        <v/>
      </c>
      <c r="CG9" s="20">
        <f>Flujo!CG9</f>
        <v/>
      </c>
      <c r="CH9" s="20">
        <f>Flujo!CH9</f>
        <v/>
      </c>
      <c r="CI9" s="20">
        <f>Flujo!CI9</f>
        <v/>
      </c>
      <c r="CJ9" s="20">
        <f>Flujo!CJ9</f>
        <v/>
      </c>
      <c r="CK9" s="20">
        <f>Flujo!CK9</f>
        <v/>
      </c>
      <c r="CL9" s="20">
        <f>Flujo!CL9</f>
        <v/>
      </c>
      <c r="CM9" s="20">
        <f>Flujo!CM9</f>
        <v/>
      </c>
      <c r="CN9" s="20">
        <f>Flujo!CN9</f>
        <v/>
      </c>
      <c r="CO9" s="20">
        <f>Flujo!CO9</f>
        <v/>
      </c>
      <c r="CP9" s="20">
        <f>Flujo!CP9</f>
        <v/>
      </c>
      <c r="CQ9" s="20">
        <f>Flujo!CQ9</f>
        <v/>
      </c>
      <c r="CR9" s="20">
        <f>Flujo!CR9</f>
        <v/>
      </c>
      <c r="CS9" s="20">
        <f>Flujo!CS9</f>
        <v/>
      </c>
      <c r="CT9" s="20">
        <f>Flujo!CT9</f>
        <v/>
      </c>
      <c r="CU9" s="20">
        <f>Flujo!CU9</f>
        <v/>
      </c>
      <c r="CV9" s="20">
        <f>Flujo!CV9</f>
        <v/>
      </c>
      <c r="CW9" s="20">
        <f>Flujo!CW9</f>
        <v/>
      </c>
      <c r="CX9" s="20">
        <f>Flujo!CX9</f>
        <v/>
      </c>
      <c r="CY9" s="20">
        <f>Flujo!CY9</f>
        <v/>
      </c>
      <c r="CZ9" s="20">
        <f>Flujo!CZ9</f>
        <v/>
      </c>
      <c r="DA9" s="20">
        <f>Flujo!DA9</f>
        <v/>
      </c>
      <c r="DB9" s="20">
        <f>Flujo!DB9</f>
        <v/>
      </c>
      <c r="DC9" s="20">
        <f>Flujo!DC9</f>
        <v/>
      </c>
      <c r="DD9" s="20">
        <f>Flujo!DD9</f>
        <v/>
      </c>
      <c r="DE9" s="20">
        <f>Flujo!DE9</f>
        <v/>
      </c>
    </row>
    <row r="10">
      <c r="B10" s="18" t="inlineStr">
        <is>
          <t>Costo de operacion y mantenimiento, con supervision</t>
        </is>
      </c>
      <c r="D10" s="20">
        <f>-(Flujo!D10+SUM(Flujo!D11:D17))</f>
        <v/>
      </c>
      <c r="E10" s="20">
        <f>-(Flujo!E10+SUM(Flujo!E11:E17))</f>
        <v/>
      </c>
      <c r="F10" s="20">
        <f>-(Flujo!F10+SUM(Flujo!F11:F17))</f>
        <v/>
      </c>
      <c r="G10" s="20">
        <f>-(Flujo!G10+SUM(Flujo!G11:G17))</f>
        <v/>
      </c>
      <c r="H10" s="20">
        <f>-(Flujo!H10+SUM(Flujo!H11:H17))</f>
        <v/>
      </c>
      <c r="I10" s="20">
        <f>-(Flujo!I10+SUM(Flujo!I11:I17))</f>
        <v/>
      </c>
      <c r="J10" s="20">
        <f>-(Flujo!J10+SUM(Flujo!J11:J17))</f>
        <v/>
      </c>
      <c r="K10" s="20">
        <f>-(Flujo!K10+SUM(Flujo!K11:K17))</f>
        <v/>
      </c>
      <c r="L10" s="20">
        <f>-(Flujo!L10+SUM(Flujo!L11:L17))</f>
        <v/>
      </c>
      <c r="M10" s="20">
        <f>-(Flujo!M10+SUM(Flujo!M11:M17))</f>
        <v/>
      </c>
      <c r="N10" s="20">
        <f>-(Flujo!N10+SUM(Flujo!N11:N17))</f>
        <v/>
      </c>
      <c r="O10" s="20">
        <f>-(Flujo!O10+SUM(Flujo!O11:O17))</f>
        <v/>
      </c>
      <c r="P10" s="20">
        <f>-(Flujo!P10+SUM(Flujo!P11:P17))</f>
        <v/>
      </c>
      <c r="Q10" s="20">
        <f>-(Flujo!Q10+SUM(Flujo!Q11:Q17))</f>
        <v/>
      </c>
      <c r="R10" s="20">
        <f>-(Flujo!R10+SUM(Flujo!R11:R17))</f>
        <v/>
      </c>
      <c r="S10" s="20">
        <f>-(Flujo!S10+SUM(Flujo!S11:S17))</f>
        <v/>
      </c>
      <c r="T10" s="20">
        <f>-(Flujo!T10+SUM(Flujo!T11:T17))</f>
        <v/>
      </c>
      <c r="U10" s="20">
        <f>-(Flujo!U10+SUM(Flujo!U11:U17))</f>
        <v/>
      </c>
      <c r="V10" s="20">
        <f>-(Flujo!V10+SUM(Flujo!V11:V17))</f>
        <v/>
      </c>
      <c r="W10" s="20">
        <f>-(Flujo!W10+SUM(Flujo!W11:W17))</f>
        <v/>
      </c>
      <c r="X10" s="20">
        <f>-(Flujo!X10+SUM(Flujo!X11:X17))</f>
        <v/>
      </c>
      <c r="Y10" s="20">
        <f>-(Flujo!Y10+SUM(Flujo!Y11:Y17))</f>
        <v/>
      </c>
      <c r="Z10" s="20">
        <f>-(Flujo!Z10+SUM(Flujo!Z11:Z17))</f>
        <v/>
      </c>
      <c r="AA10" s="20">
        <f>-(Flujo!AA10+SUM(Flujo!AA11:AA17))</f>
        <v/>
      </c>
      <c r="AB10" s="20">
        <f>-(Flujo!AB10+SUM(Flujo!AB11:AB17))</f>
        <v/>
      </c>
      <c r="AC10" s="20">
        <f>-(Flujo!AC10+SUM(Flujo!AC11:AC17))</f>
        <v/>
      </c>
      <c r="AD10" s="20">
        <f>-(Flujo!AD10+SUM(Flujo!AD11:AD17))</f>
        <v/>
      </c>
      <c r="AE10" s="20">
        <f>-(Flujo!AE10+SUM(Flujo!AE11:AE17))</f>
        <v/>
      </c>
      <c r="AF10" s="20">
        <f>-(Flujo!AF10+SUM(Flujo!AF11:AF17))</f>
        <v/>
      </c>
      <c r="AG10" s="20">
        <f>-(Flujo!AG10+SUM(Flujo!AG11:AG17))</f>
        <v/>
      </c>
      <c r="AH10" s="20">
        <f>-(Flujo!AH10+SUM(Flujo!AH11:AH17))</f>
        <v/>
      </c>
      <c r="AI10" s="20">
        <f>-(Flujo!AI10+SUM(Flujo!AI11:AI17))</f>
        <v/>
      </c>
      <c r="AJ10" s="20">
        <f>-(Flujo!AJ10+SUM(Flujo!AJ11:AJ17))</f>
        <v/>
      </c>
      <c r="AK10" s="20">
        <f>-(Flujo!AK10+SUM(Flujo!AK11:AK17))</f>
        <v/>
      </c>
      <c r="AL10" s="20">
        <f>-(Flujo!AL10+SUM(Flujo!AL11:AL17))</f>
        <v/>
      </c>
      <c r="AM10" s="20">
        <f>-(Flujo!AM10+SUM(Flujo!AM11:AM17))</f>
        <v/>
      </c>
      <c r="AN10" s="20">
        <f>-(Flujo!AN10+SUM(Flujo!AN11:AN17))</f>
        <v/>
      </c>
      <c r="AO10" s="20">
        <f>-(Flujo!AO10+SUM(Flujo!AO11:AO17))</f>
        <v/>
      </c>
      <c r="AP10" s="20">
        <f>-(Flujo!AP10+SUM(Flujo!AP11:AP17))</f>
        <v/>
      </c>
      <c r="AQ10" s="20">
        <f>-(Flujo!AQ10+SUM(Flujo!AQ11:AQ17))</f>
        <v/>
      </c>
      <c r="AR10" s="20">
        <f>-(Flujo!AR10+SUM(Flujo!AR11:AR17))</f>
        <v/>
      </c>
      <c r="AS10" s="20">
        <f>-(Flujo!AS10+SUM(Flujo!AS11:AS17))</f>
        <v/>
      </c>
      <c r="AT10" s="20">
        <f>-(Flujo!AT10+SUM(Flujo!AT11:AT17))</f>
        <v/>
      </c>
      <c r="AU10" s="20">
        <f>-(Flujo!AU10+SUM(Flujo!AU11:AU17))</f>
        <v/>
      </c>
      <c r="AV10" s="20">
        <f>-(Flujo!AV10+SUM(Flujo!AV11:AV17))</f>
        <v/>
      </c>
      <c r="AW10" s="20">
        <f>-(Flujo!AW10+SUM(Flujo!AW11:AW17))</f>
        <v/>
      </c>
      <c r="AX10" s="20">
        <f>-(Flujo!AX10+SUM(Flujo!AX11:AX17))</f>
        <v/>
      </c>
      <c r="AY10" s="20">
        <f>-(Flujo!AY10+SUM(Flujo!AY11:AY17))</f>
        <v/>
      </c>
      <c r="AZ10" s="20">
        <f>-(Flujo!AZ10+SUM(Flujo!AZ11:AZ17))</f>
        <v/>
      </c>
      <c r="BA10" s="20">
        <f>-(Flujo!BA10+SUM(Flujo!BA11:BA17))</f>
        <v/>
      </c>
      <c r="BB10" s="20">
        <f>-(Flujo!BB10+SUM(Flujo!BB11:BB17))</f>
        <v/>
      </c>
      <c r="BC10" s="20">
        <f>-(Flujo!BC10+SUM(Flujo!BC11:BC17))</f>
        <v/>
      </c>
      <c r="BD10" s="20">
        <f>-(Flujo!BD10+SUM(Flujo!BD11:BD17))</f>
        <v/>
      </c>
      <c r="BE10" s="20">
        <f>-(Flujo!BE10+SUM(Flujo!BE11:BE17))</f>
        <v/>
      </c>
      <c r="BF10" s="20">
        <f>-(Flujo!BF10+SUM(Flujo!BF11:BF17))</f>
        <v/>
      </c>
      <c r="BG10" s="20">
        <f>-(Flujo!BG10+SUM(Flujo!BG11:BG17))</f>
        <v/>
      </c>
      <c r="BH10" s="20">
        <f>-(Flujo!BH10+SUM(Flujo!BH11:BH17))</f>
        <v/>
      </c>
      <c r="BI10" s="20">
        <f>-(Flujo!BI10+SUM(Flujo!BI11:BI17))</f>
        <v/>
      </c>
      <c r="BJ10" s="20">
        <f>-(Flujo!BJ10+SUM(Flujo!BJ11:BJ17))</f>
        <v/>
      </c>
      <c r="BK10" s="20">
        <f>-(Flujo!BK10+SUM(Flujo!BK11:BK17))</f>
        <v/>
      </c>
      <c r="BL10" s="20">
        <f>-(Flujo!BL10+SUM(Flujo!BL11:BL17))</f>
        <v/>
      </c>
      <c r="BM10" s="20">
        <f>-(Flujo!BM10+SUM(Flujo!BM11:BM17))</f>
        <v/>
      </c>
      <c r="BN10" s="20">
        <f>-(Flujo!BN10+SUM(Flujo!BN11:BN17))</f>
        <v/>
      </c>
      <c r="BO10" s="20">
        <f>-(Flujo!BO10+SUM(Flujo!BO11:BO17))</f>
        <v/>
      </c>
      <c r="BP10" s="20">
        <f>-(Flujo!BP10+SUM(Flujo!BP11:BP17))</f>
        <v/>
      </c>
      <c r="BQ10" s="20">
        <f>-(Flujo!BQ10+SUM(Flujo!BQ11:BQ17))</f>
        <v/>
      </c>
      <c r="BR10" s="20">
        <f>-(Flujo!BR10+SUM(Flujo!BR11:BR17))</f>
        <v/>
      </c>
      <c r="BS10" s="20">
        <f>-(Flujo!BS10+SUM(Flujo!BS11:BS17))</f>
        <v/>
      </c>
      <c r="BT10" s="20">
        <f>-(Flujo!BT10+SUM(Flujo!BT11:BT17))</f>
        <v/>
      </c>
      <c r="BU10" s="20">
        <f>-(Flujo!BU10+SUM(Flujo!BU11:BU17))</f>
        <v/>
      </c>
      <c r="BV10" s="20">
        <f>-(Flujo!BV10+SUM(Flujo!BV11:BV17))</f>
        <v/>
      </c>
      <c r="BW10" s="20">
        <f>-(Flujo!BW10+SUM(Flujo!BW11:BW17))</f>
        <v/>
      </c>
      <c r="BX10" s="20">
        <f>-(Flujo!BX10+SUM(Flujo!BX11:BX17))</f>
        <v/>
      </c>
      <c r="BY10" s="20">
        <f>-(Flujo!BY10+SUM(Flujo!BY11:BY17))</f>
        <v/>
      </c>
      <c r="BZ10" s="20">
        <f>-(Flujo!BZ10+SUM(Flujo!BZ11:BZ17))</f>
        <v/>
      </c>
      <c r="CA10" s="20">
        <f>-(Flujo!CA10+SUM(Flujo!CA11:CA17))</f>
        <v/>
      </c>
      <c r="CB10" s="20">
        <f>-(Flujo!CB10+SUM(Flujo!CB11:CB17))</f>
        <v/>
      </c>
      <c r="CC10" s="20">
        <f>-(Flujo!CC10+SUM(Flujo!CC11:CC17))</f>
        <v/>
      </c>
      <c r="CD10" s="20">
        <f>-(Flujo!CD10+SUM(Flujo!CD11:CD17))</f>
        <v/>
      </c>
      <c r="CE10" s="20">
        <f>-(Flujo!CE10+SUM(Flujo!CE11:CE17))</f>
        <v/>
      </c>
      <c r="CF10" s="20">
        <f>-(Flujo!CF10+SUM(Flujo!CF11:CF17))</f>
        <v/>
      </c>
      <c r="CG10" s="20">
        <f>-(Flujo!CG10+SUM(Flujo!CG11:CG17))</f>
        <v/>
      </c>
      <c r="CH10" s="20">
        <f>-(Flujo!CH10+SUM(Flujo!CH11:CH17))</f>
        <v/>
      </c>
      <c r="CI10" s="20">
        <f>-(Flujo!CI10+SUM(Flujo!CI11:CI17))</f>
        <v/>
      </c>
      <c r="CJ10" s="20">
        <f>-(Flujo!CJ10+SUM(Flujo!CJ11:CJ17))</f>
        <v/>
      </c>
      <c r="CK10" s="20">
        <f>-(Flujo!CK10+SUM(Flujo!CK11:CK17))</f>
        <v/>
      </c>
      <c r="CL10" s="20">
        <f>-(Flujo!CL10+SUM(Flujo!CL11:CL17))</f>
        <v/>
      </c>
      <c r="CM10" s="20">
        <f>-(Flujo!CM10+SUM(Flujo!CM11:CM17))</f>
        <v/>
      </c>
      <c r="CN10" s="20">
        <f>-(Flujo!CN10+SUM(Flujo!CN11:CN17))</f>
        <v/>
      </c>
      <c r="CO10" s="20">
        <f>-(Flujo!CO10+SUM(Flujo!CO11:CO17))</f>
        <v/>
      </c>
      <c r="CP10" s="20">
        <f>-(Flujo!CP10+SUM(Flujo!CP11:CP17))</f>
        <v/>
      </c>
      <c r="CQ10" s="20">
        <f>-(Flujo!CQ10+SUM(Flujo!CQ11:CQ17))</f>
        <v/>
      </c>
      <c r="CR10" s="20">
        <f>-(Flujo!CR10+SUM(Flujo!CR11:CR17))</f>
        <v/>
      </c>
      <c r="CS10" s="20">
        <f>-(Flujo!CS10+SUM(Flujo!CS11:CS17))</f>
        <v/>
      </c>
      <c r="CT10" s="20">
        <f>-(Flujo!CT10+SUM(Flujo!CT11:CT17))</f>
        <v/>
      </c>
      <c r="CU10" s="20">
        <f>-(Flujo!CU10+SUM(Flujo!CU11:CU17))</f>
        <v/>
      </c>
      <c r="CV10" s="20">
        <f>-(Flujo!CV10+SUM(Flujo!CV11:CV17))</f>
        <v/>
      </c>
      <c r="CW10" s="20">
        <f>-(Flujo!CW10+SUM(Flujo!CW11:CW17))</f>
        <v/>
      </c>
      <c r="CX10" s="20">
        <f>-(Flujo!CX10+SUM(Flujo!CX11:CX17))</f>
        <v/>
      </c>
      <c r="CY10" s="20">
        <f>-(Flujo!CY10+SUM(Flujo!CY11:CY17))</f>
        <v/>
      </c>
      <c r="CZ10" s="20">
        <f>-(Flujo!CZ10+SUM(Flujo!CZ11:CZ17))</f>
        <v/>
      </c>
      <c r="DA10" s="20">
        <f>-(Flujo!DA10+SUM(Flujo!DA11:DA17))</f>
        <v/>
      </c>
      <c r="DB10" s="20">
        <f>-(Flujo!DB10+SUM(Flujo!DB11:DB17))</f>
        <v/>
      </c>
      <c r="DC10" s="20">
        <f>-(Flujo!DC10+SUM(Flujo!DC11:DC17))</f>
        <v/>
      </c>
      <c r="DD10" s="20">
        <f>-(Flujo!DD10+SUM(Flujo!DD11:DD17))</f>
        <v/>
      </c>
      <c r="DE10" s="20">
        <f>-(Flujo!DE10+SUM(Flujo!DE11:DE17))</f>
        <v/>
      </c>
    </row>
    <row r="11">
      <c r="B11" s="18" t="inlineStr">
        <is>
          <t>Margen del operador</t>
        </is>
      </c>
      <c r="D11" s="20">
        <f>p_margen_om*D10</f>
        <v/>
      </c>
      <c r="E11" s="20">
        <f>p_margen_om*E10</f>
        <v/>
      </c>
      <c r="F11" s="20">
        <f>p_margen_om*F10</f>
        <v/>
      </c>
      <c r="G11" s="20">
        <f>p_margen_om*G10</f>
        <v/>
      </c>
      <c r="H11" s="20">
        <f>p_margen_om*H10</f>
        <v/>
      </c>
      <c r="I11" s="20">
        <f>p_margen_om*I10</f>
        <v/>
      </c>
      <c r="J11" s="20">
        <f>p_margen_om*J10</f>
        <v/>
      </c>
      <c r="K11" s="20">
        <f>p_margen_om*K10</f>
        <v/>
      </c>
      <c r="L11" s="20">
        <f>p_margen_om*L10</f>
        <v/>
      </c>
      <c r="M11" s="20">
        <f>p_margen_om*M10</f>
        <v/>
      </c>
      <c r="N11" s="20">
        <f>p_margen_om*N10</f>
        <v/>
      </c>
      <c r="O11" s="20">
        <f>p_margen_om*O10</f>
        <v/>
      </c>
      <c r="P11" s="20">
        <f>p_margen_om*P10</f>
        <v/>
      </c>
      <c r="Q11" s="20">
        <f>p_margen_om*Q10</f>
        <v/>
      </c>
      <c r="R11" s="20">
        <f>p_margen_om*R10</f>
        <v/>
      </c>
      <c r="S11" s="20">
        <f>p_margen_om*S10</f>
        <v/>
      </c>
      <c r="T11" s="20">
        <f>p_margen_om*T10</f>
        <v/>
      </c>
      <c r="U11" s="20">
        <f>p_margen_om*U10</f>
        <v/>
      </c>
      <c r="V11" s="20">
        <f>p_margen_om*V10</f>
        <v/>
      </c>
      <c r="W11" s="20">
        <f>p_margen_om*W10</f>
        <v/>
      </c>
      <c r="X11" s="20">
        <f>p_margen_om*X10</f>
        <v/>
      </c>
      <c r="Y11" s="20">
        <f>p_margen_om*Y10</f>
        <v/>
      </c>
      <c r="Z11" s="20">
        <f>p_margen_om*Z10</f>
        <v/>
      </c>
      <c r="AA11" s="20">
        <f>p_margen_om*AA10</f>
        <v/>
      </c>
      <c r="AB11" s="20">
        <f>p_margen_om*AB10</f>
        <v/>
      </c>
      <c r="AC11" s="20">
        <f>p_margen_om*AC10</f>
        <v/>
      </c>
      <c r="AD11" s="20">
        <f>p_margen_om*AD10</f>
        <v/>
      </c>
      <c r="AE11" s="20">
        <f>p_margen_om*AE10</f>
        <v/>
      </c>
      <c r="AF11" s="20">
        <f>p_margen_om*AF10</f>
        <v/>
      </c>
      <c r="AG11" s="20">
        <f>p_margen_om*AG10</f>
        <v/>
      </c>
      <c r="AH11" s="20">
        <f>p_margen_om*AH10</f>
        <v/>
      </c>
      <c r="AI11" s="20">
        <f>p_margen_om*AI10</f>
        <v/>
      </c>
      <c r="AJ11" s="20">
        <f>p_margen_om*AJ10</f>
        <v/>
      </c>
      <c r="AK11" s="20">
        <f>p_margen_om*AK10</f>
        <v/>
      </c>
      <c r="AL11" s="20">
        <f>p_margen_om*AL10</f>
        <v/>
      </c>
      <c r="AM11" s="20">
        <f>p_margen_om*AM10</f>
        <v/>
      </c>
      <c r="AN11" s="20">
        <f>p_margen_om*AN10</f>
        <v/>
      </c>
      <c r="AO11" s="20">
        <f>p_margen_om*AO10</f>
        <v/>
      </c>
      <c r="AP11" s="20">
        <f>p_margen_om*AP10</f>
        <v/>
      </c>
      <c r="AQ11" s="20">
        <f>p_margen_om*AQ10</f>
        <v/>
      </c>
      <c r="AR11" s="20">
        <f>p_margen_om*AR10</f>
        <v/>
      </c>
      <c r="AS11" s="20">
        <f>p_margen_om*AS10</f>
        <v/>
      </c>
      <c r="AT11" s="20">
        <f>p_margen_om*AT10</f>
        <v/>
      </c>
      <c r="AU11" s="20">
        <f>p_margen_om*AU10</f>
        <v/>
      </c>
      <c r="AV11" s="20">
        <f>p_margen_om*AV10</f>
        <v/>
      </c>
      <c r="AW11" s="20">
        <f>p_margen_om*AW10</f>
        <v/>
      </c>
      <c r="AX11" s="20">
        <f>p_margen_om*AX10</f>
        <v/>
      </c>
      <c r="AY11" s="20">
        <f>p_margen_om*AY10</f>
        <v/>
      </c>
      <c r="AZ11" s="20">
        <f>p_margen_om*AZ10</f>
        <v/>
      </c>
      <c r="BA11" s="20">
        <f>p_margen_om*BA10</f>
        <v/>
      </c>
      <c r="BB11" s="20">
        <f>p_margen_om*BB10</f>
        <v/>
      </c>
      <c r="BC11" s="20">
        <f>p_margen_om*BC10</f>
        <v/>
      </c>
      <c r="BD11" s="20">
        <f>p_margen_om*BD10</f>
        <v/>
      </c>
      <c r="BE11" s="20">
        <f>p_margen_om*BE10</f>
        <v/>
      </c>
      <c r="BF11" s="20">
        <f>p_margen_om*BF10</f>
        <v/>
      </c>
      <c r="BG11" s="20">
        <f>p_margen_om*BG10</f>
        <v/>
      </c>
      <c r="BH11" s="20">
        <f>p_margen_om*BH10</f>
        <v/>
      </c>
      <c r="BI11" s="20">
        <f>p_margen_om*BI10</f>
        <v/>
      </c>
      <c r="BJ11" s="20">
        <f>p_margen_om*BJ10</f>
        <v/>
      </c>
      <c r="BK11" s="20">
        <f>p_margen_om*BK10</f>
        <v/>
      </c>
      <c r="BL11" s="20">
        <f>p_margen_om*BL10</f>
        <v/>
      </c>
      <c r="BM11" s="20">
        <f>p_margen_om*BM10</f>
        <v/>
      </c>
      <c r="BN11" s="20">
        <f>p_margen_om*BN10</f>
        <v/>
      </c>
      <c r="BO11" s="20">
        <f>p_margen_om*BO10</f>
        <v/>
      </c>
      <c r="BP11" s="20">
        <f>p_margen_om*BP10</f>
        <v/>
      </c>
      <c r="BQ11" s="20">
        <f>p_margen_om*BQ10</f>
        <v/>
      </c>
      <c r="BR11" s="20">
        <f>p_margen_om*BR10</f>
        <v/>
      </c>
      <c r="BS11" s="20">
        <f>p_margen_om*BS10</f>
        <v/>
      </c>
      <c r="BT11" s="20">
        <f>p_margen_om*BT10</f>
        <v/>
      </c>
      <c r="BU11" s="20">
        <f>p_margen_om*BU10</f>
        <v/>
      </c>
      <c r="BV11" s="20">
        <f>p_margen_om*BV10</f>
        <v/>
      </c>
      <c r="BW11" s="20">
        <f>p_margen_om*BW10</f>
        <v/>
      </c>
      <c r="BX11" s="20">
        <f>p_margen_om*BX10</f>
        <v/>
      </c>
      <c r="BY11" s="20">
        <f>p_margen_om*BY10</f>
        <v/>
      </c>
      <c r="BZ11" s="20">
        <f>p_margen_om*BZ10</f>
        <v/>
      </c>
      <c r="CA11" s="20">
        <f>p_margen_om*CA10</f>
        <v/>
      </c>
      <c r="CB11" s="20">
        <f>p_margen_om*CB10</f>
        <v/>
      </c>
      <c r="CC11" s="20">
        <f>p_margen_om*CC10</f>
        <v/>
      </c>
      <c r="CD11" s="20">
        <f>p_margen_om*CD10</f>
        <v/>
      </c>
      <c r="CE11" s="20">
        <f>p_margen_om*CE10</f>
        <v/>
      </c>
      <c r="CF11" s="20">
        <f>p_margen_om*CF10</f>
        <v/>
      </c>
      <c r="CG11" s="20">
        <f>p_margen_om*CG10</f>
        <v/>
      </c>
      <c r="CH11" s="20">
        <f>p_margen_om*CH10</f>
        <v/>
      </c>
      <c r="CI11" s="20">
        <f>p_margen_om*CI10</f>
        <v/>
      </c>
      <c r="CJ11" s="20">
        <f>p_margen_om*CJ10</f>
        <v/>
      </c>
      <c r="CK11" s="20">
        <f>p_margen_om*CK10</f>
        <v/>
      </c>
      <c r="CL11" s="20">
        <f>p_margen_om*CL10</f>
        <v/>
      </c>
      <c r="CM11" s="20">
        <f>p_margen_om*CM10</f>
        <v/>
      </c>
      <c r="CN11" s="20">
        <f>p_margen_om*CN10</f>
        <v/>
      </c>
      <c r="CO11" s="20">
        <f>p_margen_om*CO10</f>
        <v/>
      </c>
      <c r="CP11" s="20">
        <f>p_margen_om*CP10</f>
        <v/>
      </c>
      <c r="CQ11" s="20">
        <f>p_margen_om*CQ10</f>
        <v/>
      </c>
      <c r="CR11" s="20">
        <f>p_margen_om*CR10</f>
        <v/>
      </c>
      <c r="CS11" s="20">
        <f>p_margen_om*CS10</f>
        <v/>
      </c>
      <c r="CT11" s="20">
        <f>p_margen_om*CT10</f>
        <v/>
      </c>
      <c r="CU11" s="20">
        <f>p_margen_om*CU10</f>
        <v/>
      </c>
      <c r="CV11" s="20">
        <f>p_margen_om*CV10</f>
        <v/>
      </c>
      <c r="CW11" s="20">
        <f>p_margen_om*CW10</f>
        <v/>
      </c>
      <c r="CX11" s="20">
        <f>p_margen_om*CX10</f>
        <v/>
      </c>
      <c r="CY11" s="20">
        <f>p_margen_om*CY10</f>
        <v/>
      </c>
      <c r="CZ11" s="20">
        <f>p_margen_om*CZ10</f>
        <v/>
      </c>
      <c r="DA11" s="20">
        <f>p_margen_om*DA10</f>
        <v/>
      </c>
      <c r="DB11" s="20">
        <f>p_margen_om*DB10</f>
        <v/>
      </c>
      <c r="DC11" s="20">
        <f>p_margen_om*DC10</f>
        <v/>
      </c>
      <c r="DD11" s="20">
        <f>p_margen_om*DD10</f>
        <v/>
      </c>
      <c r="DE11" s="20">
        <f>p_margen_om*DE10</f>
        <v/>
      </c>
    </row>
    <row r="12">
      <c r="B12" s="18" t="inlineStr">
        <is>
          <t>Operacion y mantenimiento</t>
        </is>
      </c>
      <c r="D12" s="20">
        <f>D10+D11</f>
        <v/>
      </c>
      <c r="E12" s="20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20">
        <f>K10+K11</f>
        <v/>
      </c>
      <c r="L12" s="20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20">
        <f>R10+R11</f>
        <v/>
      </c>
      <c r="S12" s="20">
        <f>S10+S11</f>
        <v/>
      </c>
      <c r="T12" s="20">
        <f>T10+T11</f>
        <v/>
      </c>
      <c r="U12" s="20">
        <f>U10+U11</f>
        <v/>
      </c>
      <c r="V12" s="20">
        <f>V10+V11</f>
        <v/>
      </c>
      <c r="W12" s="20">
        <f>W10+W11</f>
        <v/>
      </c>
      <c r="X12" s="20">
        <f>X10+X11</f>
        <v/>
      </c>
      <c r="Y12" s="20">
        <f>Y10+Y11</f>
        <v/>
      </c>
      <c r="Z12" s="20">
        <f>Z10+Z11</f>
        <v/>
      </c>
      <c r="AA12" s="20">
        <f>AA10+AA11</f>
        <v/>
      </c>
      <c r="AB12" s="20">
        <f>AB10+AB11</f>
        <v/>
      </c>
      <c r="AC12" s="20">
        <f>AC10+AC11</f>
        <v/>
      </c>
      <c r="AD12" s="20">
        <f>AD10+AD11</f>
        <v/>
      </c>
      <c r="AE12" s="20">
        <f>AE10+AE11</f>
        <v/>
      </c>
      <c r="AF12" s="20">
        <f>AF10+AF11</f>
        <v/>
      </c>
      <c r="AG12" s="20">
        <f>AG10+AG11</f>
        <v/>
      </c>
      <c r="AH12" s="20">
        <f>AH10+AH11</f>
        <v/>
      </c>
      <c r="AI12" s="20">
        <f>AI10+AI11</f>
        <v/>
      </c>
      <c r="AJ12" s="20">
        <f>AJ10+AJ11</f>
        <v/>
      </c>
      <c r="AK12" s="20">
        <f>AK10+AK11</f>
        <v/>
      </c>
      <c r="AL12" s="20">
        <f>AL10+AL11</f>
        <v/>
      </c>
      <c r="AM12" s="20">
        <f>AM10+AM11</f>
        <v/>
      </c>
      <c r="AN12" s="20">
        <f>AN10+AN11</f>
        <v/>
      </c>
      <c r="AO12" s="20">
        <f>AO10+AO11</f>
        <v/>
      </c>
      <c r="AP12" s="20">
        <f>AP10+AP11</f>
        <v/>
      </c>
      <c r="AQ12" s="20">
        <f>AQ10+AQ11</f>
        <v/>
      </c>
      <c r="AR12" s="20">
        <f>AR10+AR11</f>
        <v/>
      </c>
      <c r="AS12" s="20">
        <f>AS10+AS11</f>
        <v/>
      </c>
      <c r="AT12" s="20">
        <f>AT10+AT11</f>
        <v/>
      </c>
      <c r="AU12" s="20">
        <f>AU10+AU11</f>
        <v/>
      </c>
      <c r="AV12" s="20">
        <f>AV10+AV11</f>
        <v/>
      </c>
      <c r="AW12" s="20">
        <f>AW10+AW11</f>
        <v/>
      </c>
      <c r="AX12" s="20">
        <f>AX10+AX11</f>
        <v/>
      </c>
      <c r="AY12" s="20">
        <f>AY10+AY11</f>
        <v/>
      </c>
      <c r="AZ12" s="20">
        <f>AZ10+AZ11</f>
        <v/>
      </c>
      <c r="BA12" s="20">
        <f>BA10+BA11</f>
        <v/>
      </c>
      <c r="BB12" s="20">
        <f>BB10+BB11</f>
        <v/>
      </c>
      <c r="BC12" s="20">
        <f>BC10+BC11</f>
        <v/>
      </c>
      <c r="BD12" s="20">
        <f>BD10+BD11</f>
        <v/>
      </c>
      <c r="BE12" s="20">
        <f>BE10+BE11</f>
        <v/>
      </c>
      <c r="BF12" s="20">
        <f>BF10+BF11</f>
        <v/>
      </c>
      <c r="BG12" s="20">
        <f>BG10+BG11</f>
        <v/>
      </c>
      <c r="BH12" s="20">
        <f>BH10+BH11</f>
        <v/>
      </c>
      <c r="BI12" s="20">
        <f>BI10+BI11</f>
        <v/>
      </c>
      <c r="BJ12" s="20">
        <f>BJ10+BJ11</f>
        <v/>
      </c>
      <c r="BK12" s="20">
        <f>BK10+BK11</f>
        <v/>
      </c>
      <c r="BL12" s="20">
        <f>BL10+BL11</f>
        <v/>
      </c>
      <c r="BM12" s="20">
        <f>BM10+BM11</f>
        <v/>
      </c>
      <c r="BN12" s="20">
        <f>BN10+BN11</f>
        <v/>
      </c>
      <c r="BO12" s="20">
        <f>BO10+BO11</f>
        <v/>
      </c>
      <c r="BP12" s="20">
        <f>BP10+BP11</f>
        <v/>
      </c>
      <c r="BQ12" s="20">
        <f>BQ10+BQ11</f>
        <v/>
      </c>
      <c r="BR12" s="20">
        <f>BR10+BR11</f>
        <v/>
      </c>
      <c r="BS12" s="20">
        <f>BS10+BS11</f>
        <v/>
      </c>
      <c r="BT12" s="20">
        <f>BT10+BT11</f>
        <v/>
      </c>
      <c r="BU12" s="20">
        <f>BU10+BU11</f>
        <v/>
      </c>
      <c r="BV12" s="20">
        <f>BV10+BV11</f>
        <v/>
      </c>
      <c r="BW12" s="20">
        <f>BW10+BW11</f>
        <v/>
      </c>
      <c r="BX12" s="20">
        <f>BX10+BX11</f>
        <v/>
      </c>
      <c r="BY12" s="20">
        <f>BY10+BY11</f>
        <v/>
      </c>
      <c r="BZ12" s="20">
        <f>BZ10+BZ11</f>
        <v/>
      </c>
      <c r="CA12" s="20">
        <f>CA10+CA11</f>
        <v/>
      </c>
      <c r="CB12" s="20">
        <f>CB10+CB11</f>
        <v/>
      </c>
      <c r="CC12" s="20">
        <f>CC10+CC11</f>
        <v/>
      </c>
      <c r="CD12" s="20">
        <f>CD10+CD11</f>
        <v/>
      </c>
      <c r="CE12" s="20">
        <f>CE10+CE11</f>
        <v/>
      </c>
      <c r="CF12" s="20">
        <f>CF10+CF11</f>
        <v/>
      </c>
      <c r="CG12" s="20">
        <f>CG10+CG11</f>
        <v/>
      </c>
      <c r="CH12" s="20">
        <f>CH10+CH11</f>
        <v/>
      </c>
      <c r="CI12" s="20">
        <f>CI10+CI11</f>
        <v/>
      </c>
      <c r="CJ12" s="20">
        <f>CJ10+CJ11</f>
        <v/>
      </c>
      <c r="CK12" s="20">
        <f>CK10+CK11</f>
        <v/>
      </c>
      <c r="CL12" s="20">
        <f>CL10+CL11</f>
        <v/>
      </c>
      <c r="CM12" s="20">
        <f>CM10+CM11</f>
        <v/>
      </c>
      <c r="CN12" s="20">
        <f>CN10+CN11</f>
        <v/>
      </c>
      <c r="CO12" s="20">
        <f>CO10+CO11</f>
        <v/>
      </c>
      <c r="CP12" s="20">
        <f>CP10+CP11</f>
        <v/>
      </c>
      <c r="CQ12" s="20">
        <f>CQ10+CQ11</f>
        <v/>
      </c>
      <c r="CR12" s="20">
        <f>CR10+CR11</f>
        <v/>
      </c>
      <c r="CS12" s="20">
        <f>CS10+CS11</f>
        <v/>
      </c>
      <c r="CT12" s="20">
        <f>CT10+CT11</f>
        <v/>
      </c>
      <c r="CU12" s="20">
        <f>CU10+CU11</f>
        <v/>
      </c>
      <c r="CV12" s="20">
        <f>CV10+CV11</f>
        <v/>
      </c>
      <c r="CW12" s="20">
        <f>CW10+CW11</f>
        <v/>
      </c>
      <c r="CX12" s="20">
        <f>CX10+CX11</f>
        <v/>
      </c>
      <c r="CY12" s="20">
        <f>CY10+CY11</f>
        <v/>
      </c>
      <c r="CZ12" s="20">
        <f>CZ10+CZ11</f>
        <v/>
      </c>
      <c r="DA12" s="20">
        <f>DA10+DA11</f>
        <v/>
      </c>
      <c r="DB12" s="20">
        <f>DB10+DB11</f>
        <v/>
      </c>
      <c r="DC12" s="20">
        <f>DC10+DC11</f>
        <v/>
      </c>
      <c r="DD12" s="20">
        <f>DD10+DD11</f>
        <v/>
      </c>
      <c r="DE12" s="20">
        <f>DE10+DE11</f>
        <v/>
      </c>
    </row>
    <row r="13">
      <c r="B13" s="22" t="inlineStr">
        <is>
          <t>Disponible para repagar la inversion</t>
        </is>
      </c>
      <c r="D13" s="20">
        <f>D9-D12</f>
        <v/>
      </c>
      <c r="E13" s="20">
        <f>E9-E12</f>
        <v/>
      </c>
      <c r="F13" s="20">
        <f>F9-F12</f>
        <v/>
      </c>
      <c r="G13" s="20">
        <f>G9-G12</f>
        <v/>
      </c>
      <c r="H13" s="20">
        <f>H9-H12</f>
        <v/>
      </c>
      <c r="I13" s="20">
        <f>I9-I12</f>
        <v/>
      </c>
      <c r="J13" s="20">
        <f>J9-J12</f>
        <v/>
      </c>
      <c r="K13" s="20">
        <f>K9-K12</f>
        <v/>
      </c>
      <c r="L13" s="20">
        <f>L9-L12</f>
        <v/>
      </c>
      <c r="M13" s="20">
        <f>M9-M12</f>
        <v/>
      </c>
      <c r="N13" s="20">
        <f>N9-N12</f>
        <v/>
      </c>
      <c r="O13" s="20">
        <f>O9-O12</f>
        <v/>
      </c>
      <c r="P13" s="20">
        <f>P9-P12</f>
        <v/>
      </c>
      <c r="Q13" s="20">
        <f>Q9-Q12</f>
        <v/>
      </c>
      <c r="R13" s="20">
        <f>R9-R12</f>
        <v/>
      </c>
      <c r="S13" s="20">
        <f>S9-S12</f>
        <v/>
      </c>
      <c r="T13" s="20">
        <f>T9-T12</f>
        <v/>
      </c>
      <c r="U13" s="20">
        <f>U9-U12</f>
        <v/>
      </c>
      <c r="V13" s="20">
        <f>V9-V12</f>
        <v/>
      </c>
      <c r="W13" s="20">
        <f>W9-W12</f>
        <v/>
      </c>
      <c r="X13" s="20">
        <f>X9-X12</f>
        <v/>
      </c>
      <c r="Y13" s="20">
        <f>Y9-Y12</f>
        <v/>
      </c>
      <c r="Z13" s="20">
        <f>Z9-Z12</f>
        <v/>
      </c>
      <c r="AA13" s="20">
        <f>AA9-AA12</f>
        <v/>
      </c>
      <c r="AB13" s="20">
        <f>AB9-AB12</f>
        <v/>
      </c>
      <c r="AC13" s="20">
        <f>AC9-AC12</f>
        <v/>
      </c>
      <c r="AD13" s="20">
        <f>AD9-AD12</f>
        <v/>
      </c>
      <c r="AE13" s="20">
        <f>AE9-AE12</f>
        <v/>
      </c>
      <c r="AF13" s="20">
        <f>AF9-AF12</f>
        <v/>
      </c>
      <c r="AG13" s="20">
        <f>AG9-AG12</f>
        <v/>
      </c>
      <c r="AH13" s="20">
        <f>AH9-AH12</f>
        <v/>
      </c>
      <c r="AI13" s="20">
        <f>AI9-AI12</f>
        <v/>
      </c>
      <c r="AJ13" s="20">
        <f>AJ9-AJ12</f>
        <v/>
      </c>
      <c r="AK13" s="20">
        <f>AK9-AK12</f>
        <v/>
      </c>
      <c r="AL13" s="20">
        <f>AL9-AL12</f>
        <v/>
      </c>
      <c r="AM13" s="20">
        <f>AM9-AM12</f>
        <v/>
      </c>
      <c r="AN13" s="20">
        <f>AN9-AN12</f>
        <v/>
      </c>
      <c r="AO13" s="20">
        <f>AO9-AO12</f>
        <v/>
      </c>
      <c r="AP13" s="20">
        <f>AP9-AP12</f>
        <v/>
      </c>
      <c r="AQ13" s="20">
        <f>AQ9-AQ12</f>
        <v/>
      </c>
      <c r="AR13" s="20">
        <f>AR9-AR12</f>
        <v/>
      </c>
      <c r="AS13" s="20">
        <f>AS9-AS12</f>
        <v/>
      </c>
      <c r="AT13" s="20">
        <f>AT9-AT12</f>
        <v/>
      </c>
      <c r="AU13" s="20">
        <f>AU9-AU12</f>
        <v/>
      </c>
      <c r="AV13" s="20">
        <f>AV9-AV12</f>
        <v/>
      </c>
      <c r="AW13" s="20">
        <f>AW9-AW12</f>
        <v/>
      </c>
      <c r="AX13" s="20">
        <f>AX9-AX12</f>
        <v/>
      </c>
      <c r="AY13" s="20">
        <f>AY9-AY12</f>
        <v/>
      </c>
      <c r="AZ13" s="20">
        <f>AZ9-AZ12</f>
        <v/>
      </c>
      <c r="BA13" s="20">
        <f>BA9-BA12</f>
        <v/>
      </c>
      <c r="BB13" s="20">
        <f>BB9-BB12</f>
        <v/>
      </c>
      <c r="BC13" s="20">
        <f>BC9-BC12</f>
        <v/>
      </c>
      <c r="BD13" s="20">
        <f>BD9-BD12</f>
        <v/>
      </c>
      <c r="BE13" s="20">
        <f>BE9-BE12</f>
        <v/>
      </c>
      <c r="BF13" s="20">
        <f>BF9-BF12</f>
        <v/>
      </c>
      <c r="BG13" s="20">
        <f>BG9-BG12</f>
        <v/>
      </c>
      <c r="BH13" s="20">
        <f>BH9-BH12</f>
        <v/>
      </c>
      <c r="BI13" s="20">
        <f>BI9-BI12</f>
        <v/>
      </c>
      <c r="BJ13" s="20">
        <f>BJ9-BJ12</f>
        <v/>
      </c>
      <c r="BK13" s="20">
        <f>BK9-BK12</f>
        <v/>
      </c>
      <c r="BL13" s="20">
        <f>BL9-BL12</f>
        <v/>
      </c>
      <c r="BM13" s="20">
        <f>BM9-BM12</f>
        <v/>
      </c>
      <c r="BN13" s="20">
        <f>BN9-BN12</f>
        <v/>
      </c>
      <c r="BO13" s="20">
        <f>BO9-BO12</f>
        <v/>
      </c>
      <c r="BP13" s="20">
        <f>BP9-BP12</f>
        <v/>
      </c>
      <c r="BQ13" s="20">
        <f>BQ9-BQ12</f>
        <v/>
      </c>
      <c r="BR13" s="20">
        <f>BR9-BR12</f>
        <v/>
      </c>
      <c r="BS13" s="20">
        <f>BS9-BS12</f>
        <v/>
      </c>
      <c r="BT13" s="20">
        <f>BT9-BT12</f>
        <v/>
      </c>
      <c r="BU13" s="20">
        <f>BU9-BU12</f>
        <v/>
      </c>
      <c r="BV13" s="20">
        <f>BV9-BV12</f>
        <v/>
      </c>
      <c r="BW13" s="20">
        <f>BW9-BW12</f>
        <v/>
      </c>
      <c r="BX13" s="20">
        <f>BX9-BX12</f>
        <v/>
      </c>
      <c r="BY13" s="20">
        <f>BY9-BY12</f>
        <v/>
      </c>
      <c r="BZ13" s="20">
        <f>BZ9-BZ12</f>
        <v/>
      </c>
      <c r="CA13" s="20">
        <f>CA9-CA12</f>
        <v/>
      </c>
      <c r="CB13" s="20">
        <f>CB9-CB12</f>
        <v/>
      </c>
      <c r="CC13" s="20">
        <f>CC9-CC12</f>
        <v/>
      </c>
      <c r="CD13" s="20">
        <f>CD9-CD12</f>
        <v/>
      </c>
      <c r="CE13" s="20">
        <f>CE9-CE12</f>
        <v/>
      </c>
      <c r="CF13" s="20">
        <f>CF9-CF12</f>
        <v/>
      </c>
      <c r="CG13" s="20">
        <f>CG9-CG12</f>
        <v/>
      </c>
      <c r="CH13" s="20">
        <f>CH9-CH12</f>
        <v/>
      </c>
      <c r="CI13" s="20">
        <f>CI9-CI12</f>
        <v/>
      </c>
      <c r="CJ13" s="20">
        <f>CJ9-CJ12</f>
        <v/>
      </c>
      <c r="CK13" s="20">
        <f>CK9-CK12</f>
        <v/>
      </c>
      <c r="CL13" s="20">
        <f>CL9-CL12</f>
        <v/>
      </c>
      <c r="CM13" s="20">
        <f>CM9-CM12</f>
        <v/>
      </c>
      <c r="CN13" s="20">
        <f>CN9-CN12</f>
        <v/>
      </c>
      <c r="CO13" s="20">
        <f>CO9-CO12</f>
        <v/>
      </c>
      <c r="CP13" s="20">
        <f>CP9-CP12</f>
        <v/>
      </c>
      <c r="CQ13" s="20">
        <f>CQ9-CQ12</f>
        <v/>
      </c>
      <c r="CR13" s="20">
        <f>CR9-CR12</f>
        <v/>
      </c>
      <c r="CS13" s="20">
        <f>CS9-CS12</f>
        <v/>
      </c>
      <c r="CT13" s="20">
        <f>CT9-CT12</f>
        <v/>
      </c>
      <c r="CU13" s="20">
        <f>CU9-CU12</f>
        <v/>
      </c>
      <c r="CV13" s="20">
        <f>CV9-CV12</f>
        <v/>
      </c>
      <c r="CW13" s="20">
        <f>CW9-CW12</f>
        <v/>
      </c>
      <c r="CX13" s="20">
        <f>CX9-CX12</f>
        <v/>
      </c>
      <c r="CY13" s="20">
        <f>CY9-CY12</f>
        <v/>
      </c>
      <c r="CZ13" s="20">
        <f>CZ9-CZ12</f>
        <v/>
      </c>
      <c r="DA13" s="20">
        <f>DA9-DA12</f>
        <v/>
      </c>
      <c r="DB13" s="20">
        <f>DB9-DB12</f>
        <v/>
      </c>
      <c r="DC13" s="20">
        <f>DC9-DC12</f>
        <v/>
      </c>
      <c r="DD13" s="20">
        <f>DD9-DD12</f>
        <v/>
      </c>
      <c r="DE13" s="20">
        <f>DE9-DE12</f>
        <v/>
      </c>
    </row>
    <row r="15">
      <c r="B15" s="18" t="inlineStr">
        <is>
          <t>Produccion facturada, kg DBO5</t>
        </is>
      </c>
      <c r="D15" s="20">
        <f>SUMPRODUCT((Ingresos!$D$8:$LI$8=D7+0)*Ingresos!$D$9:$LI$9)</f>
        <v/>
      </c>
      <c r="E15" s="20">
        <f>SUMPRODUCT((Ingresos!$D$8:$LI$8=E7+0)*Ingresos!$D$9:$LI$9)</f>
        <v/>
      </c>
      <c r="F15" s="20">
        <f>SUMPRODUCT((Ingresos!$D$8:$LI$8=F7+0)*Ingresos!$D$9:$LI$9)</f>
        <v/>
      </c>
      <c r="G15" s="20">
        <f>SUMPRODUCT((Ingresos!$D$8:$LI$8=G7+0)*Ingresos!$D$9:$LI$9)</f>
        <v/>
      </c>
      <c r="H15" s="20">
        <f>SUMPRODUCT((Ingresos!$D$8:$LI$8=H7+0)*Ingresos!$D$9:$LI$9)</f>
        <v/>
      </c>
      <c r="I15" s="20">
        <f>SUMPRODUCT((Ingresos!$D$8:$LI$8=I7+0)*Ingresos!$D$9:$LI$9)</f>
        <v/>
      </c>
      <c r="J15" s="20">
        <f>SUMPRODUCT((Ingresos!$D$8:$LI$8=J7+0)*Ingresos!$D$9:$LI$9)</f>
        <v/>
      </c>
      <c r="K15" s="20">
        <f>SUMPRODUCT((Ingresos!$D$8:$LI$8=K7+0)*Ingresos!$D$9:$LI$9)</f>
        <v/>
      </c>
      <c r="L15" s="20">
        <f>SUMPRODUCT((Ingresos!$D$8:$LI$8=L7+0)*Ingresos!$D$9:$LI$9)</f>
        <v/>
      </c>
      <c r="M15" s="20">
        <f>SUMPRODUCT((Ingresos!$D$8:$LI$8=M7+0)*Ingresos!$D$9:$LI$9)</f>
        <v/>
      </c>
      <c r="N15" s="20">
        <f>SUMPRODUCT((Ingresos!$D$8:$LI$8=N7+0)*Ingresos!$D$9:$LI$9)</f>
        <v/>
      </c>
      <c r="O15" s="20">
        <f>SUMPRODUCT((Ingresos!$D$8:$LI$8=O7+0)*Ingresos!$D$9:$LI$9)</f>
        <v/>
      </c>
      <c r="P15" s="20">
        <f>SUMPRODUCT((Ingresos!$D$8:$LI$8=P7+0)*Ingresos!$D$9:$LI$9)</f>
        <v/>
      </c>
      <c r="Q15" s="20">
        <f>SUMPRODUCT((Ingresos!$D$8:$LI$8=Q7+0)*Ingresos!$D$9:$LI$9)</f>
        <v/>
      </c>
      <c r="R15" s="20">
        <f>SUMPRODUCT((Ingresos!$D$8:$LI$8=R7+0)*Ingresos!$D$9:$LI$9)</f>
        <v/>
      </c>
      <c r="S15" s="20">
        <f>SUMPRODUCT((Ingresos!$D$8:$LI$8=S7+0)*Ingresos!$D$9:$LI$9)</f>
        <v/>
      </c>
      <c r="T15" s="20">
        <f>SUMPRODUCT((Ingresos!$D$8:$LI$8=T7+0)*Ingresos!$D$9:$LI$9)</f>
        <v/>
      </c>
      <c r="U15" s="20">
        <f>SUMPRODUCT((Ingresos!$D$8:$LI$8=U7+0)*Ingresos!$D$9:$LI$9)</f>
        <v/>
      </c>
      <c r="V15" s="20">
        <f>SUMPRODUCT((Ingresos!$D$8:$LI$8=V7+0)*Ingresos!$D$9:$LI$9)</f>
        <v/>
      </c>
      <c r="W15" s="20">
        <f>SUMPRODUCT((Ingresos!$D$8:$LI$8=W7+0)*Ingresos!$D$9:$LI$9)</f>
        <v/>
      </c>
      <c r="X15" s="20">
        <f>SUMPRODUCT((Ingresos!$D$8:$LI$8=X7+0)*Ingresos!$D$9:$LI$9)</f>
        <v/>
      </c>
      <c r="Y15" s="20">
        <f>SUMPRODUCT((Ingresos!$D$8:$LI$8=Y7+0)*Ingresos!$D$9:$LI$9)</f>
        <v/>
      </c>
      <c r="Z15" s="20">
        <f>SUMPRODUCT((Ingresos!$D$8:$LI$8=Z7+0)*Ingresos!$D$9:$LI$9)</f>
        <v/>
      </c>
      <c r="AA15" s="20">
        <f>SUMPRODUCT((Ingresos!$D$8:$LI$8=AA7+0)*Ingresos!$D$9:$LI$9)</f>
        <v/>
      </c>
      <c r="AB15" s="20">
        <f>SUMPRODUCT((Ingresos!$D$8:$LI$8=AB7+0)*Ingresos!$D$9:$LI$9)</f>
        <v/>
      </c>
      <c r="AC15" s="20">
        <f>SUMPRODUCT((Ingresos!$D$8:$LI$8=AC7+0)*Ingresos!$D$9:$LI$9)</f>
        <v/>
      </c>
      <c r="AD15" s="20">
        <f>SUMPRODUCT((Ingresos!$D$8:$LI$8=AD7+0)*Ingresos!$D$9:$LI$9)</f>
        <v/>
      </c>
      <c r="AE15" s="20">
        <f>SUMPRODUCT((Ingresos!$D$8:$LI$8=AE7+0)*Ingresos!$D$9:$LI$9)</f>
        <v/>
      </c>
      <c r="AF15" s="20">
        <f>SUMPRODUCT((Ingresos!$D$8:$LI$8=AF7+0)*Ingresos!$D$9:$LI$9)</f>
        <v/>
      </c>
      <c r="AG15" s="20">
        <f>SUMPRODUCT((Ingresos!$D$8:$LI$8=AG7+0)*Ingresos!$D$9:$LI$9)</f>
        <v/>
      </c>
      <c r="AH15" s="20">
        <f>SUMPRODUCT((Ingresos!$D$8:$LI$8=AH7+0)*Ingresos!$D$9:$LI$9)</f>
        <v/>
      </c>
      <c r="AI15" s="20">
        <f>SUMPRODUCT((Ingresos!$D$8:$LI$8=AI7+0)*Ingresos!$D$9:$LI$9)</f>
        <v/>
      </c>
      <c r="AJ15" s="20">
        <f>SUMPRODUCT((Ingresos!$D$8:$LI$8=AJ7+0)*Ingresos!$D$9:$LI$9)</f>
        <v/>
      </c>
      <c r="AK15" s="20">
        <f>SUMPRODUCT((Ingresos!$D$8:$LI$8=AK7+0)*Ingresos!$D$9:$LI$9)</f>
        <v/>
      </c>
      <c r="AL15" s="20">
        <f>SUMPRODUCT((Ingresos!$D$8:$LI$8=AL7+0)*Ingresos!$D$9:$LI$9)</f>
        <v/>
      </c>
      <c r="AM15" s="20">
        <f>SUMPRODUCT((Ingresos!$D$8:$LI$8=AM7+0)*Ingresos!$D$9:$LI$9)</f>
        <v/>
      </c>
      <c r="AN15" s="20">
        <f>SUMPRODUCT((Ingresos!$D$8:$LI$8=AN7+0)*Ingresos!$D$9:$LI$9)</f>
        <v/>
      </c>
      <c r="AO15" s="20">
        <f>SUMPRODUCT((Ingresos!$D$8:$LI$8=AO7+0)*Ingresos!$D$9:$LI$9)</f>
        <v/>
      </c>
      <c r="AP15" s="20">
        <f>SUMPRODUCT((Ingresos!$D$8:$LI$8=AP7+0)*Ingresos!$D$9:$LI$9)</f>
        <v/>
      </c>
      <c r="AQ15" s="20">
        <f>SUMPRODUCT((Ingresos!$D$8:$LI$8=AQ7+0)*Ingresos!$D$9:$LI$9)</f>
        <v/>
      </c>
      <c r="AR15" s="20">
        <f>SUMPRODUCT((Ingresos!$D$8:$LI$8=AR7+0)*Ingresos!$D$9:$LI$9)</f>
        <v/>
      </c>
      <c r="AS15" s="20">
        <f>SUMPRODUCT((Ingresos!$D$8:$LI$8=AS7+0)*Ingresos!$D$9:$LI$9)</f>
        <v/>
      </c>
      <c r="AT15" s="20">
        <f>SUMPRODUCT((Ingresos!$D$8:$LI$8=AT7+0)*Ingresos!$D$9:$LI$9)</f>
        <v/>
      </c>
      <c r="AU15" s="20">
        <f>SUMPRODUCT((Ingresos!$D$8:$LI$8=AU7+0)*Ingresos!$D$9:$LI$9)</f>
        <v/>
      </c>
      <c r="AV15" s="20">
        <f>SUMPRODUCT((Ingresos!$D$8:$LI$8=AV7+0)*Ingresos!$D$9:$LI$9)</f>
        <v/>
      </c>
      <c r="AW15" s="20">
        <f>SUMPRODUCT((Ingresos!$D$8:$LI$8=AW7+0)*Ingresos!$D$9:$LI$9)</f>
        <v/>
      </c>
      <c r="AX15" s="20">
        <f>SUMPRODUCT((Ingresos!$D$8:$LI$8=AX7+0)*Ingresos!$D$9:$LI$9)</f>
        <v/>
      </c>
      <c r="AY15" s="20">
        <f>SUMPRODUCT((Ingresos!$D$8:$LI$8=AY7+0)*Ingresos!$D$9:$LI$9)</f>
        <v/>
      </c>
      <c r="AZ15" s="20">
        <f>SUMPRODUCT((Ingresos!$D$8:$LI$8=AZ7+0)*Ingresos!$D$9:$LI$9)</f>
        <v/>
      </c>
      <c r="BA15" s="20">
        <f>SUMPRODUCT((Ingresos!$D$8:$LI$8=BA7+0)*Ingresos!$D$9:$LI$9)</f>
        <v/>
      </c>
      <c r="BB15" s="20">
        <f>SUMPRODUCT((Ingresos!$D$8:$LI$8=BB7+0)*Ingresos!$D$9:$LI$9)</f>
        <v/>
      </c>
      <c r="BC15" s="20">
        <f>SUMPRODUCT((Ingresos!$D$8:$LI$8=BC7+0)*Ingresos!$D$9:$LI$9)</f>
        <v/>
      </c>
      <c r="BD15" s="20">
        <f>SUMPRODUCT((Ingresos!$D$8:$LI$8=BD7+0)*Ingresos!$D$9:$LI$9)</f>
        <v/>
      </c>
      <c r="BE15" s="20">
        <f>SUMPRODUCT((Ingresos!$D$8:$LI$8=BE7+0)*Ingresos!$D$9:$LI$9)</f>
        <v/>
      </c>
      <c r="BF15" s="20">
        <f>SUMPRODUCT((Ingresos!$D$8:$LI$8=BF7+0)*Ingresos!$D$9:$LI$9)</f>
        <v/>
      </c>
      <c r="BG15" s="20">
        <f>SUMPRODUCT((Ingresos!$D$8:$LI$8=BG7+0)*Ingresos!$D$9:$LI$9)</f>
        <v/>
      </c>
      <c r="BH15" s="20">
        <f>SUMPRODUCT((Ingresos!$D$8:$LI$8=BH7+0)*Ingresos!$D$9:$LI$9)</f>
        <v/>
      </c>
      <c r="BI15" s="20">
        <f>SUMPRODUCT((Ingresos!$D$8:$LI$8=BI7+0)*Ingresos!$D$9:$LI$9)</f>
        <v/>
      </c>
      <c r="BJ15" s="20">
        <f>SUMPRODUCT((Ingresos!$D$8:$LI$8=BJ7+0)*Ingresos!$D$9:$LI$9)</f>
        <v/>
      </c>
      <c r="BK15" s="20">
        <f>SUMPRODUCT((Ingresos!$D$8:$LI$8=BK7+0)*Ingresos!$D$9:$LI$9)</f>
        <v/>
      </c>
      <c r="BL15" s="20">
        <f>SUMPRODUCT((Ingresos!$D$8:$LI$8=BL7+0)*Ingresos!$D$9:$LI$9)</f>
        <v/>
      </c>
      <c r="BM15" s="20">
        <f>SUMPRODUCT((Ingresos!$D$8:$LI$8=BM7+0)*Ingresos!$D$9:$LI$9)</f>
        <v/>
      </c>
      <c r="BN15" s="20">
        <f>SUMPRODUCT((Ingresos!$D$8:$LI$8=BN7+0)*Ingresos!$D$9:$LI$9)</f>
        <v/>
      </c>
      <c r="BO15" s="20">
        <f>SUMPRODUCT((Ingresos!$D$8:$LI$8=BO7+0)*Ingresos!$D$9:$LI$9)</f>
        <v/>
      </c>
      <c r="BP15" s="20">
        <f>SUMPRODUCT((Ingresos!$D$8:$LI$8=BP7+0)*Ingresos!$D$9:$LI$9)</f>
        <v/>
      </c>
      <c r="BQ15" s="20">
        <f>SUMPRODUCT((Ingresos!$D$8:$LI$8=BQ7+0)*Ingresos!$D$9:$LI$9)</f>
        <v/>
      </c>
      <c r="BR15" s="20">
        <f>SUMPRODUCT((Ingresos!$D$8:$LI$8=BR7+0)*Ingresos!$D$9:$LI$9)</f>
        <v/>
      </c>
      <c r="BS15" s="20">
        <f>SUMPRODUCT((Ingresos!$D$8:$LI$8=BS7+0)*Ingresos!$D$9:$LI$9)</f>
        <v/>
      </c>
      <c r="BT15" s="20">
        <f>SUMPRODUCT((Ingresos!$D$8:$LI$8=BT7+0)*Ingresos!$D$9:$LI$9)</f>
        <v/>
      </c>
      <c r="BU15" s="20">
        <f>SUMPRODUCT((Ingresos!$D$8:$LI$8=BU7+0)*Ingresos!$D$9:$LI$9)</f>
        <v/>
      </c>
      <c r="BV15" s="20">
        <f>SUMPRODUCT((Ingresos!$D$8:$LI$8=BV7+0)*Ingresos!$D$9:$LI$9)</f>
        <v/>
      </c>
      <c r="BW15" s="20">
        <f>SUMPRODUCT((Ingresos!$D$8:$LI$8=BW7+0)*Ingresos!$D$9:$LI$9)</f>
        <v/>
      </c>
      <c r="BX15" s="20">
        <f>SUMPRODUCT((Ingresos!$D$8:$LI$8=BX7+0)*Ingresos!$D$9:$LI$9)</f>
        <v/>
      </c>
      <c r="BY15" s="20">
        <f>SUMPRODUCT((Ingresos!$D$8:$LI$8=BY7+0)*Ingresos!$D$9:$LI$9)</f>
        <v/>
      </c>
      <c r="BZ15" s="20">
        <f>SUMPRODUCT((Ingresos!$D$8:$LI$8=BZ7+0)*Ingresos!$D$9:$LI$9)</f>
        <v/>
      </c>
      <c r="CA15" s="20">
        <f>SUMPRODUCT((Ingresos!$D$8:$LI$8=CA7+0)*Ingresos!$D$9:$LI$9)</f>
        <v/>
      </c>
      <c r="CB15" s="20">
        <f>SUMPRODUCT((Ingresos!$D$8:$LI$8=CB7+0)*Ingresos!$D$9:$LI$9)</f>
        <v/>
      </c>
      <c r="CC15" s="20">
        <f>SUMPRODUCT((Ingresos!$D$8:$LI$8=CC7+0)*Ingresos!$D$9:$LI$9)</f>
        <v/>
      </c>
      <c r="CD15" s="20">
        <f>SUMPRODUCT((Ingresos!$D$8:$LI$8=CD7+0)*Ingresos!$D$9:$LI$9)</f>
        <v/>
      </c>
      <c r="CE15" s="20">
        <f>SUMPRODUCT((Ingresos!$D$8:$LI$8=CE7+0)*Ingresos!$D$9:$LI$9)</f>
        <v/>
      </c>
      <c r="CF15" s="20">
        <f>SUMPRODUCT((Ingresos!$D$8:$LI$8=CF7+0)*Ingresos!$D$9:$LI$9)</f>
        <v/>
      </c>
      <c r="CG15" s="20">
        <f>SUMPRODUCT((Ingresos!$D$8:$LI$8=CG7+0)*Ingresos!$D$9:$LI$9)</f>
        <v/>
      </c>
      <c r="CH15" s="20">
        <f>SUMPRODUCT((Ingresos!$D$8:$LI$8=CH7+0)*Ingresos!$D$9:$LI$9)</f>
        <v/>
      </c>
      <c r="CI15" s="20">
        <f>SUMPRODUCT((Ingresos!$D$8:$LI$8=CI7+0)*Ingresos!$D$9:$LI$9)</f>
        <v/>
      </c>
      <c r="CJ15" s="20">
        <f>SUMPRODUCT((Ingresos!$D$8:$LI$8=CJ7+0)*Ingresos!$D$9:$LI$9)</f>
        <v/>
      </c>
      <c r="CK15" s="20">
        <f>SUMPRODUCT((Ingresos!$D$8:$LI$8=CK7+0)*Ingresos!$D$9:$LI$9)</f>
        <v/>
      </c>
      <c r="CL15" s="20">
        <f>SUMPRODUCT((Ingresos!$D$8:$LI$8=CL7+0)*Ingresos!$D$9:$LI$9)</f>
        <v/>
      </c>
      <c r="CM15" s="20">
        <f>SUMPRODUCT((Ingresos!$D$8:$LI$8=CM7+0)*Ingresos!$D$9:$LI$9)</f>
        <v/>
      </c>
      <c r="CN15" s="20">
        <f>SUMPRODUCT((Ingresos!$D$8:$LI$8=CN7+0)*Ingresos!$D$9:$LI$9)</f>
        <v/>
      </c>
      <c r="CO15" s="20">
        <f>SUMPRODUCT((Ingresos!$D$8:$LI$8=CO7+0)*Ingresos!$D$9:$LI$9)</f>
        <v/>
      </c>
      <c r="CP15" s="20">
        <f>SUMPRODUCT((Ingresos!$D$8:$LI$8=CP7+0)*Ingresos!$D$9:$LI$9)</f>
        <v/>
      </c>
      <c r="CQ15" s="20">
        <f>SUMPRODUCT((Ingresos!$D$8:$LI$8=CQ7+0)*Ingresos!$D$9:$LI$9)</f>
        <v/>
      </c>
      <c r="CR15" s="20">
        <f>SUMPRODUCT((Ingresos!$D$8:$LI$8=CR7+0)*Ingresos!$D$9:$LI$9)</f>
        <v/>
      </c>
      <c r="CS15" s="20">
        <f>SUMPRODUCT((Ingresos!$D$8:$LI$8=CS7+0)*Ingresos!$D$9:$LI$9)</f>
        <v/>
      </c>
      <c r="CT15" s="20">
        <f>SUMPRODUCT((Ingresos!$D$8:$LI$8=CT7+0)*Ingresos!$D$9:$LI$9)</f>
        <v/>
      </c>
      <c r="CU15" s="20">
        <f>SUMPRODUCT((Ingresos!$D$8:$LI$8=CU7+0)*Ingresos!$D$9:$LI$9)</f>
        <v/>
      </c>
      <c r="CV15" s="20">
        <f>SUMPRODUCT((Ingresos!$D$8:$LI$8=CV7+0)*Ingresos!$D$9:$LI$9)</f>
        <v/>
      </c>
      <c r="CW15" s="20">
        <f>SUMPRODUCT((Ingresos!$D$8:$LI$8=CW7+0)*Ingresos!$D$9:$LI$9)</f>
        <v/>
      </c>
      <c r="CX15" s="20">
        <f>SUMPRODUCT((Ingresos!$D$8:$LI$8=CX7+0)*Ingresos!$D$9:$LI$9)</f>
        <v/>
      </c>
      <c r="CY15" s="20">
        <f>SUMPRODUCT((Ingresos!$D$8:$LI$8=CY7+0)*Ingresos!$D$9:$LI$9)</f>
        <v/>
      </c>
      <c r="CZ15" s="20">
        <f>SUMPRODUCT((Ingresos!$D$8:$LI$8=CZ7+0)*Ingresos!$D$9:$LI$9)</f>
        <v/>
      </c>
      <c r="DA15" s="20">
        <f>SUMPRODUCT((Ingresos!$D$8:$LI$8=DA7+0)*Ingresos!$D$9:$LI$9)</f>
        <v/>
      </c>
      <c r="DB15" s="20">
        <f>SUMPRODUCT((Ingresos!$D$8:$LI$8=DB7+0)*Ingresos!$D$9:$LI$9)</f>
        <v/>
      </c>
      <c r="DC15" s="20">
        <f>SUMPRODUCT((Ingresos!$D$8:$LI$8=DC7+0)*Ingresos!$D$9:$LI$9)</f>
        <v/>
      </c>
      <c r="DD15" s="20">
        <f>SUMPRODUCT((Ingresos!$D$8:$LI$8=DD7+0)*Ingresos!$D$9:$LI$9)</f>
        <v/>
      </c>
      <c r="DE15" s="20">
        <f>SUMPRODUCT((Ingresos!$D$8:$LI$8=DE7+0)*Ingresos!$D$9:$LI$9)</f>
        <v/>
      </c>
    </row>
    <row r="16">
      <c r="B16" s="18" t="inlineStr">
        <is>
          <t>Tarifa unitaria del trimestre</t>
        </is>
      </c>
      <c r="D16" s="31">
        <f>IF(D15=0,0,D9/D15*1000)</f>
        <v/>
      </c>
      <c r="E16" s="31">
        <f>IF(E15=0,0,E9/E15*1000)</f>
        <v/>
      </c>
      <c r="F16" s="31">
        <f>IF(F15=0,0,F9/F15*1000)</f>
        <v/>
      </c>
      <c r="G16" s="31">
        <f>IF(G15=0,0,G9/G15*1000)</f>
        <v/>
      </c>
      <c r="H16" s="31">
        <f>IF(H15=0,0,H9/H15*1000)</f>
        <v/>
      </c>
      <c r="I16" s="31">
        <f>IF(I15=0,0,I9/I15*1000)</f>
        <v/>
      </c>
      <c r="J16" s="31">
        <f>IF(J15=0,0,J9/J15*1000)</f>
        <v/>
      </c>
      <c r="K16" s="31">
        <f>IF(K15=0,0,K9/K15*1000)</f>
        <v/>
      </c>
      <c r="L16" s="31">
        <f>IF(L15=0,0,L9/L15*1000)</f>
        <v/>
      </c>
      <c r="M16" s="31">
        <f>IF(M15=0,0,M9/M15*1000)</f>
        <v/>
      </c>
      <c r="N16" s="31">
        <f>IF(N15=0,0,N9/N15*1000)</f>
        <v/>
      </c>
      <c r="O16" s="31">
        <f>IF(O15=0,0,O9/O15*1000)</f>
        <v/>
      </c>
      <c r="P16" s="31">
        <f>IF(P15=0,0,P9/P15*1000)</f>
        <v/>
      </c>
      <c r="Q16" s="31">
        <f>IF(Q15=0,0,Q9/Q15*1000)</f>
        <v/>
      </c>
      <c r="R16" s="31">
        <f>IF(R15=0,0,R9/R15*1000)</f>
        <v/>
      </c>
      <c r="S16" s="31">
        <f>IF(S15=0,0,S9/S15*1000)</f>
        <v/>
      </c>
      <c r="T16" s="31">
        <f>IF(T15=0,0,T9/T15*1000)</f>
        <v/>
      </c>
      <c r="U16" s="31">
        <f>IF(U15=0,0,U9/U15*1000)</f>
        <v/>
      </c>
      <c r="V16" s="31">
        <f>IF(V15=0,0,V9/V15*1000)</f>
        <v/>
      </c>
      <c r="W16" s="31">
        <f>IF(W15=0,0,W9/W15*1000)</f>
        <v/>
      </c>
      <c r="X16" s="31">
        <f>IF(X15=0,0,X9/X15*1000)</f>
        <v/>
      </c>
      <c r="Y16" s="31">
        <f>IF(Y15=0,0,Y9/Y15*1000)</f>
        <v/>
      </c>
      <c r="Z16" s="31">
        <f>IF(Z15=0,0,Z9/Z15*1000)</f>
        <v/>
      </c>
      <c r="AA16" s="31">
        <f>IF(AA15=0,0,AA9/AA15*1000)</f>
        <v/>
      </c>
      <c r="AB16" s="31">
        <f>IF(AB15=0,0,AB9/AB15*1000)</f>
        <v/>
      </c>
      <c r="AC16" s="31">
        <f>IF(AC15=0,0,AC9/AC15*1000)</f>
        <v/>
      </c>
      <c r="AD16" s="31">
        <f>IF(AD15=0,0,AD9/AD15*1000)</f>
        <v/>
      </c>
      <c r="AE16" s="31">
        <f>IF(AE15=0,0,AE9/AE15*1000)</f>
        <v/>
      </c>
      <c r="AF16" s="31">
        <f>IF(AF15=0,0,AF9/AF15*1000)</f>
        <v/>
      </c>
      <c r="AG16" s="31">
        <f>IF(AG15=0,0,AG9/AG15*1000)</f>
        <v/>
      </c>
      <c r="AH16" s="31">
        <f>IF(AH15=0,0,AH9/AH15*1000)</f>
        <v/>
      </c>
      <c r="AI16" s="31">
        <f>IF(AI15=0,0,AI9/AI15*1000)</f>
        <v/>
      </c>
      <c r="AJ16" s="31">
        <f>IF(AJ15=0,0,AJ9/AJ15*1000)</f>
        <v/>
      </c>
      <c r="AK16" s="31">
        <f>IF(AK15=0,0,AK9/AK15*1000)</f>
        <v/>
      </c>
      <c r="AL16" s="31">
        <f>IF(AL15=0,0,AL9/AL15*1000)</f>
        <v/>
      </c>
      <c r="AM16" s="31">
        <f>IF(AM15=0,0,AM9/AM15*1000)</f>
        <v/>
      </c>
      <c r="AN16" s="31">
        <f>IF(AN15=0,0,AN9/AN15*1000)</f>
        <v/>
      </c>
      <c r="AO16" s="31">
        <f>IF(AO15=0,0,AO9/AO15*1000)</f>
        <v/>
      </c>
      <c r="AP16" s="31">
        <f>IF(AP15=0,0,AP9/AP15*1000)</f>
        <v/>
      </c>
      <c r="AQ16" s="31">
        <f>IF(AQ15=0,0,AQ9/AQ15*1000)</f>
        <v/>
      </c>
      <c r="AR16" s="31">
        <f>IF(AR15=0,0,AR9/AR15*1000)</f>
        <v/>
      </c>
      <c r="AS16" s="31">
        <f>IF(AS15=0,0,AS9/AS15*1000)</f>
        <v/>
      </c>
      <c r="AT16" s="31">
        <f>IF(AT15=0,0,AT9/AT15*1000)</f>
        <v/>
      </c>
      <c r="AU16" s="31">
        <f>IF(AU15=0,0,AU9/AU15*1000)</f>
        <v/>
      </c>
      <c r="AV16" s="31">
        <f>IF(AV15=0,0,AV9/AV15*1000)</f>
        <v/>
      </c>
      <c r="AW16" s="31">
        <f>IF(AW15=0,0,AW9/AW15*1000)</f>
        <v/>
      </c>
      <c r="AX16" s="31">
        <f>IF(AX15=0,0,AX9/AX15*1000)</f>
        <v/>
      </c>
      <c r="AY16" s="31">
        <f>IF(AY15=0,0,AY9/AY15*1000)</f>
        <v/>
      </c>
      <c r="AZ16" s="31">
        <f>IF(AZ15=0,0,AZ9/AZ15*1000)</f>
        <v/>
      </c>
      <c r="BA16" s="31">
        <f>IF(BA15=0,0,BA9/BA15*1000)</f>
        <v/>
      </c>
      <c r="BB16" s="31">
        <f>IF(BB15=0,0,BB9/BB15*1000)</f>
        <v/>
      </c>
      <c r="BC16" s="31">
        <f>IF(BC15=0,0,BC9/BC15*1000)</f>
        <v/>
      </c>
      <c r="BD16" s="31">
        <f>IF(BD15=0,0,BD9/BD15*1000)</f>
        <v/>
      </c>
      <c r="BE16" s="31">
        <f>IF(BE15=0,0,BE9/BE15*1000)</f>
        <v/>
      </c>
      <c r="BF16" s="31">
        <f>IF(BF15=0,0,BF9/BF15*1000)</f>
        <v/>
      </c>
      <c r="BG16" s="31">
        <f>IF(BG15=0,0,BG9/BG15*1000)</f>
        <v/>
      </c>
      <c r="BH16" s="31">
        <f>IF(BH15=0,0,BH9/BH15*1000)</f>
        <v/>
      </c>
      <c r="BI16" s="31">
        <f>IF(BI15=0,0,BI9/BI15*1000)</f>
        <v/>
      </c>
      <c r="BJ16" s="31">
        <f>IF(BJ15=0,0,BJ9/BJ15*1000)</f>
        <v/>
      </c>
      <c r="BK16" s="31">
        <f>IF(BK15=0,0,BK9/BK15*1000)</f>
        <v/>
      </c>
      <c r="BL16" s="31">
        <f>IF(BL15=0,0,BL9/BL15*1000)</f>
        <v/>
      </c>
      <c r="BM16" s="31">
        <f>IF(BM15=0,0,BM9/BM15*1000)</f>
        <v/>
      </c>
      <c r="BN16" s="31">
        <f>IF(BN15=0,0,BN9/BN15*1000)</f>
        <v/>
      </c>
      <c r="BO16" s="31">
        <f>IF(BO15=0,0,BO9/BO15*1000)</f>
        <v/>
      </c>
      <c r="BP16" s="31">
        <f>IF(BP15=0,0,BP9/BP15*1000)</f>
        <v/>
      </c>
      <c r="BQ16" s="31">
        <f>IF(BQ15=0,0,BQ9/BQ15*1000)</f>
        <v/>
      </c>
      <c r="BR16" s="31">
        <f>IF(BR15=0,0,BR9/BR15*1000)</f>
        <v/>
      </c>
      <c r="BS16" s="31">
        <f>IF(BS15=0,0,BS9/BS15*1000)</f>
        <v/>
      </c>
      <c r="BT16" s="31">
        <f>IF(BT15=0,0,BT9/BT15*1000)</f>
        <v/>
      </c>
      <c r="BU16" s="31">
        <f>IF(BU15=0,0,BU9/BU15*1000)</f>
        <v/>
      </c>
      <c r="BV16" s="31">
        <f>IF(BV15=0,0,BV9/BV15*1000)</f>
        <v/>
      </c>
      <c r="BW16" s="31">
        <f>IF(BW15=0,0,BW9/BW15*1000)</f>
        <v/>
      </c>
      <c r="BX16" s="31">
        <f>IF(BX15=0,0,BX9/BX15*1000)</f>
        <v/>
      </c>
      <c r="BY16" s="31">
        <f>IF(BY15=0,0,BY9/BY15*1000)</f>
        <v/>
      </c>
      <c r="BZ16" s="31">
        <f>IF(BZ15=0,0,BZ9/BZ15*1000)</f>
        <v/>
      </c>
      <c r="CA16" s="31">
        <f>IF(CA15=0,0,CA9/CA15*1000)</f>
        <v/>
      </c>
      <c r="CB16" s="31">
        <f>IF(CB15=0,0,CB9/CB15*1000)</f>
        <v/>
      </c>
      <c r="CC16" s="31">
        <f>IF(CC15=0,0,CC9/CC15*1000)</f>
        <v/>
      </c>
      <c r="CD16" s="31">
        <f>IF(CD15=0,0,CD9/CD15*1000)</f>
        <v/>
      </c>
      <c r="CE16" s="31">
        <f>IF(CE15=0,0,CE9/CE15*1000)</f>
        <v/>
      </c>
      <c r="CF16" s="31">
        <f>IF(CF15=0,0,CF9/CF15*1000)</f>
        <v/>
      </c>
      <c r="CG16" s="31">
        <f>IF(CG15=0,0,CG9/CG15*1000)</f>
        <v/>
      </c>
      <c r="CH16" s="31">
        <f>IF(CH15=0,0,CH9/CH15*1000)</f>
        <v/>
      </c>
      <c r="CI16" s="31">
        <f>IF(CI15=0,0,CI9/CI15*1000)</f>
        <v/>
      </c>
      <c r="CJ16" s="31">
        <f>IF(CJ15=0,0,CJ9/CJ15*1000)</f>
        <v/>
      </c>
      <c r="CK16" s="31">
        <f>IF(CK15=0,0,CK9/CK15*1000)</f>
        <v/>
      </c>
      <c r="CL16" s="31">
        <f>IF(CL15=0,0,CL9/CL15*1000)</f>
        <v/>
      </c>
      <c r="CM16" s="31">
        <f>IF(CM15=0,0,CM9/CM15*1000)</f>
        <v/>
      </c>
      <c r="CN16" s="31">
        <f>IF(CN15=0,0,CN9/CN15*1000)</f>
        <v/>
      </c>
      <c r="CO16" s="31">
        <f>IF(CO15=0,0,CO9/CO15*1000)</f>
        <v/>
      </c>
      <c r="CP16" s="31">
        <f>IF(CP15=0,0,CP9/CP15*1000)</f>
        <v/>
      </c>
      <c r="CQ16" s="31">
        <f>IF(CQ15=0,0,CQ9/CQ15*1000)</f>
        <v/>
      </c>
      <c r="CR16" s="31">
        <f>IF(CR15=0,0,CR9/CR15*1000)</f>
        <v/>
      </c>
      <c r="CS16" s="31">
        <f>IF(CS15=0,0,CS9/CS15*1000)</f>
        <v/>
      </c>
      <c r="CT16" s="31">
        <f>IF(CT15=0,0,CT9/CT15*1000)</f>
        <v/>
      </c>
      <c r="CU16" s="31">
        <f>IF(CU15=0,0,CU9/CU15*1000)</f>
        <v/>
      </c>
      <c r="CV16" s="31">
        <f>IF(CV15=0,0,CV9/CV15*1000)</f>
        <v/>
      </c>
      <c r="CW16" s="31">
        <f>IF(CW15=0,0,CW9/CW15*1000)</f>
        <v/>
      </c>
      <c r="CX16" s="31">
        <f>IF(CX15=0,0,CX9/CX15*1000)</f>
        <v/>
      </c>
      <c r="CY16" s="31">
        <f>IF(CY15=0,0,CY9/CY15*1000)</f>
        <v/>
      </c>
      <c r="CZ16" s="31">
        <f>IF(CZ15=0,0,CZ9/CZ15*1000)</f>
        <v/>
      </c>
      <c r="DA16" s="31">
        <f>IF(DA15=0,0,DA9/DA15*1000)</f>
        <v/>
      </c>
      <c r="DB16" s="31">
        <f>IF(DB15=0,0,DB9/DB15*1000)</f>
        <v/>
      </c>
      <c r="DC16" s="31">
        <f>IF(DC15=0,0,DC9/DC15*1000)</f>
        <v/>
      </c>
      <c r="DD16" s="31">
        <f>IF(DD15=0,0,DD9/DD15*1000)</f>
        <v/>
      </c>
      <c r="DE16" s="31">
        <f>IF(DE15=0,0,DE9/DE15*1000)</f>
        <v/>
      </c>
    </row>
    <row r="17">
      <c r="B17" s="18" t="inlineStr">
        <is>
          <t xml:space="preserve">  de la operacion, con margen</t>
        </is>
      </c>
      <c r="D17" s="31">
        <f>IF(D15=0,0,D12/D15*1000)</f>
        <v/>
      </c>
      <c r="E17" s="31">
        <f>IF(E15=0,0,E12/E15*1000)</f>
        <v/>
      </c>
      <c r="F17" s="31">
        <f>IF(F15=0,0,F12/F15*1000)</f>
        <v/>
      </c>
      <c r="G17" s="31">
        <f>IF(G15=0,0,G12/G15*1000)</f>
        <v/>
      </c>
      <c r="H17" s="31">
        <f>IF(H15=0,0,H12/H15*1000)</f>
        <v/>
      </c>
      <c r="I17" s="31">
        <f>IF(I15=0,0,I12/I15*1000)</f>
        <v/>
      </c>
      <c r="J17" s="31">
        <f>IF(J15=0,0,J12/J15*1000)</f>
        <v/>
      </c>
      <c r="K17" s="31">
        <f>IF(K15=0,0,K12/K15*1000)</f>
        <v/>
      </c>
      <c r="L17" s="31">
        <f>IF(L15=0,0,L12/L15*1000)</f>
        <v/>
      </c>
      <c r="M17" s="31">
        <f>IF(M15=0,0,M12/M15*1000)</f>
        <v/>
      </c>
      <c r="N17" s="31">
        <f>IF(N15=0,0,N12/N15*1000)</f>
        <v/>
      </c>
      <c r="O17" s="31">
        <f>IF(O15=0,0,O12/O15*1000)</f>
        <v/>
      </c>
      <c r="P17" s="31">
        <f>IF(P15=0,0,P12/P15*1000)</f>
        <v/>
      </c>
      <c r="Q17" s="31">
        <f>IF(Q15=0,0,Q12/Q15*1000)</f>
        <v/>
      </c>
      <c r="R17" s="31">
        <f>IF(R15=0,0,R12/R15*1000)</f>
        <v/>
      </c>
      <c r="S17" s="31">
        <f>IF(S15=0,0,S12/S15*1000)</f>
        <v/>
      </c>
      <c r="T17" s="31">
        <f>IF(T15=0,0,T12/T15*1000)</f>
        <v/>
      </c>
      <c r="U17" s="31">
        <f>IF(U15=0,0,U12/U15*1000)</f>
        <v/>
      </c>
      <c r="V17" s="31">
        <f>IF(V15=0,0,V12/V15*1000)</f>
        <v/>
      </c>
      <c r="W17" s="31">
        <f>IF(W15=0,0,W12/W15*1000)</f>
        <v/>
      </c>
      <c r="X17" s="31">
        <f>IF(X15=0,0,X12/X15*1000)</f>
        <v/>
      </c>
      <c r="Y17" s="31">
        <f>IF(Y15=0,0,Y12/Y15*1000)</f>
        <v/>
      </c>
      <c r="Z17" s="31">
        <f>IF(Z15=0,0,Z12/Z15*1000)</f>
        <v/>
      </c>
      <c r="AA17" s="31">
        <f>IF(AA15=0,0,AA12/AA15*1000)</f>
        <v/>
      </c>
      <c r="AB17" s="31">
        <f>IF(AB15=0,0,AB12/AB15*1000)</f>
        <v/>
      </c>
      <c r="AC17" s="31">
        <f>IF(AC15=0,0,AC12/AC15*1000)</f>
        <v/>
      </c>
      <c r="AD17" s="31">
        <f>IF(AD15=0,0,AD12/AD15*1000)</f>
        <v/>
      </c>
      <c r="AE17" s="31">
        <f>IF(AE15=0,0,AE12/AE15*1000)</f>
        <v/>
      </c>
      <c r="AF17" s="31">
        <f>IF(AF15=0,0,AF12/AF15*1000)</f>
        <v/>
      </c>
      <c r="AG17" s="31">
        <f>IF(AG15=0,0,AG12/AG15*1000)</f>
        <v/>
      </c>
      <c r="AH17" s="31">
        <f>IF(AH15=0,0,AH12/AH15*1000)</f>
        <v/>
      </c>
      <c r="AI17" s="31">
        <f>IF(AI15=0,0,AI12/AI15*1000)</f>
        <v/>
      </c>
      <c r="AJ17" s="31">
        <f>IF(AJ15=0,0,AJ12/AJ15*1000)</f>
        <v/>
      </c>
      <c r="AK17" s="31">
        <f>IF(AK15=0,0,AK12/AK15*1000)</f>
        <v/>
      </c>
      <c r="AL17" s="31">
        <f>IF(AL15=0,0,AL12/AL15*1000)</f>
        <v/>
      </c>
      <c r="AM17" s="31">
        <f>IF(AM15=0,0,AM12/AM15*1000)</f>
        <v/>
      </c>
      <c r="AN17" s="31">
        <f>IF(AN15=0,0,AN12/AN15*1000)</f>
        <v/>
      </c>
      <c r="AO17" s="31">
        <f>IF(AO15=0,0,AO12/AO15*1000)</f>
        <v/>
      </c>
      <c r="AP17" s="31">
        <f>IF(AP15=0,0,AP12/AP15*1000)</f>
        <v/>
      </c>
      <c r="AQ17" s="31">
        <f>IF(AQ15=0,0,AQ12/AQ15*1000)</f>
        <v/>
      </c>
      <c r="AR17" s="31">
        <f>IF(AR15=0,0,AR12/AR15*1000)</f>
        <v/>
      </c>
      <c r="AS17" s="31">
        <f>IF(AS15=0,0,AS12/AS15*1000)</f>
        <v/>
      </c>
      <c r="AT17" s="31">
        <f>IF(AT15=0,0,AT12/AT15*1000)</f>
        <v/>
      </c>
      <c r="AU17" s="31">
        <f>IF(AU15=0,0,AU12/AU15*1000)</f>
        <v/>
      </c>
      <c r="AV17" s="31">
        <f>IF(AV15=0,0,AV12/AV15*1000)</f>
        <v/>
      </c>
      <c r="AW17" s="31">
        <f>IF(AW15=0,0,AW12/AW15*1000)</f>
        <v/>
      </c>
      <c r="AX17" s="31">
        <f>IF(AX15=0,0,AX12/AX15*1000)</f>
        <v/>
      </c>
      <c r="AY17" s="31">
        <f>IF(AY15=0,0,AY12/AY15*1000)</f>
        <v/>
      </c>
      <c r="AZ17" s="31">
        <f>IF(AZ15=0,0,AZ12/AZ15*1000)</f>
        <v/>
      </c>
      <c r="BA17" s="31">
        <f>IF(BA15=0,0,BA12/BA15*1000)</f>
        <v/>
      </c>
      <c r="BB17" s="31">
        <f>IF(BB15=0,0,BB12/BB15*1000)</f>
        <v/>
      </c>
      <c r="BC17" s="31">
        <f>IF(BC15=0,0,BC12/BC15*1000)</f>
        <v/>
      </c>
      <c r="BD17" s="31">
        <f>IF(BD15=0,0,BD12/BD15*1000)</f>
        <v/>
      </c>
      <c r="BE17" s="31">
        <f>IF(BE15=0,0,BE12/BE15*1000)</f>
        <v/>
      </c>
      <c r="BF17" s="31">
        <f>IF(BF15=0,0,BF12/BF15*1000)</f>
        <v/>
      </c>
      <c r="BG17" s="31">
        <f>IF(BG15=0,0,BG12/BG15*1000)</f>
        <v/>
      </c>
      <c r="BH17" s="31">
        <f>IF(BH15=0,0,BH12/BH15*1000)</f>
        <v/>
      </c>
      <c r="BI17" s="31">
        <f>IF(BI15=0,0,BI12/BI15*1000)</f>
        <v/>
      </c>
      <c r="BJ17" s="31">
        <f>IF(BJ15=0,0,BJ12/BJ15*1000)</f>
        <v/>
      </c>
      <c r="BK17" s="31">
        <f>IF(BK15=0,0,BK12/BK15*1000)</f>
        <v/>
      </c>
      <c r="BL17" s="31">
        <f>IF(BL15=0,0,BL12/BL15*1000)</f>
        <v/>
      </c>
      <c r="BM17" s="31">
        <f>IF(BM15=0,0,BM12/BM15*1000)</f>
        <v/>
      </c>
      <c r="BN17" s="31">
        <f>IF(BN15=0,0,BN12/BN15*1000)</f>
        <v/>
      </c>
      <c r="BO17" s="31">
        <f>IF(BO15=0,0,BO12/BO15*1000)</f>
        <v/>
      </c>
      <c r="BP17" s="31">
        <f>IF(BP15=0,0,BP12/BP15*1000)</f>
        <v/>
      </c>
      <c r="BQ17" s="31">
        <f>IF(BQ15=0,0,BQ12/BQ15*1000)</f>
        <v/>
      </c>
      <c r="BR17" s="31">
        <f>IF(BR15=0,0,BR12/BR15*1000)</f>
        <v/>
      </c>
      <c r="BS17" s="31">
        <f>IF(BS15=0,0,BS12/BS15*1000)</f>
        <v/>
      </c>
      <c r="BT17" s="31">
        <f>IF(BT15=0,0,BT12/BT15*1000)</f>
        <v/>
      </c>
      <c r="BU17" s="31">
        <f>IF(BU15=0,0,BU12/BU15*1000)</f>
        <v/>
      </c>
      <c r="BV17" s="31">
        <f>IF(BV15=0,0,BV12/BV15*1000)</f>
        <v/>
      </c>
      <c r="BW17" s="31">
        <f>IF(BW15=0,0,BW12/BW15*1000)</f>
        <v/>
      </c>
      <c r="BX17" s="31">
        <f>IF(BX15=0,0,BX12/BX15*1000)</f>
        <v/>
      </c>
      <c r="BY17" s="31">
        <f>IF(BY15=0,0,BY12/BY15*1000)</f>
        <v/>
      </c>
      <c r="BZ17" s="31">
        <f>IF(BZ15=0,0,BZ12/BZ15*1000)</f>
        <v/>
      </c>
      <c r="CA17" s="31">
        <f>IF(CA15=0,0,CA12/CA15*1000)</f>
        <v/>
      </c>
      <c r="CB17" s="31">
        <f>IF(CB15=0,0,CB12/CB15*1000)</f>
        <v/>
      </c>
      <c r="CC17" s="31">
        <f>IF(CC15=0,0,CC12/CC15*1000)</f>
        <v/>
      </c>
      <c r="CD17" s="31">
        <f>IF(CD15=0,0,CD12/CD15*1000)</f>
        <v/>
      </c>
      <c r="CE17" s="31">
        <f>IF(CE15=0,0,CE12/CE15*1000)</f>
        <v/>
      </c>
      <c r="CF17" s="31">
        <f>IF(CF15=0,0,CF12/CF15*1000)</f>
        <v/>
      </c>
      <c r="CG17" s="31">
        <f>IF(CG15=0,0,CG12/CG15*1000)</f>
        <v/>
      </c>
      <c r="CH17" s="31">
        <f>IF(CH15=0,0,CH12/CH15*1000)</f>
        <v/>
      </c>
      <c r="CI17" s="31">
        <f>IF(CI15=0,0,CI12/CI15*1000)</f>
        <v/>
      </c>
      <c r="CJ17" s="31">
        <f>IF(CJ15=0,0,CJ12/CJ15*1000)</f>
        <v/>
      </c>
      <c r="CK17" s="31">
        <f>IF(CK15=0,0,CK12/CK15*1000)</f>
        <v/>
      </c>
      <c r="CL17" s="31">
        <f>IF(CL15=0,0,CL12/CL15*1000)</f>
        <v/>
      </c>
      <c r="CM17" s="31">
        <f>IF(CM15=0,0,CM12/CM15*1000)</f>
        <v/>
      </c>
      <c r="CN17" s="31">
        <f>IF(CN15=0,0,CN12/CN15*1000)</f>
        <v/>
      </c>
      <c r="CO17" s="31">
        <f>IF(CO15=0,0,CO12/CO15*1000)</f>
        <v/>
      </c>
      <c r="CP17" s="31">
        <f>IF(CP15=0,0,CP12/CP15*1000)</f>
        <v/>
      </c>
      <c r="CQ17" s="31">
        <f>IF(CQ15=0,0,CQ12/CQ15*1000)</f>
        <v/>
      </c>
      <c r="CR17" s="31">
        <f>IF(CR15=0,0,CR12/CR15*1000)</f>
        <v/>
      </c>
      <c r="CS17" s="31">
        <f>IF(CS15=0,0,CS12/CS15*1000)</f>
        <v/>
      </c>
      <c r="CT17" s="31">
        <f>IF(CT15=0,0,CT12/CT15*1000)</f>
        <v/>
      </c>
      <c r="CU17" s="31">
        <f>IF(CU15=0,0,CU12/CU15*1000)</f>
        <v/>
      </c>
      <c r="CV17" s="31">
        <f>IF(CV15=0,0,CV12/CV15*1000)</f>
        <v/>
      </c>
      <c r="CW17" s="31">
        <f>IF(CW15=0,0,CW12/CW15*1000)</f>
        <v/>
      </c>
      <c r="CX17" s="31">
        <f>IF(CX15=0,0,CX12/CX15*1000)</f>
        <v/>
      </c>
      <c r="CY17" s="31">
        <f>IF(CY15=0,0,CY12/CY15*1000)</f>
        <v/>
      </c>
      <c r="CZ17" s="31">
        <f>IF(CZ15=0,0,CZ12/CZ15*1000)</f>
        <v/>
      </c>
      <c r="DA17" s="31">
        <f>IF(DA15=0,0,DA12/DA15*1000)</f>
        <v/>
      </c>
      <c r="DB17" s="31">
        <f>IF(DB15=0,0,DB12/DB15*1000)</f>
        <v/>
      </c>
      <c r="DC17" s="31">
        <f>IF(DC15=0,0,DC12/DC15*1000)</f>
        <v/>
      </c>
      <c r="DD17" s="31">
        <f>IF(DD15=0,0,DD12/DD15*1000)</f>
        <v/>
      </c>
      <c r="DE17" s="31">
        <f>IF(DE15=0,0,DE12/DE15*1000)</f>
        <v/>
      </c>
    </row>
    <row r="18">
      <c r="B18" s="18" t="inlineStr">
        <is>
          <t xml:space="preserve">  de la inversion</t>
        </is>
      </c>
      <c r="D18" s="31">
        <f>IF(D15=0,0,D13/D15*1000)</f>
        <v/>
      </c>
      <c r="E18" s="31">
        <f>IF(E15=0,0,E13/E15*1000)</f>
        <v/>
      </c>
      <c r="F18" s="31">
        <f>IF(F15=0,0,F13/F15*1000)</f>
        <v/>
      </c>
      <c r="G18" s="31">
        <f>IF(G15=0,0,G13/G15*1000)</f>
        <v/>
      </c>
      <c r="H18" s="31">
        <f>IF(H15=0,0,H13/H15*1000)</f>
        <v/>
      </c>
      <c r="I18" s="31">
        <f>IF(I15=0,0,I13/I15*1000)</f>
        <v/>
      </c>
      <c r="J18" s="31">
        <f>IF(J15=0,0,J13/J15*1000)</f>
        <v/>
      </c>
      <c r="K18" s="31">
        <f>IF(K15=0,0,K13/K15*1000)</f>
        <v/>
      </c>
      <c r="L18" s="31">
        <f>IF(L15=0,0,L13/L15*1000)</f>
        <v/>
      </c>
      <c r="M18" s="31">
        <f>IF(M15=0,0,M13/M15*1000)</f>
        <v/>
      </c>
      <c r="N18" s="31">
        <f>IF(N15=0,0,N13/N15*1000)</f>
        <v/>
      </c>
      <c r="O18" s="31">
        <f>IF(O15=0,0,O13/O15*1000)</f>
        <v/>
      </c>
      <c r="P18" s="31">
        <f>IF(P15=0,0,P13/P15*1000)</f>
        <v/>
      </c>
      <c r="Q18" s="31">
        <f>IF(Q15=0,0,Q13/Q15*1000)</f>
        <v/>
      </c>
      <c r="R18" s="31">
        <f>IF(R15=0,0,R13/R15*1000)</f>
        <v/>
      </c>
      <c r="S18" s="31">
        <f>IF(S15=0,0,S13/S15*1000)</f>
        <v/>
      </c>
      <c r="T18" s="31">
        <f>IF(T15=0,0,T13/T15*1000)</f>
        <v/>
      </c>
      <c r="U18" s="31">
        <f>IF(U15=0,0,U13/U15*1000)</f>
        <v/>
      </c>
      <c r="V18" s="31">
        <f>IF(V15=0,0,V13/V15*1000)</f>
        <v/>
      </c>
      <c r="W18" s="31">
        <f>IF(W15=0,0,W13/W15*1000)</f>
        <v/>
      </c>
      <c r="X18" s="31">
        <f>IF(X15=0,0,X13/X15*1000)</f>
        <v/>
      </c>
      <c r="Y18" s="31">
        <f>IF(Y15=0,0,Y13/Y15*1000)</f>
        <v/>
      </c>
      <c r="Z18" s="31">
        <f>IF(Z15=0,0,Z13/Z15*1000)</f>
        <v/>
      </c>
      <c r="AA18" s="31">
        <f>IF(AA15=0,0,AA13/AA15*1000)</f>
        <v/>
      </c>
      <c r="AB18" s="31">
        <f>IF(AB15=0,0,AB13/AB15*1000)</f>
        <v/>
      </c>
      <c r="AC18" s="31">
        <f>IF(AC15=0,0,AC13/AC15*1000)</f>
        <v/>
      </c>
      <c r="AD18" s="31">
        <f>IF(AD15=0,0,AD13/AD15*1000)</f>
        <v/>
      </c>
      <c r="AE18" s="31">
        <f>IF(AE15=0,0,AE13/AE15*1000)</f>
        <v/>
      </c>
      <c r="AF18" s="31">
        <f>IF(AF15=0,0,AF13/AF15*1000)</f>
        <v/>
      </c>
      <c r="AG18" s="31">
        <f>IF(AG15=0,0,AG13/AG15*1000)</f>
        <v/>
      </c>
      <c r="AH18" s="31">
        <f>IF(AH15=0,0,AH13/AH15*1000)</f>
        <v/>
      </c>
      <c r="AI18" s="31">
        <f>IF(AI15=0,0,AI13/AI15*1000)</f>
        <v/>
      </c>
      <c r="AJ18" s="31">
        <f>IF(AJ15=0,0,AJ13/AJ15*1000)</f>
        <v/>
      </c>
      <c r="AK18" s="31">
        <f>IF(AK15=0,0,AK13/AK15*1000)</f>
        <v/>
      </c>
      <c r="AL18" s="31">
        <f>IF(AL15=0,0,AL13/AL15*1000)</f>
        <v/>
      </c>
      <c r="AM18" s="31">
        <f>IF(AM15=0,0,AM13/AM15*1000)</f>
        <v/>
      </c>
      <c r="AN18" s="31">
        <f>IF(AN15=0,0,AN13/AN15*1000)</f>
        <v/>
      </c>
      <c r="AO18" s="31">
        <f>IF(AO15=0,0,AO13/AO15*1000)</f>
        <v/>
      </c>
      <c r="AP18" s="31">
        <f>IF(AP15=0,0,AP13/AP15*1000)</f>
        <v/>
      </c>
      <c r="AQ18" s="31">
        <f>IF(AQ15=0,0,AQ13/AQ15*1000)</f>
        <v/>
      </c>
      <c r="AR18" s="31">
        <f>IF(AR15=0,0,AR13/AR15*1000)</f>
        <v/>
      </c>
      <c r="AS18" s="31">
        <f>IF(AS15=0,0,AS13/AS15*1000)</f>
        <v/>
      </c>
      <c r="AT18" s="31">
        <f>IF(AT15=0,0,AT13/AT15*1000)</f>
        <v/>
      </c>
      <c r="AU18" s="31">
        <f>IF(AU15=0,0,AU13/AU15*1000)</f>
        <v/>
      </c>
      <c r="AV18" s="31">
        <f>IF(AV15=0,0,AV13/AV15*1000)</f>
        <v/>
      </c>
      <c r="AW18" s="31">
        <f>IF(AW15=0,0,AW13/AW15*1000)</f>
        <v/>
      </c>
      <c r="AX18" s="31">
        <f>IF(AX15=0,0,AX13/AX15*1000)</f>
        <v/>
      </c>
      <c r="AY18" s="31">
        <f>IF(AY15=0,0,AY13/AY15*1000)</f>
        <v/>
      </c>
      <c r="AZ18" s="31">
        <f>IF(AZ15=0,0,AZ13/AZ15*1000)</f>
        <v/>
      </c>
      <c r="BA18" s="31">
        <f>IF(BA15=0,0,BA13/BA15*1000)</f>
        <v/>
      </c>
      <c r="BB18" s="31">
        <f>IF(BB15=0,0,BB13/BB15*1000)</f>
        <v/>
      </c>
      <c r="BC18" s="31">
        <f>IF(BC15=0,0,BC13/BC15*1000)</f>
        <v/>
      </c>
      <c r="BD18" s="31">
        <f>IF(BD15=0,0,BD13/BD15*1000)</f>
        <v/>
      </c>
      <c r="BE18" s="31">
        <f>IF(BE15=0,0,BE13/BE15*1000)</f>
        <v/>
      </c>
      <c r="BF18" s="31">
        <f>IF(BF15=0,0,BF13/BF15*1000)</f>
        <v/>
      </c>
      <c r="BG18" s="31">
        <f>IF(BG15=0,0,BG13/BG15*1000)</f>
        <v/>
      </c>
      <c r="BH18" s="31">
        <f>IF(BH15=0,0,BH13/BH15*1000)</f>
        <v/>
      </c>
      <c r="BI18" s="31">
        <f>IF(BI15=0,0,BI13/BI15*1000)</f>
        <v/>
      </c>
      <c r="BJ18" s="31">
        <f>IF(BJ15=0,0,BJ13/BJ15*1000)</f>
        <v/>
      </c>
      <c r="BK18" s="31">
        <f>IF(BK15=0,0,BK13/BK15*1000)</f>
        <v/>
      </c>
      <c r="BL18" s="31">
        <f>IF(BL15=0,0,BL13/BL15*1000)</f>
        <v/>
      </c>
      <c r="BM18" s="31">
        <f>IF(BM15=0,0,BM13/BM15*1000)</f>
        <v/>
      </c>
      <c r="BN18" s="31">
        <f>IF(BN15=0,0,BN13/BN15*1000)</f>
        <v/>
      </c>
      <c r="BO18" s="31">
        <f>IF(BO15=0,0,BO13/BO15*1000)</f>
        <v/>
      </c>
      <c r="BP18" s="31">
        <f>IF(BP15=0,0,BP13/BP15*1000)</f>
        <v/>
      </c>
      <c r="BQ18" s="31">
        <f>IF(BQ15=0,0,BQ13/BQ15*1000)</f>
        <v/>
      </c>
      <c r="BR18" s="31">
        <f>IF(BR15=0,0,BR13/BR15*1000)</f>
        <v/>
      </c>
      <c r="BS18" s="31">
        <f>IF(BS15=0,0,BS13/BS15*1000)</f>
        <v/>
      </c>
      <c r="BT18" s="31">
        <f>IF(BT15=0,0,BT13/BT15*1000)</f>
        <v/>
      </c>
      <c r="BU18" s="31">
        <f>IF(BU15=0,0,BU13/BU15*1000)</f>
        <v/>
      </c>
      <c r="BV18" s="31">
        <f>IF(BV15=0,0,BV13/BV15*1000)</f>
        <v/>
      </c>
      <c r="BW18" s="31">
        <f>IF(BW15=0,0,BW13/BW15*1000)</f>
        <v/>
      </c>
      <c r="BX18" s="31">
        <f>IF(BX15=0,0,BX13/BX15*1000)</f>
        <v/>
      </c>
      <c r="BY18" s="31">
        <f>IF(BY15=0,0,BY13/BY15*1000)</f>
        <v/>
      </c>
      <c r="BZ18" s="31">
        <f>IF(BZ15=0,0,BZ13/BZ15*1000)</f>
        <v/>
      </c>
      <c r="CA18" s="31">
        <f>IF(CA15=0,0,CA13/CA15*1000)</f>
        <v/>
      </c>
      <c r="CB18" s="31">
        <f>IF(CB15=0,0,CB13/CB15*1000)</f>
        <v/>
      </c>
      <c r="CC18" s="31">
        <f>IF(CC15=0,0,CC13/CC15*1000)</f>
        <v/>
      </c>
      <c r="CD18" s="31">
        <f>IF(CD15=0,0,CD13/CD15*1000)</f>
        <v/>
      </c>
      <c r="CE18" s="31">
        <f>IF(CE15=0,0,CE13/CE15*1000)</f>
        <v/>
      </c>
      <c r="CF18" s="31">
        <f>IF(CF15=0,0,CF13/CF15*1000)</f>
        <v/>
      </c>
      <c r="CG18" s="31">
        <f>IF(CG15=0,0,CG13/CG15*1000)</f>
        <v/>
      </c>
      <c r="CH18" s="31">
        <f>IF(CH15=0,0,CH13/CH15*1000)</f>
        <v/>
      </c>
      <c r="CI18" s="31">
        <f>IF(CI15=0,0,CI13/CI15*1000)</f>
        <v/>
      </c>
      <c r="CJ18" s="31">
        <f>IF(CJ15=0,0,CJ13/CJ15*1000)</f>
        <v/>
      </c>
      <c r="CK18" s="31">
        <f>IF(CK15=0,0,CK13/CK15*1000)</f>
        <v/>
      </c>
      <c r="CL18" s="31">
        <f>IF(CL15=0,0,CL13/CL15*1000)</f>
        <v/>
      </c>
      <c r="CM18" s="31">
        <f>IF(CM15=0,0,CM13/CM15*1000)</f>
        <v/>
      </c>
      <c r="CN18" s="31">
        <f>IF(CN15=0,0,CN13/CN15*1000)</f>
        <v/>
      </c>
      <c r="CO18" s="31">
        <f>IF(CO15=0,0,CO13/CO15*1000)</f>
        <v/>
      </c>
      <c r="CP18" s="31">
        <f>IF(CP15=0,0,CP13/CP15*1000)</f>
        <v/>
      </c>
      <c r="CQ18" s="31">
        <f>IF(CQ15=0,0,CQ13/CQ15*1000)</f>
        <v/>
      </c>
      <c r="CR18" s="31">
        <f>IF(CR15=0,0,CR13/CR15*1000)</f>
        <v/>
      </c>
      <c r="CS18" s="31">
        <f>IF(CS15=0,0,CS13/CS15*1000)</f>
        <v/>
      </c>
      <c r="CT18" s="31">
        <f>IF(CT15=0,0,CT13/CT15*1000)</f>
        <v/>
      </c>
      <c r="CU18" s="31">
        <f>IF(CU15=0,0,CU13/CU15*1000)</f>
        <v/>
      </c>
      <c r="CV18" s="31">
        <f>IF(CV15=0,0,CV13/CV15*1000)</f>
        <v/>
      </c>
      <c r="CW18" s="31">
        <f>IF(CW15=0,0,CW13/CW15*1000)</f>
        <v/>
      </c>
      <c r="CX18" s="31">
        <f>IF(CX15=0,0,CX13/CX15*1000)</f>
        <v/>
      </c>
      <c r="CY18" s="31">
        <f>IF(CY15=0,0,CY13/CY15*1000)</f>
        <v/>
      </c>
      <c r="CZ18" s="31">
        <f>IF(CZ15=0,0,CZ13/CZ15*1000)</f>
        <v/>
      </c>
      <c r="DA18" s="31">
        <f>IF(DA15=0,0,DA13/DA15*1000)</f>
        <v/>
      </c>
      <c r="DB18" s="31">
        <f>IF(DB15=0,0,DB13/DB15*1000)</f>
        <v/>
      </c>
      <c r="DC18" s="31">
        <f>IF(DC15=0,0,DC13/DC15*1000)</f>
        <v/>
      </c>
      <c r="DD18" s="31">
        <f>IF(DD15=0,0,DD13/DD15*1000)</f>
        <v/>
      </c>
      <c r="DE18" s="31">
        <f>IF(DE15=0,0,DE13/DE15*1000)</f>
        <v/>
      </c>
    </row>
    <row r="20">
      <c r="B20" s="18" t="inlineStr">
        <is>
          <t>Factor de actualizacion</t>
        </is>
      </c>
      <c r="D20" s="29">
        <f>Flujo!D27</f>
        <v/>
      </c>
      <c r="E20" s="29">
        <f>Flujo!E27</f>
        <v/>
      </c>
      <c r="F20" s="29">
        <f>Flujo!F27</f>
        <v/>
      </c>
      <c r="G20" s="29">
        <f>Flujo!G27</f>
        <v/>
      </c>
      <c r="H20" s="29">
        <f>Flujo!H27</f>
        <v/>
      </c>
      <c r="I20" s="29">
        <f>Flujo!I27</f>
        <v/>
      </c>
      <c r="J20" s="29">
        <f>Flujo!J27</f>
        <v/>
      </c>
      <c r="K20" s="29">
        <f>Flujo!K27</f>
        <v/>
      </c>
      <c r="L20" s="29">
        <f>Flujo!L27</f>
        <v/>
      </c>
      <c r="M20" s="29">
        <f>Flujo!M27</f>
        <v/>
      </c>
      <c r="N20" s="29">
        <f>Flujo!N27</f>
        <v/>
      </c>
      <c r="O20" s="29">
        <f>Flujo!O27</f>
        <v/>
      </c>
      <c r="P20" s="29">
        <f>Flujo!P27</f>
        <v/>
      </c>
      <c r="Q20" s="29">
        <f>Flujo!Q27</f>
        <v/>
      </c>
      <c r="R20" s="29">
        <f>Flujo!R27</f>
        <v/>
      </c>
      <c r="S20" s="29">
        <f>Flujo!S27</f>
        <v/>
      </c>
      <c r="T20" s="29">
        <f>Flujo!T27</f>
        <v/>
      </c>
      <c r="U20" s="29">
        <f>Flujo!U27</f>
        <v/>
      </c>
      <c r="V20" s="29">
        <f>Flujo!V27</f>
        <v/>
      </c>
      <c r="W20" s="29">
        <f>Flujo!W27</f>
        <v/>
      </c>
      <c r="X20" s="29">
        <f>Flujo!X27</f>
        <v/>
      </c>
      <c r="Y20" s="29">
        <f>Flujo!Y27</f>
        <v/>
      </c>
      <c r="Z20" s="29">
        <f>Flujo!Z27</f>
        <v/>
      </c>
      <c r="AA20" s="29">
        <f>Flujo!AA27</f>
        <v/>
      </c>
      <c r="AB20" s="29">
        <f>Flujo!AB27</f>
        <v/>
      </c>
      <c r="AC20" s="29">
        <f>Flujo!AC27</f>
        <v/>
      </c>
      <c r="AD20" s="29">
        <f>Flujo!AD27</f>
        <v/>
      </c>
      <c r="AE20" s="29">
        <f>Flujo!AE27</f>
        <v/>
      </c>
      <c r="AF20" s="29">
        <f>Flujo!AF27</f>
        <v/>
      </c>
      <c r="AG20" s="29">
        <f>Flujo!AG27</f>
        <v/>
      </c>
      <c r="AH20" s="29">
        <f>Flujo!AH27</f>
        <v/>
      </c>
      <c r="AI20" s="29">
        <f>Flujo!AI27</f>
        <v/>
      </c>
      <c r="AJ20" s="29">
        <f>Flujo!AJ27</f>
        <v/>
      </c>
      <c r="AK20" s="29">
        <f>Flujo!AK27</f>
        <v/>
      </c>
      <c r="AL20" s="29">
        <f>Flujo!AL27</f>
        <v/>
      </c>
      <c r="AM20" s="29">
        <f>Flujo!AM27</f>
        <v/>
      </c>
      <c r="AN20" s="29">
        <f>Flujo!AN27</f>
        <v/>
      </c>
      <c r="AO20" s="29">
        <f>Flujo!AO27</f>
        <v/>
      </c>
      <c r="AP20" s="29">
        <f>Flujo!AP27</f>
        <v/>
      </c>
      <c r="AQ20" s="29">
        <f>Flujo!AQ27</f>
        <v/>
      </c>
      <c r="AR20" s="29">
        <f>Flujo!AR27</f>
        <v/>
      </c>
      <c r="AS20" s="29">
        <f>Flujo!AS27</f>
        <v/>
      </c>
      <c r="AT20" s="29">
        <f>Flujo!AT27</f>
        <v/>
      </c>
      <c r="AU20" s="29">
        <f>Flujo!AU27</f>
        <v/>
      </c>
      <c r="AV20" s="29">
        <f>Flujo!AV27</f>
        <v/>
      </c>
      <c r="AW20" s="29">
        <f>Flujo!AW27</f>
        <v/>
      </c>
      <c r="AX20" s="29">
        <f>Flujo!AX27</f>
        <v/>
      </c>
      <c r="AY20" s="29">
        <f>Flujo!AY27</f>
        <v/>
      </c>
      <c r="AZ20" s="29">
        <f>Flujo!AZ27</f>
        <v/>
      </c>
      <c r="BA20" s="29">
        <f>Flujo!BA27</f>
        <v/>
      </c>
      <c r="BB20" s="29">
        <f>Flujo!BB27</f>
        <v/>
      </c>
      <c r="BC20" s="29">
        <f>Flujo!BC27</f>
        <v/>
      </c>
      <c r="BD20" s="29">
        <f>Flujo!BD27</f>
        <v/>
      </c>
      <c r="BE20" s="29">
        <f>Flujo!BE27</f>
        <v/>
      </c>
      <c r="BF20" s="29">
        <f>Flujo!BF27</f>
        <v/>
      </c>
      <c r="BG20" s="29">
        <f>Flujo!BG27</f>
        <v/>
      </c>
      <c r="BH20" s="29">
        <f>Flujo!BH27</f>
        <v/>
      </c>
      <c r="BI20" s="29">
        <f>Flujo!BI27</f>
        <v/>
      </c>
      <c r="BJ20" s="29">
        <f>Flujo!BJ27</f>
        <v/>
      </c>
      <c r="BK20" s="29">
        <f>Flujo!BK27</f>
        <v/>
      </c>
      <c r="BL20" s="29">
        <f>Flujo!BL27</f>
        <v/>
      </c>
      <c r="BM20" s="29">
        <f>Flujo!BM27</f>
        <v/>
      </c>
      <c r="BN20" s="29">
        <f>Flujo!BN27</f>
        <v/>
      </c>
      <c r="BO20" s="29">
        <f>Flujo!BO27</f>
        <v/>
      </c>
      <c r="BP20" s="29">
        <f>Flujo!BP27</f>
        <v/>
      </c>
      <c r="BQ20" s="29">
        <f>Flujo!BQ27</f>
        <v/>
      </c>
      <c r="BR20" s="29">
        <f>Flujo!BR27</f>
        <v/>
      </c>
      <c r="BS20" s="29">
        <f>Flujo!BS27</f>
        <v/>
      </c>
      <c r="BT20" s="29">
        <f>Flujo!BT27</f>
        <v/>
      </c>
      <c r="BU20" s="29">
        <f>Flujo!BU27</f>
        <v/>
      </c>
      <c r="BV20" s="29">
        <f>Flujo!BV27</f>
        <v/>
      </c>
      <c r="BW20" s="29">
        <f>Flujo!BW27</f>
        <v/>
      </c>
      <c r="BX20" s="29">
        <f>Flujo!BX27</f>
        <v/>
      </c>
      <c r="BY20" s="29">
        <f>Flujo!BY27</f>
        <v/>
      </c>
      <c r="BZ20" s="29">
        <f>Flujo!BZ27</f>
        <v/>
      </c>
      <c r="CA20" s="29">
        <f>Flujo!CA27</f>
        <v/>
      </c>
      <c r="CB20" s="29">
        <f>Flujo!CB27</f>
        <v/>
      </c>
      <c r="CC20" s="29">
        <f>Flujo!CC27</f>
        <v/>
      </c>
      <c r="CD20" s="29">
        <f>Flujo!CD27</f>
        <v/>
      </c>
      <c r="CE20" s="29">
        <f>Flujo!CE27</f>
        <v/>
      </c>
      <c r="CF20" s="29">
        <f>Flujo!CF27</f>
        <v/>
      </c>
      <c r="CG20" s="29">
        <f>Flujo!CG27</f>
        <v/>
      </c>
      <c r="CH20" s="29">
        <f>Flujo!CH27</f>
        <v/>
      </c>
      <c r="CI20" s="29">
        <f>Flujo!CI27</f>
        <v/>
      </c>
      <c r="CJ20" s="29">
        <f>Flujo!CJ27</f>
        <v/>
      </c>
      <c r="CK20" s="29">
        <f>Flujo!CK27</f>
        <v/>
      </c>
      <c r="CL20" s="29">
        <f>Flujo!CL27</f>
        <v/>
      </c>
      <c r="CM20" s="29">
        <f>Flujo!CM27</f>
        <v/>
      </c>
      <c r="CN20" s="29">
        <f>Flujo!CN27</f>
        <v/>
      </c>
      <c r="CO20" s="29">
        <f>Flujo!CO27</f>
        <v/>
      </c>
      <c r="CP20" s="29">
        <f>Flujo!CP27</f>
        <v/>
      </c>
      <c r="CQ20" s="29">
        <f>Flujo!CQ27</f>
        <v/>
      </c>
      <c r="CR20" s="29">
        <f>Flujo!CR27</f>
        <v/>
      </c>
      <c r="CS20" s="29">
        <f>Flujo!CS27</f>
        <v/>
      </c>
      <c r="CT20" s="29">
        <f>Flujo!CT27</f>
        <v/>
      </c>
      <c r="CU20" s="29">
        <f>Flujo!CU27</f>
        <v/>
      </c>
      <c r="CV20" s="29">
        <f>Flujo!CV27</f>
        <v/>
      </c>
      <c r="CW20" s="29">
        <f>Flujo!CW27</f>
        <v/>
      </c>
      <c r="CX20" s="29">
        <f>Flujo!CX27</f>
        <v/>
      </c>
      <c r="CY20" s="29">
        <f>Flujo!CY27</f>
        <v/>
      </c>
      <c r="CZ20" s="29">
        <f>Flujo!CZ27</f>
        <v/>
      </c>
      <c r="DA20" s="29">
        <f>Flujo!DA27</f>
        <v/>
      </c>
      <c r="DB20" s="29">
        <f>Flujo!DB27</f>
        <v/>
      </c>
      <c r="DC20" s="29">
        <f>Flujo!DC27</f>
        <v/>
      </c>
      <c r="DD20" s="29">
        <f>Flujo!DD27</f>
        <v/>
      </c>
      <c r="DE20" s="29">
        <f>Flujo!DE27</f>
        <v/>
      </c>
    </row>
    <row r="22">
      <c r="B22" s="3" t="inlineStr">
        <is>
          <t>VAN del ingreso tarifario</t>
        </is>
      </c>
      <c r="C22" s="4" t="n"/>
      <c r="D22" s="6">
        <f>SUMPRODUCT($D$9:$DE$9,$D$20:$DE$20)</f>
        <v/>
      </c>
      <c r="E22" s="4" t="n"/>
    </row>
    <row r="23">
      <c r="B23" s="3" t="inlineStr">
        <is>
          <t>VAN del costo de O&amp;M, sin margen</t>
        </is>
      </c>
      <c r="C23" s="4" t="n"/>
      <c r="D23" s="6">
        <f>SUMPRODUCT($D$10:$DE$10,$D$20:$DE$20)</f>
        <v/>
      </c>
      <c r="E23" s="4" t="n"/>
    </row>
    <row r="24">
      <c r="B24" s="3" t="inlineStr">
        <is>
          <t>VAN de la operacion, con margen</t>
        </is>
      </c>
      <c r="C24" s="4" t="n"/>
      <c r="D24" s="6">
        <f>SUMPRODUCT($D$12:$DE$12,$D$20:$DE$20)</f>
        <v/>
      </c>
      <c r="E24" s="4" t="n"/>
    </row>
    <row r="25">
      <c r="B25" s="3" t="inlineStr">
        <is>
          <t>VAN para la inversion</t>
        </is>
      </c>
      <c r="C25" s="4" t="n"/>
      <c r="D25" s="6">
        <f>SUMPRODUCT($D$13:$DE$13,$D$20:$DE$20)</f>
        <v/>
      </c>
      <c r="E25" s="4" t="n"/>
    </row>
    <row r="26">
      <c r="B26" s="3" t="inlineStr">
        <is>
          <t>Participacion de la operacion</t>
        </is>
      </c>
      <c r="C26" s="4" t="n"/>
      <c r="D26" s="32">
        <f>$D$24/$D$22</f>
        <v/>
      </c>
      <c r="E26" s="4" t="n"/>
    </row>
    <row r="27">
      <c r="B27" s="3" t="inlineStr">
        <is>
          <t>Participacion de la inversion</t>
        </is>
      </c>
      <c r="C27" s="4" t="n"/>
      <c r="D27" s="32">
        <f>$D$25/$D$22</f>
        <v/>
      </c>
      <c r="E27" s="4" t="n"/>
    </row>
    <row r="28">
      <c r="B28" s="3" t="inlineStr">
        <is>
          <t>Las dos partes menos el total, debe ser cero</t>
        </is>
      </c>
      <c r="C28" s="4" t="n"/>
      <c r="D28" s="6">
        <f>$D$24+$D$25-$D$22</f>
        <v/>
      </c>
      <c r="E28" s="4" t="n"/>
    </row>
    <row r="29">
      <c r="B29" s="3" t="inlineStr">
        <is>
          <t>Check del reparto</t>
        </is>
      </c>
      <c r="C29" s="4" t="n"/>
      <c r="D29" s="33">
        <f>IF(ROUND($D$28,2)=0,"OK","ERROR")</f>
        <v/>
      </c>
      <c r="E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2026-09-18T04:49:36Z</dcterms:created>
  <dcterms:modified xsi:type="dcterms:W3CDTF">2026-09-18T04:49:36Z</dcterms:modified>
</cp:coreProperties>
</file>